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chnology" sheetId="1" state="visible" r:id="rId3"/>
    <sheet name="Operations" sheetId="2" state="visible" r:id="rId4"/>
    <sheet name="Finance" sheetId="3" state="visible" r:id="rId5"/>
    <sheet name="HR" sheetId="4" state="visible" r:id="rId6"/>
    <sheet name="Sales &amp; Marketing" sheetId="5" state="visible" r:id="rId7"/>
    <sheet name="Risk &amp; Complia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<sst xmlns="http://schemas.openxmlformats.org/spreadsheetml/2006/main" count="1017" uniqueCount="123">
  <si>
    <t xml:space="preserve">Sun Life Insurance India  |  Technology  |  Workforce Cost Data  |  Jan 2022 – Dec 2026</t>
  </si>
  <si>
    <t xml:space="preserve">Month</t>
  </si>
  <si>
    <t xml:space="preserve">Year</t>
  </si>
  <si>
    <t xml:space="preserve">Opening HC</t>
  </si>
  <si>
    <t xml:space="preserve">Band 1 Hires</t>
  </si>
  <si>
    <t xml:space="preserve">Band 2 Hires</t>
  </si>
  <si>
    <t xml:space="preserve">Band 3 Hires</t>
  </si>
  <si>
    <t xml:space="preserve">Band 4 Hires</t>
  </si>
  <si>
    <t xml:space="preserve">Band 5 Hires</t>
  </si>
  <si>
    <t xml:space="preserve">Band 6 Hires</t>
  </si>
  <si>
    <t xml:space="preserve">Total Hires</t>
  </si>
  <si>
    <t xml:space="preserve">Band 1 Exits</t>
  </si>
  <si>
    <t xml:space="preserve">Band 2 Exits</t>
  </si>
  <si>
    <t xml:space="preserve">Band 3 Exits</t>
  </si>
  <si>
    <t xml:space="preserve">Band 4 Exits</t>
  </si>
  <si>
    <t xml:space="preserve">Band 5 Exits</t>
  </si>
  <si>
    <t xml:space="preserve">Band 6 Exits</t>
  </si>
  <si>
    <t xml:space="preserve">Total Exits</t>
  </si>
  <si>
    <t xml:space="preserve">Long Leave Count</t>
  </si>
  <si>
    <t xml:space="preserve">Closing HC</t>
  </si>
  <si>
    <t xml:space="preserve">WFH Count</t>
  </si>
  <si>
    <t xml:space="preserve">WFO Count</t>
  </si>
  <si>
    <t xml:space="preserve">Billable HC</t>
  </si>
  <si>
    <t xml:space="preserve">Talent Pool</t>
  </si>
  <si>
    <t xml:space="preserve">Band 1 Count</t>
  </si>
  <si>
    <t xml:space="preserve">Band 2 Count</t>
  </si>
  <si>
    <t xml:space="preserve">Band 3 Count</t>
  </si>
  <si>
    <t xml:space="preserve">Band 4 Count</t>
  </si>
  <si>
    <t xml:space="preserve">Band 5 Count</t>
  </si>
  <si>
    <t xml:space="preserve">Band 6 Count</t>
  </si>
  <si>
    <t xml:space="preserve">Attrition % (Ann.)</t>
  </si>
  <si>
    <t xml:space="preserve">Avg Appraisal Rate</t>
  </si>
  <si>
    <t xml:space="preserve">CAD/INR Forex Rate</t>
  </si>
  <si>
    <t xml:space="preserve">Band 1 Sal/FTE (INR)</t>
  </si>
  <si>
    <t xml:space="preserve">Band 2 Sal/FTE (INR)</t>
  </si>
  <si>
    <t xml:space="preserve">Band 3 Sal/FTE (INR)</t>
  </si>
  <si>
    <t xml:space="preserve">Band 4 Sal/FTE (INR)</t>
  </si>
  <si>
    <t xml:space="preserve">Band 5 Sal/FTE (INR)</t>
  </si>
  <si>
    <t xml:space="preserve">Band 6 Sal/FTE (INR)</t>
  </si>
  <si>
    <t xml:space="preserve">Avg Salary (Wtd) (INR)</t>
  </si>
  <si>
    <t xml:space="preserve">Budget: Salary (INR)</t>
  </si>
  <si>
    <t xml:space="preserve">Salary Cost (INR)</t>
  </si>
  <si>
    <t xml:space="preserve">Budget: Benefits (INR)</t>
  </si>
  <si>
    <t xml:space="preserve">Benefits Cost (INR)</t>
  </si>
  <si>
    <t xml:space="preserve">Budget: Bonus (INR)</t>
  </si>
  <si>
    <t xml:space="preserve">Bonus/Var Pay (INR)</t>
  </si>
  <si>
    <t xml:space="preserve">Budget: Payroll Tax (INR)</t>
  </si>
  <si>
    <t xml:space="preserve">Payroll Tax (INR)</t>
  </si>
  <si>
    <t xml:space="preserve">Budget: Travel Allow (INR)</t>
  </si>
  <si>
    <t xml:space="preserve">Travel Allowance (INR)</t>
  </si>
  <si>
    <t xml:space="preserve">Budget: Meal Allow (INR)</t>
  </si>
  <si>
    <t xml:space="preserve">Meal Allowance (INR)</t>
  </si>
  <si>
    <t xml:space="preserve">Budget: Overtime (INR)</t>
  </si>
  <si>
    <t xml:space="preserve">Overtime Cost (INR)</t>
  </si>
  <si>
    <t xml:space="preserve">Budget: Recruitment (INR)</t>
  </si>
  <si>
    <t xml:space="preserve">Recruitment Cost (INR)</t>
  </si>
  <si>
    <t xml:space="preserve">Budget: Long Leave (INR)</t>
  </si>
  <si>
    <t xml:space="preserve">Long Leave Cost (INR)</t>
  </si>
  <si>
    <t xml:space="preserve">Total Direct Cost (INR)</t>
  </si>
  <si>
    <t xml:space="preserve">Budget: Training &amp; Dev (INR)</t>
  </si>
  <si>
    <t xml:space="preserve">Training &amp; Dev Cost (INR)</t>
  </si>
  <si>
    <t xml:space="preserve">Budget: HR Cost (INR)</t>
  </si>
  <si>
    <t xml:space="preserve">HR Cost (INR)</t>
  </si>
  <si>
    <t xml:space="preserve">Budget: Admin Overhead (INR)</t>
  </si>
  <si>
    <t xml:space="preserve">Admin Overhead (INR)</t>
  </si>
  <si>
    <t xml:space="preserve">Budget: IT License (INR)</t>
  </si>
  <si>
    <t xml:space="preserve">IT License Cost (INR)</t>
  </si>
  <si>
    <t xml:space="preserve">Budget: IT Equipment (INR)</t>
  </si>
  <si>
    <t xml:space="preserve">IT Equipment Cost (INR)</t>
  </si>
  <si>
    <t xml:space="preserve">Budget: Office Rent (INR)</t>
  </si>
  <si>
    <t xml:space="preserve">Office Rent &amp; Facilities (INR)</t>
  </si>
  <si>
    <t xml:space="preserve">Budget: Utilities (INR)</t>
  </si>
  <si>
    <t xml:space="preserve">Utilities Cost (INR)</t>
  </si>
  <si>
    <t xml:space="preserve">Budget: Mgmt Overhead (INR)</t>
  </si>
  <si>
    <t xml:space="preserve">Mgmt Overhead (INR)</t>
  </si>
  <si>
    <t xml:space="preserve">Budget: Learning Platform (INR)</t>
  </si>
  <si>
    <t xml:space="preserve">Learning Platform Cost (INR)</t>
  </si>
  <si>
    <t xml:space="preserve">Budget: Emp Engagement (INR)</t>
  </si>
  <si>
    <t xml:space="preserve">Emp Engagement Cost (INR)</t>
  </si>
  <si>
    <t xml:space="preserve">Budget: DBTS Charges (INR)</t>
  </si>
  <si>
    <t xml:space="preserve">DBTS Charges (INR)</t>
  </si>
  <si>
    <t xml:space="preserve">Budget: Consultancy (INR)</t>
  </si>
  <si>
    <t xml:space="preserve">Consultancy Charges (INR)</t>
  </si>
  <si>
    <t xml:space="preserve">Budget: Financial Operation Charges (INR)</t>
  </si>
  <si>
    <t xml:space="preserve">Financial Operation Charges (INR)</t>
  </si>
  <si>
    <t xml:space="preserve">Total Indirect Cost (INR)</t>
  </si>
  <si>
    <t xml:space="preserve">Total Actual Cost (INR)</t>
  </si>
  <si>
    <t xml:space="preserve">Original Budget (INR)</t>
  </si>
  <si>
    <t xml:space="preserve">Monthly Variance (INR)</t>
  </si>
  <si>
    <t xml:space="preserve">Carry-Forward Applied</t>
  </si>
  <si>
    <t xml:space="preserve">Over/Under</t>
  </si>
  <si>
    <t xml:space="preserve">OB Trigger Note</t>
  </si>
  <si>
    <t xml:space="preserve">Jan</t>
  </si>
  <si>
    <t xml:space="preserve">Feb</t>
  </si>
  <si>
    <t xml:space="preserve">Mar</t>
  </si>
  <si>
    <t xml:space="preserve">Year-end audit consultancy - higher external billing</t>
  </si>
  <si>
    <t xml:space="preserve">Apr</t>
  </si>
  <si>
    <t xml:space="preserve">Apr: appraisal salary + IT procurement + audit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</si>
  <si>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</si>
  <si>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</si>
  <si>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</si>
  <si>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</si>
  <si>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</si>
  <si>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</si>
  <si>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</si>
  <si>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</si>
  <si>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January bulk exits + replacement hires</t>
  </si>
  <si>
    <t xml:space="preserve">Appraisal hike - salary cost exceeded budget</t>
  </si>
  <si>
    <t xml:space="preserve">Rent/facility hike + shift to higher WFO ratio</t>
  </si>
  <si>
    <t xml:space="preserve">Diwali engagement cost exceeded budget</t>
  </si>
  <si>
    <t xml:space="preserve">Mid-year hiring ramp - recruitment &amp; salary overspend</t>
  </si>
  <si>
    <t xml:space="preserve">Diwali bonus + overtime spike</t>
  </si>
  <si>
    <t xml:space="preserve">Mar quarter-end: appraisal + audit consultancy combo</t>
  </si>
  <si>
    <t xml:space="preserve">TOTALS</t>
  </si>
  <si>
    <t xml:space="preserve">Sun Life Insurance India  |  Operations  |  Workforce Cost Data  |  Jan 2022 – Dec 2026</t>
  </si>
  <si>
    <t xml:space="preserve">Budget: Finance Charges (INR)</t>
  </si>
  <si>
    <t xml:space="preserve">Finance Charges (INR)</t>
  </si>
  <si>
    <t xml:space="preserve">IT equipment refresh cycle - capex overspend</t>
  </si>
  <si>
    <t xml:space="preserve">Dec year-end: bonus + engagement + vendor invoices</t>
  </si>
  <si>
    <t xml:space="preserve">Sun Life Insurance India  |  Finance  |  Workforce Cost Data  |  Jan 2022 – Dec 2026</t>
  </si>
  <si>
    <t xml:space="preserve">Sun Life Insurance India  |  HR  |  Workforce Cost Data  |  Jan 2022 – Dec 2026</t>
  </si>
  <si>
    <t xml:space="preserve">Sun Life Insurance India  |  Sales &amp; Marketing  |  Workforce Cost Data  |  Jan 2022 – Dec 2026</t>
  </si>
  <si>
    <t xml:space="preserve">Sun Life Insurance India  |  Risk &amp; Compliance  |  Workforce Cost Data  |  Jan 2022 – Dec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</si>
</sst>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u val="single"/>
      <sz val="8"/>
      <color rgb="FF000000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8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i val="true"/>
      <sz val="7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7375E"/>
        <bgColor rgb="FF1F4E79"/>
      </patternFill>
    </fill>
    <fill>
      <patternFill patternType="solid">
        <fgColor rgb="FF1F4E79"/>
        <bgColor rgb="FF17375E"/>
      </patternFill>
    </fill>
    <fill>
      <patternFill patternType="solid">
        <fgColor rgb="FF2E75B6"/>
        <bgColor rgb="FF1565A8"/>
      </patternFill>
    </fill>
    <fill>
      <patternFill patternType="solid">
        <fgColor theme="4" tint="-0.25"/>
        <bgColor rgb="FF1565A8"/>
      </patternFill>
    </fill>
    <fill>
      <patternFill patternType="solid">
        <fgColor rgb="FFC8A000"/>
        <bgColor rgb="FF99CC00"/>
      </patternFill>
    </fill>
    <fill>
      <patternFill patternType="solid">
        <fgColor rgb="FFFFD700"/>
        <bgColor rgb="FFFFFF00"/>
      </patternFill>
    </fill>
    <fill>
      <patternFill patternType="solid">
        <fgColor rgb="FF145214"/>
        <bgColor rgb="FF17375E"/>
      </patternFill>
    </fill>
    <fill>
      <patternFill patternType="solid">
        <fgColor rgb="FF2E8B22"/>
        <bgColor rgb="FF008000"/>
      </patternFill>
    </fill>
    <fill>
      <patternFill patternType="solid">
        <fgColor rgb="FF5B2C6F"/>
        <bgColor rgb="FF444444"/>
      </patternFill>
    </fill>
    <fill>
      <patternFill patternType="solid">
        <fgColor rgb="FF1565A8"/>
        <bgColor rgb="FF2E75B6"/>
      </patternFill>
    </fill>
    <fill>
      <patternFill patternType="solid">
        <fgColor rgb="FF555555"/>
        <bgColor rgb="FF444444"/>
      </patternFill>
    </fill>
    <fill>
      <patternFill patternType="solid">
        <fgColor rgb="FF444444"/>
        <bgColor rgb="FF555555"/>
      </patternFill>
    </fill>
    <fill>
      <patternFill patternType="solid">
        <fgColor rgb="FFFFFFFF"/>
        <bgColor rgb="FFFFF0F0"/>
      </patternFill>
    </fill>
    <fill>
      <patternFill patternType="solid">
        <fgColor rgb="FFEBF3FB"/>
        <bgColor rgb="FFFFF0F0"/>
      </patternFill>
    </fill>
    <fill>
      <patternFill patternType="solid">
        <fgColor rgb="FFFFF0F0"/>
        <bgColor rgb="FFEBF3FB"/>
      </patternFill>
    </fill>
    <fill>
      <patternFill patternType="solid">
        <fgColor rgb="FFD6E4F0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0F0"/>
      <rgbColor rgb="FFEBF3FB"/>
      <rgbColor rgb="FF5B2C6F"/>
      <rgbColor rgb="FFFF8080"/>
      <rgbColor rgb="FF1565A8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C8A000"/>
      <rgbColor rgb="FFFF6600"/>
      <rgbColor rgb="FF376092"/>
      <rgbColor rgb="FF969696"/>
      <rgbColor rgb="FF17375E"/>
      <rgbColor rgb="FF2E8B22"/>
      <rgbColor rgb="FF145214"/>
      <rgbColor rgb="FF555555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63"/>
  <sheetViews>
    <sheetView showFormulas="false" showGridLines="true" showRowColHeaders="true" showZeros="true" rightToLeft="false" tabSelected="false" showOutlineSymbols="true" defaultGridColor="true" view="normal" topLeftCell="A1" colorId="64" zoomScale="107" zoomScaleNormal="107" zoomScalePageLayoutView="100" workbookViewId="0">
      <pane xSplit="2" ySplit="2" topLeftCell="J48" activePane="bottomRight" state="frozen"/>
      <selection pane="topLeft" activeCell="A1" activeCellId="0" sqref="A1"/>
      <selection pane="topRight" activeCell="J1" activeCellId="0" sqref="J1"/>
      <selection pane="bottomLeft" activeCell="A48" activeCellId="0" sqref="A48"/>
      <selection pane="bottomRight" activeCell="C3" activeCellId="0" sqref="C3"/>
    </sheetView>
  </sheetViews>
  <sheetFormatPr defaultColWidth="8.70703125" defaultRowHeight="14.2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0.71"/>
    <col collapsed="false" customWidth="true" hidden="false" outlineLevel="0" max="9" min="4" style="0" width="5.51"/>
    <col collapsed="false" customWidth="true" hidden="false" outlineLevel="0" max="10" min="10" style="0" width="10"/>
    <col collapsed="false" customWidth="true" hidden="false" outlineLevel="0" max="12" min="11" style="0" width="5.51"/>
    <col collapsed="false" customWidth="true" hidden="false" outlineLevel="0" max="13" min="13" style="0" width="5.3"/>
    <col collapsed="false" customWidth="true" hidden="false" outlineLevel="0" max="16" min="14" style="0" width="5.51"/>
    <col collapsed="false" customWidth="true" hidden="false" outlineLevel="0" max="23" min="17" style="0" width="10"/>
    <col collapsed="false" customWidth="true" hidden="false" outlineLevel="0" max="29" min="24" style="0" width="5.51"/>
    <col collapsed="false" customWidth="true" hidden="false" outlineLevel="0" max="30" min="30" style="0" width="10"/>
    <col collapsed="false" customWidth="true" hidden="false" outlineLevel="0" max="31" min="31" style="0" width="19"/>
    <col collapsed="false" customWidth="true" hidden="false" outlineLevel="0" max="32" min="32" style="0" width="10"/>
    <col collapsed="false" customWidth="true" hidden="false" outlineLevel="0" max="33" min="33" style="0" width="6.3"/>
    <col collapsed="false" customWidth="true" hidden="false" outlineLevel="0" max="38" min="34" style="0" width="7.1"/>
    <col collapsed="false" customWidth="true" hidden="false" outlineLevel="0" max="39" min="39" style="0" width="16"/>
    <col collapsed="false" customWidth="true" hidden="false" outlineLevel="0" max="41" min="40" style="0" width="19"/>
    <col collapsed="false" customWidth="true" hidden="false" outlineLevel="0" max="42" min="42" style="0" width="18"/>
    <col collapsed="false" customWidth="true" hidden="false" outlineLevel="0" max="43" min="43" style="0" width="14.1"/>
    <col collapsed="false" customWidth="true" hidden="false" outlineLevel="0" max="44" min="44" style="0" width="15"/>
    <col collapsed="false" customWidth="true" hidden="false" outlineLevel="0" max="45" min="45" style="0" width="14.6"/>
    <col collapsed="false" customWidth="true" hidden="false" outlineLevel="0" max="46" min="46" style="0" width="14.2"/>
    <col collapsed="false" customWidth="true" hidden="false" outlineLevel="0" max="47" min="47" style="0" width="12"/>
    <col collapsed="false" customWidth="true" hidden="false" outlineLevel="0" max="48" min="48" style="0" width="15.2"/>
    <col collapsed="false" customWidth="true" hidden="false" outlineLevel="0" max="49" min="49" style="0" width="16.5"/>
    <col collapsed="false" customWidth="true" hidden="false" outlineLevel="0" max="50" min="50" style="0" width="14.2"/>
    <col collapsed="false" customWidth="true" hidden="false" outlineLevel="0" max="51" min="51" style="0" width="15.51"/>
    <col collapsed="false" customWidth="true" hidden="false" outlineLevel="0" max="52" min="52" style="0" width="13.2"/>
    <col collapsed="false" customWidth="true" hidden="false" outlineLevel="0" max="53" min="53" style="0" width="14.7"/>
    <col collapsed="false" customWidth="true" hidden="false" outlineLevel="0" max="55" min="54" style="0" width="18"/>
    <col collapsed="false" customWidth="true" hidden="false" outlineLevel="0" max="56" min="56" style="0" width="15.2"/>
    <col collapsed="false" customWidth="true" hidden="false" outlineLevel="0" max="60" min="57" style="0" width="18"/>
    <col collapsed="false" customWidth="true" hidden="false" outlineLevel="0" max="61" min="61" style="0" width="16.1"/>
    <col collapsed="false" customWidth="true" hidden="false" outlineLevel="0" max="62" min="62" style="0" width="15.1"/>
    <col collapsed="false" customWidth="true" hidden="false" outlineLevel="0" max="69" min="63" style="0" width="18"/>
    <col collapsed="false" customWidth="true" hidden="false" outlineLevel="0" max="70" min="70" style="0" width="16.9"/>
    <col collapsed="false" customWidth="true" hidden="false" outlineLevel="0" max="71" min="71" style="0" width="15.79"/>
    <col collapsed="false" customWidth="true" hidden="false" outlineLevel="0" max="72" min="72" style="0" width="13.5"/>
    <col collapsed="false" customWidth="true" hidden="false" outlineLevel="0" max="73" min="73" style="0" width="18"/>
    <col collapsed="false" customWidth="true" hidden="false" outlineLevel="0" max="74" min="74" style="0" width="15.9"/>
    <col collapsed="false" customWidth="true" hidden="false" outlineLevel="0" max="79" min="75" style="0" width="18"/>
    <col collapsed="false" customWidth="true" hidden="false" outlineLevel="0" max="80" min="80" style="0" width="16.39"/>
    <col collapsed="false" customWidth="true" hidden="false" outlineLevel="0" max="81" min="81" style="0" width="15.3"/>
    <col collapsed="false" customWidth="true" hidden="false" outlineLevel="0" max="86" min="82" style="0" width="18"/>
    <col collapsed="false" customWidth="true" hidden="false" outlineLevel="0" max="87" min="87" style="0" width="15.59"/>
    <col collapsed="false" customWidth="true" hidden="false" outlineLevel="0" max="88" min="88" style="0" width="16.7"/>
    <col collapsed="false" customWidth="true" hidden="false" outlineLevel="0" max="89" min="89" style="0" width="16.5"/>
    <col collapsed="false" customWidth="true" hidden="false" outlineLevel="0" max="90" min="90" style="0" width="15.39"/>
    <col collapsed="false" customWidth="true" hidden="false" outlineLevel="0" max="91" min="91" style="0" width="24"/>
  </cols>
  <sheetData>
    <row r="1" customFormat="false" ht="23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customFormat="false" ht="45" hidden="false" customHeight="true" outlineLevel="0" collapsed="false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customFormat="false" ht="14.25" hidden="false" customHeight="false" outlineLevel="0" collapsed="false">
      <c r="A3" s="16" t="s">
        <v>92</v>
      </c>
      <c r="B3" s="16" t="n">
        <v>2022</v>
      </c>
      <c r="C3" s="16" t="n">
        <v>48</v>
      </c>
      <c r="D3" s="16" t="n">
        <v>1</v>
      </c>
      <c r="E3" s="16" t="n">
        <v>1</v>
      </c>
      <c r="F3" s="16" t="n">
        <v>1</v>
      </c>
      <c r="G3" s="16" t="n">
        <v>0</v>
      </c>
      <c r="H3" s="16" t="n">
        <v>0</v>
      </c>
      <c r="I3" s="16" t="n">
        <v>0</v>
      </c>
      <c r="J3" s="16" t="n">
        <v>3</v>
      </c>
      <c r="K3" s="16" t="n">
        <v>1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1</v>
      </c>
      <c r="Q3" s="16" t="n">
        <v>1</v>
      </c>
      <c r="R3" s="16" t="n">
        <v>0</v>
      </c>
      <c r="S3" s="16" t="n">
        <v>50</v>
      </c>
      <c r="T3" s="16" t="n">
        <v>23</v>
      </c>
      <c r="U3" s="16" t="n">
        <v>27</v>
      </c>
      <c r="V3" s="16" t="n">
        <v>48</v>
      </c>
      <c r="W3" s="16" t="n">
        <v>2</v>
      </c>
      <c r="X3" s="16" t="n">
        <v>6</v>
      </c>
      <c r="Y3" s="16" t="n">
        <v>14</v>
      </c>
      <c r="Z3" s="16" t="n">
        <v>17</v>
      </c>
      <c r="AA3" s="16" t="n">
        <v>9</v>
      </c>
      <c r="AB3" s="16" t="n">
        <v>3</v>
      </c>
      <c r="AC3" s="16" t="n">
        <v>1</v>
      </c>
      <c r="AD3" s="17" t="n">
        <v>0.25</v>
      </c>
      <c r="AE3" s="17" t="n">
        <v>0</v>
      </c>
      <c r="AF3" s="18" t="n">
        <v>58.5</v>
      </c>
      <c r="AG3" s="19" t="n">
        <v>520000</v>
      </c>
      <c r="AH3" s="19" t="n">
        <v>850000</v>
      </c>
      <c r="AI3" s="19" t="n">
        <v>1350000</v>
      </c>
      <c r="AJ3" s="19" t="n">
        <v>2100000</v>
      </c>
      <c r="AK3" s="19" t="n">
        <v>3500000</v>
      </c>
      <c r="AL3" s="19" t="n">
        <v>6000000</v>
      </c>
      <c r="AM3" s="19" t="n">
        <v>2176802.95</v>
      </c>
      <c r="AN3" s="19" t="n">
        <v>10093109.67</v>
      </c>
      <c r="AO3" s="19" t="n">
        <v>9432812.78</v>
      </c>
      <c r="AP3" s="19" t="n">
        <v>1009310.97</v>
      </c>
      <c r="AQ3" s="19" t="n">
        <v>943281.28</v>
      </c>
      <c r="AR3" s="19" t="n">
        <v>165159.98</v>
      </c>
      <c r="AS3" s="19" t="n">
        <v>565968.77</v>
      </c>
      <c r="AT3" s="19" t="n">
        <v>504655.48</v>
      </c>
      <c r="AU3" s="19" t="n">
        <v>471640.64</v>
      </c>
      <c r="AV3" s="19" t="n">
        <v>77304.56</v>
      </c>
      <c r="AW3" s="19" t="n">
        <v>92566.79</v>
      </c>
      <c r="AX3" s="19" t="n">
        <v>49523.23</v>
      </c>
      <c r="AY3" s="19" t="n">
        <v>46283.39</v>
      </c>
      <c r="AZ3" s="19" t="n">
        <v>24617.34</v>
      </c>
      <c r="BA3" s="19" t="n">
        <v>0</v>
      </c>
      <c r="BB3" s="19" t="n">
        <v>25180.32</v>
      </c>
      <c r="BC3" s="19" t="n">
        <v>72560.1</v>
      </c>
      <c r="BD3" s="19" t="n">
        <v>499.11</v>
      </c>
      <c r="BE3" s="19" t="n">
        <v>0</v>
      </c>
      <c r="BF3" s="19" t="n">
        <f aca="false">SUM(BE3,BC3,BA3,AY3,AW3,AU3,AS3,AQ3,AO3)</f>
        <v>11625113.75</v>
      </c>
      <c r="BG3" s="19" t="n">
        <v>13147.5</v>
      </c>
      <c r="BH3" s="19" t="n">
        <v>34558.27</v>
      </c>
      <c r="BI3" s="19" t="n">
        <v>45396.3</v>
      </c>
      <c r="BJ3" s="19" t="n">
        <v>42426.44</v>
      </c>
      <c r="BK3" s="19" t="n">
        <v>33015.49</v>
      </c>
      <c r="BL3" s="19" t="n">
        <v>30855.6</v>
      </c>
      <c r="BM3" s="19" t="n">
        <v>184886.73</v>
      </c>
      <c r="BN3" s="19" t="n">
        <v>172791.34</v>
      </c>
      <c r="BO3" s="19" t="n">
        <v>121210.71</v>
      </c>
      <c r="BP3" s="19" t="n">
        <v>207681.9</v>
      </c>
      <c r="BQ3" s="19" t="n">
        <v>399995.33</v>
      </c>
      <c r="BR3" s="19" t="n">
        <v>373827.41</v>
      </c>
      <c r="BS3" s="19" t="n">
        <v>13333.18</v>
      </c>
      <c r="BT3" s="19" t="n">
        <v>14537.73</v>
      </c>
      <c r="BU3" s="19" t="n">
        <v>252327.74</v>
      </c>
      <c r="BV3" s="19" t="n">
        <v>235820.32</v>
      </c>
      <c r="BW3" s="19" t="n">
        <v>13866.5</v>
      </c>
      <c r="BX3" s="19" t="n">
        <v>26998.65</v>
      </c>
      <c r="BY3" s="19" t="n">
        <v>14673.55</v>
      </c>
      <c r="BZ3" s="19" t="n">
        <v>30855.6</v>
      </c>
      <c r="CA3" s="19" t="n">
        <v>57777.1</v>
      </c>
      <c r="CB3" s="19" t="n">
        <v>53997.29</v>
      </c>
      <c r="CC3" s="19" t="n">
        <v>99095.99</v>
      </c>
      <c r="CD3" s="19" t="n">
        <v>169790.63</v>
      </c>
      <c r="CE3" s="19" t="n">
        <v>32297.95</v>
      </c>
      <c r="CF3" s="19" t="n">
        <v>30185</v>
      </c>
      <c r="CG3" s="19" t="n">
        <f aca="false">SUM(CF3,CD3,CB3,BZ3,BX3,BV3,BT3,BR3,BP3,BN3,BL3,BJ3,BH3)</f>
        <v>1424326.18</v>
      </c>
      <c r="CH3" s="19" t="n">
        <f aca="false">CG3+BF3</f>
        <v>13049439.93</v>
      </c>
      <c r="CI3" s="19" t="n">
        <f aca="false">SUM(CE3,CC3,CA3,BY3,BW3,BU3,BS3,BQ3,BO3,BM3,BK3,BI3,BG3,BD3,BB3,AZ3,AX3,AV3,AT3,AR3,AP3,AN3)</f>
        <v>13230384.73</v>
      </c>
      <c r="CJ3" s="19" t="n">
        <f aca="false">CI3-CH3</f>
        <v>180944.800000001</v>
      </c>
      <c r="CK3" s="19" t="str">
        <f aca="false">IF(CE3-CF3+CC3-CD3+CA3-CB3+BU3-BV3+BK3-BL3+BI3-BJ3 &gt; 0, CE3-CF3+CC3-CD3+CA3-CB3+BU3-BV3+BK3-BL3+BI3-BJ3, "-")</f>
        <v>-</v>
      </c>
      <c r="CL3" s="20" t="str">
        <f aca="false">IF(CJ3&lt;0,"⚠ Over Budget","✓ Within Budget")</f>
        <v>✓ Within Budget</v>
      </c>
      <c r="CM3" s="21"/>
    </row>
    <row r="4" customFormat="false" ht="14.25" hidden="false" customHeight="false" outlineLevel="0" collapsed="false">
      <c r="A4" s="22" t="s">
        <v>93</v>
      </c>
      <c r="B4" s="22" t="n">
        <v>2022</v>
      </c>
      <c r="C4" s="22" t="n">
        <v>50</v>
      </c>
      <c r="D4" s="22" t="n">
        <v>1</v>
      </c>
      <c r="E4" s="22" t="n">
        <v>1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2</v>
      </c>
      <c r="K4" s="22" t="n">
        <v>1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1</v>
      </c>
      <c r="Q4" s="22" t="n">
        <v>1</v>
      </c>
      <c r="R4" s="22" t="n">
        <v>0</v>
      </c>
      <c r="S4" s="22" t="n">
        <v>51</v>
      </c>
      <c r="T4" s="22" t="n">
        <v>24</v>
      </c>
      <c r="U4" s="22" t="n">
        <v>27</v>
      </c>
      <c r="V4" s="22" t="n">
        <v>48</v>
      </c>
      <c r="W4" s="22" t="n">
        <v>3</v>
      </c>
      <c r="X4" s="22" t="n">
        <v>6</v>
      </c>
      <c r="Y4" s="22" t="n">
        <v>14</v>
      </c>
      <c r="Z4" s="22" t="n">
        <v>17</v>
      </c>
      <c r="AA4" s="22" t="n">
        <v>9</v>
      </c>
      <c r="AB4" s="22" t="n">
        <v>3</v>
      </c>
      <c r="AC4" s="22" t="n">
        <v>2</v>
      </c>
      <c r="AD4" s="23" t="n">
        <v>0.24</v>
      </c>
      <c r="AE4" s="23" t="n">
        <v>0</v>
      </c>
      <c r="AF4" s="24" t="n">
        <v>59.1</v>
      </c>
      <c r="AG4" s="25" t="n">
        <v>520000</v>
      </c>
      <c r="AH4" s="25" t="n">
        <v>850000</v>
      </c>
      <c r="AI4" s="25" t="n">
        <v>1350000</v>
      </c>
      <c r="AJ4" s="25" t="n">
        <v>2100000</v>
      </c>
      <c r="AK4" s="25" t="n">
        <v>3500000</v>
      </c>
      <c r="AL4" s="25" t="n">
        <v>6000000</v>
      </c>
      <c r="AM4" s="25" t="n">
        <v>2176802.95</v>
      </c>
      <c r="AN4" s="25" t="n">
        <v>10481306.2</v>
      </c>
      <c r="AO4" s="25" t="n">
        <v>9795613.27</v>
      </c>
      <c r="AP4" s="25" t="n">
        <v>1048130.62</v>
      </c>
      <c r="AQ4" s="25" t="n">
        <v>979561.33</v>
      </c>
      <c r="AR4" s="25" t="n">
        <v>28585.38</v>
      </c>
      <c r="AS4" s="25" t="n">
        <v>0</v>
      </c>
      <c r="AT4" s="25" t="n">
        <v>524065.31</v>
      </c>
      <c r="AU4" s="25" t="n">
        <v>489780.66</v>
      </c>
      <c r="AV4" s="25" t="n">
        <v>80277.81</v>
      </c>
      <c r="AW4" s="25" t="n">
        <v>96127.05</v>
      </c>
      <c r="AX4" s="25" t="n">
        <v>51427.97</v>
      </c>
      <c r="AY4" s="25" t="n">
        <v>48063.52</v>
      </c>
      <c r="AZ4" s="25" t="n">
        <v>25564.16</v>
      </c>
      <c r="BA4" s="25" t="n">
        <v>0</v>
      </c>
      <c r="BB4" s="25" t="n">
        <v>56655.71</v>
      </c>
      <c r="BC4" s="25" t="n">
        <v>54420.07</v>
      </c>
      <c r="BD4" s="25" t="n">
        <v>187166.18</v>
      </c>
      <c r="BE4" s="25" t="n">
        <v>108840.15</v>
      </c>
      <c r="BF4" s="25" t="n">
        <f aca="false">SUM(BE4,BC4,BA4,AY4,AW4,AU4,AS4,AQ4,AO4)</f>
        <v>11572406.05</v>
      </c>
      <c r="BG4" s="25" t="n">
        <v>13653.17</v>
      </c>
      <c r="BH4" s="25" t="n">
        <v>35887.43</v>
      </c>
      <c r="BI4" s="25" t="n">
        <v>47142.31</v>
      </c>
      <c r="BJ4" s="25" t="n">
        <v>44058.23</v>
      </c>
      <c r="BK4" s="25" t="n">
        <v>34285.31</v>
      </c>
      <c r="BL4" s="25" t="n">
        <v>32042.35</v>
      </c>
      <c r="BM4" s="25" t="n">
        <v>191997.76</v>
      </c>
      <c r="BN4" s="25" t="n">
        <v>179437.16</v>
      </c>
      <c r="BO4" s="25" t="n">
        <v>90908.03</v>
      </c>
      <c r="BP4" s="25" t="n">
        <v>155761.42</v>
      </c>
      <c r="BQ4" s="25" t="n">
        <v>414280.88</v>
      </c>
      <c r="BR4" s="25" t="n">
        <v>387178.39</v>
      </c>
      <c r="BS4" s="25" t="n">
        <v>13809.36</v>
      </c>
      <c r="BT4" s="25" t="n">
        <v>15056.94</v>
      </c>
      <c r="BU4" s="25" t="n">
        <v>262032.65</v>
      </c>
      <c r="BV4" s="25" t="n">
        <v>244890.33</v>
      </c>
      <c r="BW4" s="25" t="n">
        <v>14399.83</v>
      </c>
      <c r="BX4" s="25" t="n">
        <v>28037.06</v>
      </c>
      <c r="BY4" s="25" t="n">
        <v>15237.92</v>
      </c>
      <c r="BZ4" s="25" t="n">
        <v>32042.35</v>
      </c>
      <c r="CA4" s="25" t="n">
        <v>59999.3</v>
      </c>
      <c r="CB4" s="25" t="n">
        <v>56074.11</v>
      </c>
      <c r="CC4" s="25" t="n">
        <v>102907.37</v>
      </c>
      <c r="CD4" s="25" t="n">
        <v>176321.04</v>
      </c>
      <c r="CE4" s="25" t="n">
        <v>33540.18</v>
      </c>
      <c r="CF4" s="25" t="n">
        <v>31345.96</v>
      </c>
      <c r="CG4" s="25" t="n">
        <f aca="false">SUM(CF4,CD4,CB4,BZ4,BX4,BV4,BT4,BR4,BP4,BN4,BL4,BJ4,BH4)</f>
        <v>1418132.77</v>
      </c>
      <c r="CH4" s="25" t="n">
        <f aca="false">CG4+BF4</f>
        <v>12990538.82</v>
      </c>
      <c r="CI4" s="25" t="n">
        <f aca="false">SUM(CE4,CC4,CA4,BY4,BW4,BU4,BS4,BQ4,BO4,BM4,BK4,BI4,BG4,BD4,BB4,AZ4,AX4,AV4,AT4,AR4,AP4,AN4)</f>
        <v>13777373.41</v>
      </c>
      <c r="CJ4" s="25" t="n">
        <f aca="false">CI4-CH4</f>
        <v>786834.590000002</v>
      </c>
      <c r="CK4" s="25" t="str">
        <f aca="false">IF(CE4-CF4+CC4-CD4+CA4-CB4+BU4-BV4+BK4-BL4+BI4-BJ4 &gt; 0, CE4-CF4+CC4-CD4+CA4-CB4+BU4-BV4+BK4-BL4+BI4-BJ4, "-")</f>
        <v>-</v>
      </c>
      <c r="CL4" s="26" t="str">
        <f aca="false">IF(CJ4&lt;0,"⚠ Over Budget","✓ Within Budget")</f>
        <v>✓ Within Budget</v>
      </c>
      <c r="CM4" s="27"/>
    </row>
    <row r="5" customFormat="false" ht="18.75" hidden="false" customHeight="true" outlineLevel="0" collapsed="false">
      <c r="A5" s="28" t="s">
        <v>94</v>
      </c>
      <c r="B5" s="28" t="n">
        <v>2022</v>
      </c>
      <c r="C5" s="28" t="n">
        <v>51</v>
      </c>
      <c r="D5" s="28" t="n">
        <v>1</v>
      </c>
      <c r="E5" s="28" t="n">
        <v>1</v>
      </c>
      <c r="F5" s="28" t="n">
        <v>1</v>
      </c>
      <c r="G5" s="28" t="n">
        <v>0</v>
      </c>
      <c r="H5" s="28" t="n">
        <v>0</v>
      </c>
      <c r="I5" s="28" t="n">
        <v>0</v>
      </c>
      <c r="J5" s="28" t="n">
        <v>3</v>
      </c>
      <c r="K5" s="28" t="n">
        <v>1</v>
      </c>
      <c r="L5" s="28" t="n">
        <v>0</v>
      </c>
      <c r="M5" s="28" t="n">
        <v>0</v>
      </c>
      <c r="N5" s="28" t="n">
        <v>0</v>
      </c>
      <c r="O5" s="28" t="n">
        <v>0</v>
      </c>
      <c r="P5" s="28" t="n">
        <v>1</v>
      </c>
      <c r="Q5" s="28" t="n">
        <v>1</v>
      </c>
      <c r="R5" s="28" t="n">
        <v>0</v>
      </c>
      <c r="S5" s="28" t="n">
        <v>53</v>
      </c>
      <c r="T5" s="28" t="n">
        <v>24</v>
      </c>
      <c r="U5" s="28" t="n">
        <v>29</v>
      </c>
      <c r="V5" s="28" t="n">
        <v>50</v>
      </c>
      <c r="W5" s="28" t="n">
        <v>3</v>
      </c>
      <c r="X5" s="28" t="n">
        <v>6</v>
      </c>
      <c r="Y5" s="28" t="n">
        <v>15</v>
      </c>
      <c r="Z5" s="28" t="n">
        <v>18</v>
      </c>
      <c r="AA5" s="28" t="n">
        <v>10</v>
      </c>
      <c r="AB5" s="28" t="n">
        <v>3</v>
      </c>
      <c r="AC5" s="28" t="n">
        <v>1</v>
      </c>
      <c r="AD5" s="29" t="n">
        <v>0.235294</v>
      </c>
      <c r="AE5" s="29" t="n">
        <v>0</v>
      </c>
      <c r="AF5" s="30" t="n">
        <v>60.2</v>
      </c>
      <c r="AG5" s="31" t="n">
        <v>520000</v>
      </c>
      <c r="AH5" s="31" t="n">
        <v>850000</v>
      </c>
      <c r="AI5" s="31" t="n">
        <v>1350000</v>
      </c>
      <c r="AJ5" s="31" t="n">
        <v>2100000</v>
      </c>
      <c r="AK5" s="31" t="n">
        <v>3500000</v>
      </c>
      <c r="AL5" s="31" t="n">
        <v>6000000</v>
      </c>
      <c r="AM5" s="31" t="n">
        <v>2176802.95</v>
      </c>
      <c r="AN5" s="31" t="n">
        <v>10287207.94</v>
      </c>
      <c r="AO5" s="31" t="n">
        <v>9614213.02</v>
      </c>
      <c r="AP5" s="31" t="n">
        <v>1028720.79</v>
      </c>
      <c r="AQ5" s="31" t="n">
        <v>961421.3</v>
      </c>
      <c r="AR5" s="31" t="n">
        <v>46760.04</v>
      </c>
      <c r="AS5" s="31" t="n">
        <v>0</v>
      </c>
      <c r="AT5" s="31" t="n">
        <v>514360.4</v>
      </c>
      <c r="AU5" s="31" t="n">
        <v>480710.65</v>
      </c>
      <c r="AV5" s="31" t="n">
        <v>73866.73</v>
      </c>
      <c r="AW5" s="31" t="n">
        <v>70760.19</v>
      </c>
      <c r="AX5" s="31" t="n">
        <v>50475.6</v>
      </c>
      <c r="AY5" s="31" t="n">
        <v>47173.46</v>
      </c>
      <c r="AZ5" s="31" t="n">
        <v>450397.17</v>
      </c>
      <c r="BA5" s="31" t="n">
        <v>269659.52</v>
      </c>
      <c r="BB5" s="31" t="n">
        <v>3147.54</v>
      </c>
      <c r="BC5" s="31" t="n">
        <v>0</v>
      </c>
      <c r="BD5" s="31" t="n">
        <v>623.89</v>
      </c>
      <c r="BE5" s="31" t="n">
        <v>0</v>
      </c>
      <c r="BF5" s="31" t="n">
        <f aca="false">SUM(BE5,BC5,BA5,AY5,AW5,AU5,AS5,AQ5,AO5)</f>
        <v>11443938.14</v>
      </c>
      <c r="BG5" s="31" t="n">
        <v>13400.34</v>
      </c>
      <c r="BH5" s="31" t="n">
        <v>35222.85</v>
      </c>
      <c r="BI5" s="31" t="n">
        <v>46269.3</v>
      </c>
      <c r="BJ5" s="31" t="n">
        <v>43242.34</v>
      </c>
      <c r="BK5" s="31" t="n">
        <v>33650.4</v>
      </c>
      <c r="BL5" s="31" t="n">
        <v>791689.52</v>
      </c>
      <c r="BM5" s="31" t="n">
        <v>188442.24</v>
      </c>
      <c r="BN5" s="31" t="n">
        <v>176114.25</v>
      </c>
      <c r="BO5" s="31" t="n">
        <v>4328.95</v>
      </c>
      <c r="BP5" s="31" t="n">
        <v>0</v>
      </c>
      <c r="BQ5" s="31" t="n">
        <v>414280.88</v>
      </c>
      <c r="BR5" s="31" t="n">
        <v>387178.39</v>
      </c>
      <c r="BS5" s="31" t="n">
        <v>15343.74</v>
      </c>
      <c r="BT5" s="31" t="n">
        <v>15056.94</v>
      </c>
      <c r="BU5" s="31" t="n">
        <v>257180.2</v>
      </c>
      <c r="BV5" s="31" t="n">
        <v>240355.33</v>
      </c>
      <c r="BW5" s="31" t="n">
        <v>14133.17</v>
      </c>
      <c r="BX5" s="31" t="n">
        <v>27517.85</v>
      </c>
      <c r="BY5" s="31" t="n">
        <v>88720.09</v>
      </c>
      <c r="BZ5" s="31" t="n">
        <v>77733.73</v>
      </c>
      <c r="CA5" s="31" t="n">
        <v>58888.2</v>
      </c>
      <c r="CB5" s="31" t="n">
        <v>55035.7</v>
      </c>
      <c r="CC5" s="31" t="n">
        <v>1106438.89</v>
      </c>
      <c r="CD5" s="31" t="n">
        <v>3420115.69</v>
      </c>
      <c r="CE5" s="31" t="n">
        <v>32919.07</v>
      </c>
      <c r="CF5" s="31" t="n">
        <v>30765.48</v>
      </c>
      <c r="CG5" s="31" t="n">
        <f aca="false">SUM(CF5,CD5,CB5,BZ5,BX5,BV5,BT5,BR5,BP5,BN5,BL5,BJ5,BH5)</f>
        <v>5300028.07</v>
      </c>
      <c r="CH5" s="31" t="n">
        <f aca="false">CG5+BF5</f>
        <v>16743966.21</v>
      </c>
      <c r="CI5" s="31" t="n">
        <f aca="false">SUM(CE5,CC5,CA5,BY5,BW5,BU5,BS5,BQ5,BO5,BM5,BK5,BI5,BG5,BD5,BB5,AZ5,AX5,AV5,AT5,AR5,AP5,AN5)</f>
        <v>14729555.57</v>
      </c>
      <c r="CJ5" s="31" t="n">
        <f aca="false">CI5-CH5</f>
        <v>-2014410.64</v>
      </c>
      <c r="CK5" s="31" t="str">
        <f aca="false">IF(CE5-CF5+CC5-CD5+CA5-CB5+BU5-BV5+BK5-BL5+BI5-BJ5 &gt; 0, CE5-CF5+CC5-CD5+CA5-CB5+BU5-BV5+BK5-BL5+BI5-BJ5, "-")</f>
        <v>-</v>
      </c>
      <c r="CL5" s="32" t="str">
        <f aca="false">IF(CJ5&lt;0,"⚠ Over Budget","✓ Within Budget")</f>
        <v>⚠ Over Budget</v>
      </c>
      <c r="CM5" s="33" t="s">
        <v>95</v>
      </c>
    </row>
    <row r="6" customFormat="false" ht="18.75" hidden="false" customHeight="true" outlineLevel="0" collapsed="false">
      <c r="A6" s="28" t="s">
        <v>96</v>
      </c>
      <c r="B6" s="28" t="n">
        <v>2022</v>
      </c>
      <c r="C6" s="28" t="n">
        <v>53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8" t="n">
        <v>0</v>
      </c>
      <c r="O6" s="28" t="n">
        <v>0</v>
      </c>
      <c r="P6" s="28" t="n">
        <v>0</v>
      </c>
      <c r="Q6" s="28" t="n">
        <v>0</v>
      </c>
      <c r="R6" s="28" t="n">
        <v>0</v>
      </c>
      <c r="S6" s="28" t="n">
        <v>53</v>
      </c>
      <c r="T6" s="28" t="n">
        <v>24</v>
      </c>
      <c r="U6" s="28" t="n">
        <v>29</v>
      </c>
      <c r="V6" s="28" t="n">
        <v>50</v>
      </c>
      <c r="W6" s="28" t="n">
        <v>3</v>
      </c>
      <c r="X6" s="28" t="n">
        <v>6</v>
      </c>
      <c r="Y6" s="28" t="n">
        <v>15</v>
      </c>
      <c r="Z6" s="28" t="n">
        <v>18</v>
      </c>
      <c r="AA6" s="28" t="n">
        <v>10</v>
      </c>
      <c r="AB6" s="28" t="n">
        <v>3</v>
      </c>
      <c r="AC6" s="28" t="n">
        <v>1</v>
      </c>
      <c r="AD6" s="29" t="n">
        <v>0</v>
      </c>
      <c r="AE6" s="29" t="n">
        <v>0.102942475698953</v>
      </c>
      <c r="AF6" s="30" t="n">
        <v>60.8</v>
      </c>
      <c r="AG6" s="31" t="n">
        <v>580479</v>
      </c>
      <c r="AH6" s="31" t="n">
        <v>946989</v>
      </c>
      <c r="AI6" s="31" t="n">
        <v>1485215</v>
      </c>
      <c r="AJ6" s="31" t="n">
        <v>2296438</v>
      </c>
      <c r="AK6" s="31" t="n">
        <v>3777314</v>
      </c>
      <c r="AL6" s="31" t="n">
        <v>6417085</v>
      </c>
      <c r="AM6" s="31" t="n">
        <v>2385563.13</v>
      </c>
      <c r="AN6" s="31" t="n">
        <v>11273773.75</v>
      </c>
      <c r="AO6" s="31" t="n">
        <v>12510212.45</v>
      </c>
      <c r="AP6" s="31" t="n">
        <v>1127377.38</v>
      </c>
      <c r="AQ6" s="31" t="n">
        <v>1053623.72</v>
      </c>
      <c r="AR6" s="31" t="n">
        <v>573937.57</v>
      </c>
      <c r="AS6" s="31" t="n">
        <v>737536.6</v>
      </c>
      <c r="AT6" s="31" t="n">
        <v>563688.69</v>
      </c>
      <c r="AU6" s="31" t="n">
        <v>526811.86</v>
      </c>
      <c r="AV6" s="31" t="n">
        <v>88640.08</v>
      </c>
      <c r="AW6" s="31" t="n">
        <v>70760.19</v>
      </c>
      <c r="AX6" s="31" t="n">
        <v>50475.6</v>
      </c>
      <c r="AY6" s="31" t="n">
        <v>47173.46</v>
      </c>
      <c r="AZ6" s="31" t="n">
        <v>566180.45</v>
      </c>
      <c r="BA6" s="31" t="n">
        <v>271184.56</v>
      </c>
      <c r="BB6" s="31" t="n">
        <v>3449.4</v>
      </c>
      <c r="BC6" s="31" t="n">
        <v>0</v>
      </c>
      <c r="BD6" s="31" t="n">
        <v>227.91</v>
      </c>
      <c r="BE6" s="31" t="n">
        <v>0</v>
      </c>
      <c r="BF6" s="31" t="n">
        <f aca="false">SUM(BE6,BC6,BA6,AY6,AW6,AU6,AS6,AQ6,AO6)</f>
        <v>15217302.84</v>
      </c>
      <c r="BG6" s="31" t="n">
        <v>231634.4</v>
      </c>
      <c r="BH6" s="31" t="n">
        <v>110700.38</v>
      </c>
      <c r="BI6" s="31" t="n">
        <v>46269.3</v>
      </c>
      <c r="BJ6" s="31" t="n">
        <v>43242.34</v>
      </c>
      <c r="BK6" s="31" t="n">
        <v>33650.4</v>
      </c>
      <c r="BL6" s="31" t="n">
        <v>31448.97</v>
      </c>
      <c r="BM6" s="31" t="n">
        <v>188442.24</v>
      </c>
      <c r="BN6" s="31" t="n">
        <v>176114.25</v>
      </c>
      <c r="BO6" s="31" t="n">
        <v>21644.77</v>
      </c>
      <c r="BP6" s="31" t="n">
        <v>1691978.83</v>
      </c>
      <c r="BQ6" s="31" t="n">
        <v>414280.88</v>
      </c>
      <c r="BR6" s="31" t="n">
        <v>387178.39</v>
      </c>
      <c r="BS6" s="31" t="n">
        <v>15343.74</v>
      </c>
      <c r="BT6" s="31" t="n">
        <v>15056.94</v>
      </c>
      <c r="BU6" s="31" t="n">
        <v>281844.34</v>
      </c>
      <c r="BV6" s="31" t="n">
        <v>263405.93</v>
      </c>
      <c r="BW6" s="31" t="n">
        <v>56532.67</v>
      </c>
      <c r="BX6" s="31" t="n">
        <v>27517.85</v>
      </c>
      <c r="BY6" s="31" t="n">
        <v>14955.73</v>
      </c>
      <c r="BZ6" s="31" t="n">
        <v>31448.97</v>
      </c>
      <c r="CA6" s="31" t="n">
        <v>58888.2</v>
      </c>
      <c r="CB6" s="31" t="n">
        <v>55035.7</v>
      </c>
      <c r="CC6" s="31" t="n">
        <v>1463755.42</v>
      </c>
      <c r="CD6" s="31" t="n">
        <v>2475573.74</v>
      </c>
      <c r="CE6" s="31" t="n">
        <v>36076.08</v>
      </c>
      <c r="CF6" s="31" t="n">
        <v>33715.96</v>
      </c>
      <c r="CG6" s="31" t="n">
        <f aca="false">SUM(CF6,CD6,CB6,BZ6,BX6,BV6,BT6,BR6,BP6,BN6,BL6,BJ6,BH6)</f>
        <v>5342418.25</v>
      </c>
      <c r="CH6" s="31" t="n">
        <f aca="false">CG6+BF6</f>
        <v>20559721.09</v>
      </c>
      <c r="CI6" s="31" t="n">
        <f aca="false">SUM(CE6,CC6,CA6,BY6,BW6,BU6,BS6,BQ6,BO6,BM6,BK6,BI6,BG6,BD6,BB6,AZ6,AX6,AV6,AT6,AR6,AP6,AN6)</f>
        <v>17111069</v>
      </c>
      <c r="CJ6" s="31" t="n">
        <f aca="false">CI6-CH6</f>
        <v>-3448652.09</v>
      </c>
      <c r="CK6" s="31" t="str">
        <f aca="false">IF(CE6-CF6+CC6-CD6+CA6-CB6+BU6-BV6+BK6-BL6+BI6-BJ6 &gt; 0, CE6-CF6+CC6-CD6+CA6-CB6+BU6-BV6+BK6-BL6+BI6-BJ6, "-")</f>
        <v>-</v>
      </c>
      <c r="CL6" s="32" t="str">
        <f aca="false">IF(CJ6&lt;0,"⚠ Over Budget","✓ Within Budget")</f>
        <v>⚠ Over Budget</v>
      </c>
      <c r="CM6" s="33" t="s">
        <v>97</v>
      </c>
    </row>
    <row r="7" customFormat="false" ht="14.25" hidden="false" customHeight="false" outlineLevel="0" collapsed="false">
      <c r="A7" s="16" t="s">
        <v>98</v>
      </c>
      <c r="B7" s="16" t="n">
        <v>2022</v>
      </c>
      <c r="C7" s="16" t="n">
        <v>53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1</v>
      </c>
      <c r="S7" s="16" t="n">
        <v>52</v>
      </c>
      <c r="T7" s="16" t="n">
        <v>24</v>
      </c>
      <c r="U7" s="16" t="n">
        <v>28</v>
      </c>
      <c r="V7" s="16" t="n">
        <v>49</v>
      </c>
      <c r="W7" s="16" t="n">
        <v>3</v>
      </c>
      <c r="X7" s="16" t="n">
        <v>6</v>
      </c>
      <c r="Y7" s="16" t="n">
        <v>15</v>
      </c>
      <c r="Z7" s="16" t="n">
        <v>18</v>
      </c>
      <c r="AA7" s="16" t="n">
        <v>9</v>
      </c>
      <c r="AB7" s="16" t="n">
        <v>3</v>
      </c>
      <c r="AC7" s="16" t="n">
        <v>1</v>
      </c>
      <c r="AD7" s="17" t="n">
        <v>0</v>
      </c>
      <c r="AE7" s="17" t="n">
        <v>0</v>
      </c>
      <c r="AF7" s="18" t="n">
        <v>61.4</v>
      </c>
      <c r="AG7" s="19" t="n">
        <v>580479</v>
      </c>
      <c r="AH7" s="19" t="n">
        <v>946989</v>
      </c>
      <c r="AI7" s="19" t="n">
        <v>1485215</v>
      </c>
      <c r="AJ7" s="19" t="n">
        <v>2296438</v>
      </c>
      <c r="AK7" s="19" t="n">
        <v>3777314</v>
      </c>
      <c r="AL7" s="19" t="n">
        <v>6417085</v>
      </c>
      <c r="AM7" s="19" t="n">
        <v>2385563.13</v>
      </c>
      <c r="AN7" s="19" t="n">
        <v>11273773.75</v>
      </c>
      <c r="AO7" s="19" t="n">
        <v>10536237.15</v>
      </c>
      <c r="AP7" s="19" t="n">
        <v>1127377.38</v>
      </c>
      <c r="AQ7" s="19" t="n">
        <v>1053623.72</v>
      </c>
      <c r="AR7" s="19" t="n">
        <v>40995.54</v>
      </c>
      <c r="AS7" s="19" t="n">
        <v>0</v>
      </c>
      <c r="AT7" s="19" t="n">
        <v>563688.69</v>
      </c>
      <c r="AU7" s="19" t="n">
        <v>526811.86</v>
      </c>
      <c r="AV7" s="19" t="n">
        <v>96026.75</v>
      </c>
      <c r="AW7" s="19" t="n">
        <v>70760.19</v>
      </c>
      <c r="AX7" s="19" t="n">
        <v>50475.6</v>
      </c>
      <c r="AY7" s="19" t="n">
        <v>47173.46</v>
      </c>
      <c r="AZ7" s="19" t="n">
        <v>32996.41</v>
      </c>
      <c r="BA7" s="19" t="n">
        <v>0</v>
      </c>
      <c r="BB7" s="19" t="n">
        <v>1379.76</v>
      </c>
      <c r="BC7" s="19" t="n">
        <v>0</v>
      </c>
      <c r="BD7" s="19" t="n">
        <v>227.91</v>
      </c>
      <c r="BE7" s="19" t="n">
        <v>0</v>
      </c>
      <c r="BF7" s="19" t="n">
        <f aca="false">SUM(BE7,BC7,BA7,AY7,AW7,AU7,AS7,AQ7,AO7)</f>
        <v>12234606.38</v>
      </c>
      <c r="BG7" s="19" t="n">
        <v>155061.05</v>
      </c>
      <c r="BH7" s="19" t="n">
        <v>90573.04</v>
      </c>
      <c r="BI7" s="19" t="n">
        <v>46269.3</v>
      </c>
      <c r="BJ7" s="19" t="n">
        <v>43242.34</v>
      </c>
      <c r="BK7" s="19" t="n">
        <v>33650.4</v>
      </c>
      <c r="BL7" s="19" t="n">
        <v>31448.97</v>
      </c>
      <c r="BM7" s="19" t="n">
        <v>188442.24</v>
      </c>
      <c r="BN7" s="19" t="n">
        <v>176114.25</v>
      </c>
      <c r="BO7" s="19" t="n">
        <v>8657.91</v>
      </c>
      <c r="BP7" s="19" t="n">
        <v>0</v>
      </c>
      <c r="BQ7" s="19" t="n">
        <v>414280.88</v>
      </c>
      <c r="BR7" s="19" t="n">
        <v>387178.39</v>
      </c>
      <c r="BS7" s="19" t="n">
        <v>16878.11</v>
      </c>
      <c r="BT7" s="19" t="n">
        <v>15056.94</v>
      </c>
      <c r="BU7" s="19" t="n">
        <v>281844.34</v>
      </c>
      <c r="BV7" s="19" t="n">
        <v>263405.93</v>
      </c>
      <c r="BW7" s="19" t="n">
        <v>42399.5</v>
      </c>
      <c r="BX7" s="19" t="n">
        <v>27517.85</v>
      </c>
      <c r="BY7" s="19" t="n">
        <v>14955.73</v>
      </c>
      <c r="BZ7" s="19" t="n">
        <v>31448.97</v>
      </c>
      <c r="CA7" s="19" t="n">
        <v>58888.2</v>
      </c>
      <c r="CB7" s="19" t="n">
        <v>55035.7</v>
      </c>
      <c r="CC7" s="19" t="n">
        <v>177100.74</v>
      </c>
      <c r="CD7" s="19" t="n">
        <v>189652.27</v>
      </c>
      <c r="CE7" s="19" t="n">
        <v>36076.08</v>
      </c>
      <c r="CF7" s="19" t="n">
        <v>33715.96</v>
      </c>
      <c r="CG7" s="19" t="n">
        <f aca="false">SUM(CF7,CD7,CB7,BZ7,BX7,BV7,BT7,BR7,BP7,BN7,BL7,BJ7,BH7)</f>
        <v>1344390.61</v>
      </c>
      <c r="CH7" s="19" t="n">
        <f aca="false">CG7+BF7</f>
        <v>13578996.99</v>
      </c>
      <c r="CI7" s="19" t="n">
        <f aca="false">SUM(CE7,CC7,CA7,BY7,BW7,BU7,BS7,BQ7,BO7,BM7,BK7,BI7,BG7,BD7,BB7,AZ7,AX7,AV7,AT7,AR7,AP7,AN7)</f>
        <v>14661446.27</v>
      </c>
      <c r="CJ7" s="19" t="n">
        <f aca="false">CI7-CH7</f>
        <v>1082449.28</v>
      </c>
      <c r="CK7" s="19" t="n">
        <f aca="false">IF(CE7-CF7+CC7-CD7+CA7-CB7+BU7-BV7+BK7-BL7+BI7-BJ7 &gt; 0, CE7-CF7+CC7-CD7+CA7-CB7+BU7-BV7+BK7-BL7+BI7-BJ7, "-")</f>
        <v>17327.8900000001</v>
      </c>
      <c r="CL7" s="20" t="str">
        <f aca="false">IF(CJ7&lt;0,"⚠ Over Budget","✓ Within Budget")</f>
        <v>✓ Within Budget</v>
      </c>
      <c r="CM7" s="21"/>
    </row>
    <row r="8" customFormat="false" ht="14.25" hidden="false" customHeight="false" outlineLevel="0" collapsed="false">
      <c r="A8" s="22" t="s">
        <v>99</v>
      </c>
      <c r="B8" s="22" t="n">
        <v>2022</v>
      </c>
      <c r="C8" s="22" t="n">
        <v>52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1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1</v>
      </c>
      <c r="Q8" s="22" t="n">
        <v>1</v>
      </c>
      <c r="R8" s="22" t="n">
        <v>0</v>
      </c>
      <c r="S8" s="22" t="n">
        <v>51</v>
      </c>
      <c r="T8" s="22" t="n">
        <v>25</v>
      </c>
      <c r="U8" s="22" t="n">
        <v>26</v>
      </c>
      <c r="V8" s="22" t="n">
        <v>48</v>
      </c>
      <c r="W8" s="22" t="n">
        <v>3</v>
      </c>
      <c r="X8" s="22" t="n">
        <v>6</v>
      </c>
      <c r="Y8" s="22" t="n">
        <v>14</v>
      </c>
      <c r="Z8" s="22" t="n">
        <v>17</v>
      </c>
      <c r="AA8" s="22" t="n">
        <v>9</v>
      </c>
      <c r="AB8" s="22" t="n">
        <v>3</v>
      </c>
      <c r="AC8" s="22" t="n">
        <v>2</v>
      </c>
      <c r="AD8" s="23" t="n">
        <v>0.230769</v>
      </c>
      <c r="AE8" s="23" t="n">
        <v>0</v>
      </c>
      <c r="AF8" s="24" t="n">
        <v>60.9</v>
      </c>
      <c r="AG8" s="25" t="n">
        <v>580479</v>
      </c>
      <c r="AH8" s="25" t="n">
        <v>946989</v>
      </c>
      <c r="AI8" s="25" t="n">
        <v>1485215</v>
      </c>
      <c r="AJ8" s="25" t="n">
        <v>2296438</v>
      </c>
      <c r="AK8" s="25" t="n">
        <v>3777314</v>
      </c>
      <c r="AL8" s="25" t="n">
        <v>6417085</v>
      </c>
      <c r="AM8" s="25" t="n">
        <v>2385563.13</v>
      </c>
      <c r="AN8" s="25" t="n">
        <v>11061061.04</v>
      </c>
      <c r="AO8" s="25" t="n">
        <v>10337440.22</v>
      </c>
      <c r="AP8" s="25" t="n">
        <v>1106106.1</v>
      </c>
      <c r="AQ8" s="25" t="n">
        <v>1033744.02</v>
      </c>
      <c r="AR8" s="25" t="n">
        <v>40222.04</v>
      </c>
      <c r="AS8" s="25" t="n">
        <v>0</v>
      </c>
      <c r="AT8" s="25" t="n">
        <v>553053.05</v>
      </c>
      <c r="AU8" s="25" t="n">
        <v>516872.01</v>
      </c>
      <c r="AV8" s="25" t="n">
        <v>108709.53</v>
      </c>
      <c r="AW8" s="25" t="n">
        <v>69425.09</v>
      </c>
      <c r="AX8" s="25" t="n">
        <v>49523.23</v>
      </c>
      <c r="AY8" s="25" t="n">
        <v>46283.39</v>
      </c>
      <c r="AZ8" s="25" t="n">
        <v>32373.84</v>
      </c>
      <c r="BA8" s="25" t="n">
        <v>0</v>
      </c>
      <c r="BB8" s="25" t="n">
        <v>2069.64</v>
      </c>
      <c r="BC8" s="25" t="n">
        <v>0</v>
      </c>
      <c r="BD8" s="25" t="n">
        <v>455.81</v>
      </c>
      <c r="BE8" s="25" t="n">
        <v>0</v>
      </c>
      <c r="BF8" s="25" t="n">
        <f aca="false">SUM(BE8,BC8,BA8,AY8,AW8,AU8,AS8,AQ8,AO8)</f>
        <v>12003764.73</v>
      </c>
      <c r="BG8" s="25" t="n">
        <v>26295</v>
      </c>
      <c r="BH8" s="25" t="n">
        <v>34558.27</v>
      </c>
      <c r="BI8" s="25" t="n">
        <v>45396.3</v>
      </c>
      <c r="BJ8" s="25" t="n">
        <v>42426.44</v>
      </c>
      <c r="BK8" s="25" t="n">
        <v>33015.49</v>
      </c>
      <c r="BL8" s="25" t="n">
        <v>30855.6</v>
      </c>
      <c r="BM8" s="25" t="n">
        <v>184886.73</v>
      </c>
      <c r="BN8" s="25" t="n">
        <v>172791.34</v>
      </c>
      <c r="BO8" s="25" t="n">
        <v>4328.95</v>
      </c>
      <c r="BP8" s="25" t="n">
        <v>0</v>
      </c>
      <c r="BQ8" s="25" t="n">
        <v>385709.78</v>
      </c>
      <c r="BR8" s="25" t="n">
        <v>360476.43</v>
      </c>
      <c r="BS8" s="25" t="n">
        <v>18571.21</v>
      </c>
      <c r="BT8" s="25" t="n">
        <v>14018.53</v>
      </c>
      <c r="BU8" s="25" t="n">
        <v>276526.53</v>
      </c>
      <c r="BV8" s="25" t="n">
        <v>258436.01</v>
      </c>
      <c r="BW8" s="25" t="n">
        <v>27733.01</v>
      </c>
      <c r="BX8" s="25" t="n">
        <v>26998.65</v>
      </c>
      <c r="BY8" s="25" t="n">
        <v>433586.31</v>
      </c>
      <c r="BZ8" s="25" t="n">
        <v>182349.38</v>
      </c>
      <c r="CA8" s="25" t="n">
        <v>57777.1</v>
      </c>
      <c r="CB8" s="25" t="n">
        <v>53997.29</v>
      </c>
      <c r="CC8" s="25" t="n">
        <v>108599.51</v>
      </c>
      <c r="CD8" s="25" t="n">
        <v>186073.92</v>
      </c>
      <c r="CE8" s="25" t="n">
        <v>35395.4</v>
      </c>
      <c r="CF8" s="25" t="n">
        <v>33079.81</v>
      </c>
      <c r="CG8" s="25" t="n">
        <f aca="false">SUM(CF8,CD8,CB8,BZ8,BX8,BV8,BT8,BR8,BP8,BN8,BL8,BJ8,BH8)</f>
        <v>1396061.67</v>
      </c>
      <c r="CH8" s="25" t="n">
        <f aca="false">CG8+BF8</f>
        <v>13399826.4</v>
      </c>
      <c r="CI8" s="25" t="n">
        <f aca="false">SUM(CE8,CC8,CA8,BY8,BW8,BU8,BS8,BQ8,BO8,BM8,BK8,BI8,BG8,BD8,BB8,AZ8,AX8,AV8,AT8,AR8,AP8,AN8)</f>
        <v>14591395.6</v>
      </c>
      <c r="CJ8" s="25" t="n">
        <f aca="false">CI8-CH8</f>
        <v>1191569.2</v>
      </c>
      <c r="CK8" s="25" t="str">
        <f aca="false">IF(CE8-CF8+CC8-CD8+CA8-CB8+BU8-BV8+BK8-BL8+BI8-BJ8 &gt; 0, CE8-CF8+CC8-CD8+CA8-CB8+BU8-BV8+BK8-BL8+BI8-BJ8, "-")</f>
        <v>-</v>
      </c>
      <c r="CL8" s="26" t="str">
        <f aca="false">IF(CJ8&lt;0,"⚠ Over Budget","✓ Within Budget")</f>
        <v>✓ Within Budget</v>
      </c>
      <c r="CM8" s="27"/>
    </row>
    <row r="9" customFormat="false" ht="14.25" hidden="false" customHeight="false" outlineLevel="0" collapsed="false">
      <c r="A9" s="16" t="s">
        <v>100</v>
      </c>
      <c r="B9" s="16" t="n">
        <v>2022</v>
      </c>
      <c r="C9" s="16" t="n">
        <v>51</v>
      </c>
      <c r="D9" s="16" t="n">
        <v>1</v>
      </c>
      <c r="E9" s="16" t="n">
        <v>1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2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53</v>
      </c>
      <c r="T9" s="16" t="n">
        <v>26</v>
      </c>
      <c r="U9" s="16" t="n">
        <v>27</v>
      </c>
      <c r="V9" s="16" t="n">
        <v>50</v>
      </c>
      <c r="W9" s="16" t="n">
        <v>3</v>
      </c>
      <c r="X9" s="16" t="n">
        <v>6</v>
      </c>
      <c r="Y9" s="16" t="n">
        <v>15</v>
      </c>
      <c r="Z9" s="16" t="n">
        <v>18</v>
      </c>
      <c r="AA9" s="16" t="n">
        <v>10</v>
      </c>
      <c r="AB9" s="16" t="n">
        <v>3</v>
      </c>
      <c r="AC9" s="16" t="n">
        <v>1</v>
      </c>
      <c r="AD9" s="17" t="n">
        <v>0</v>
      </c>
      <c r="AE9" s="17" t="n">
        <v>0</v>
      </c>
      <c r="AF9" s="18" t="n">
        <v>59.8</v>
      </c>
      <c r="AG9" s="19" t="n">
        <v>580479</v>
      </c>
      <c r="AH9" s="19" t="n">
        <v>946989</v>
      </c>
      <c r="AI9" s="19" t="n">
        <v>1485215</v>
      </c>
      <c r="AJ9" s="19" t="n">
        <v>2296438</v>
      </c>
      <c r="AK9" s="19" t="n">
        <v>3777314</v>
      </c>
      <c r="AL9" s="19" t="n">
        <v>6417085</v>
      </c>
      <c r="AM9" s="19" t="n">
        <v>2385563.13</v>
      </c>
      <c r="AN9" s="19" t="n">
        <v>11486486.46</v>
      </c>
      <c r="AO9" s="19" t="n">
        <v>10735034.08</v>
      </c>
      <c r="AP9" s="19" t="n">
        <v>1148648.65</v>
      </c>
      <c r="AQ9" s="19" t="n">
        <v>1073503.41</v>
      </c>
      <c r="AR9" s="19" t="n">
        <v>41769.04</v>
      </c>
      <c r="AS9" s="19" t="n">
        <v>0</v>
      </c>
      <c r="AT9" s="19" t="n">
        <v>574324.32</v>
      </c>
      <c r="AU9" s="19" t="n">
        <v>536751.7</v>
      </c>
      <c r="AV9" s="19" t="n">
        <v>90312.53</v>
      </c>
      <c r="AW9" s="19" t="n">
        <v>72095.29</v>
      </c>
      <c r="AX9" s="19" t="n">
        <v>51427.97</v>
      </c>
      <c r="AY9" s="19" t="n">
        <v>48063.52</v>
      </c>
      <c r="AZ9" s="19" t="n">
        <v>28015.82</v>
      </c>
      <c r="BA9" s="19" t="n">
        <v>0</v>
      </c>
      <c r="BB9" s="19" t="n">
        <v>68987.91</v>
      </c>
      <c r="BC9" s="19" t="n">
        <v>39759.39</v>
      </c>
      <c r="BD9" s="19" t="n">
        <v>683.72</v>
      </c>
      <c r="BE9" s="19" t="n">
        <v>0</v>
      </c>
      <c r="BF9" s="19" t="n">
        <f aca="false">SUM(BE9,BC9,BA9,AY9,AW9,AU9,AS9,AQ9,AO9)</f>
        <v>12505207.39</v>
      </c>
      <c r="BG9" s="19" t="n">
        <v>20479.76</v>
      </c>
      <c r="BH9" s="19" t="n">
        <v>35887.43</v>
      </c>
      <c r="BI9" s="19" t="n">
        <v>47142.31</v>
      </c>
      <c r="BJ9" s="19" t="n">
        <v>44058.23</v>
      </c>
      <c r="BK9" s="19" t="n">
        <v>34285.31</v>
      </c>
      <c r="BL9" s="19" t="n">
        <v>32042.35</v>
      </c>
      <c r="BM9" s="19" t="n">
        <v>191997.76</v>
      </c>
      <c r="BN9" s="19" t="n">
        <v>179437.16</v>
      </c>
      <c r="BO9" s="19" t="n">
        <v>303026.77</v>
      </c>
      <c r="BP9" s="19" t="n">
        <v>103840.95</v>
      </c>
      <c r="BQ9" s="19" t="n">
        <v>399995.33</v>
      </c>
      <c r="BR9" s="19" t="n">
        <v>373827.41</v>
      </c>
      <c r="BS9" s="19" t="n">
        <v>19259.03</v>
      </c>
      <c r="BT9" s="19" t="n">
        <v>14537.73</v>
      </c>
      <c r="BU9" s="19" t="n">
        <v>287162.16</v>
      </c>
      <c r="BV9" s="19" t="n">
        <v>268375.85</v>
      </c>
      <c r="BW9" s="19" t="n">
        <v>14399.83</v>
      </c>
      <c r="BX9" s="19" t="n">
        <v>28037.06</v>
      </c>
      <c r="BY9" s="19" t="n">
        <v>15237.92</v>
      </c>
      <c r="BZ9" s="19" t="n">
        <v>32042.35</v>
      </c>
      <c r="CA9" s="19" t="n">
        <v>59999.3</v>
      </c>
      <c r="CB9" s="19" t="n">
        <v>56074.11</v>
      </c>
      <c r="CC9" s="19" t="n">
        <v>112776.41</v>
      </c>
      <c r="CD9" s="19" t="n">
        <v>193230.61</v>
      </c>
      <c r="CE9" s="19" t="n">
        <v>36756.76</v>
      </c>
      <c r="CF9" s="19" t="n">
        <v>34352.11</v>
      </c>
      <c r="CG9" s="19" t="n">
        <f aca="false">SUM(CF9,CD9,CB9,BZ9,BX9,BV9,BT9,BR9,BP9,BN9,BL9,BJ9,BH9)</f>
        <v>1395743.35</v>
      </c>
      <c r="CH9" s="19" t="n">
        <f aca="false">CG9+BF9</f>
        <v>13900950.74</v>
      </c>
      <c r="CI9" s="19" t="n">
        <f aca="false">SUM(CE9,CC9,CA9,BY9,BW9,BU9,BS9,BQ9,BO9,BM9,BK9,BI9,BG9,BD9,BB9,AZ9,AX9,AV9,AT9,AR9,AP9,AN9)</f>
        <v>15033175.07</v>
      </c>
      <c r="CJ9" s="19" t="n">
        <f aca="false">CI9-CH9</f>
        <v>1132224.33</v>
      </c>
      <c r="CK9" s="19" t="str">
        <f aca="false">IF(CE9-CF9+CC9-CD9+CA9-CB9+BU9-BV9+BK9-BL9+BI9-BJ9 &gt; 0, CE9-CF9+CC9-CD9+CA9-CB9+BU9-BV9+BK9-BL9+BI9-BJ9, "-")</f>
        <v>-</v>
      </c>
      <c r="CL9" s="20" t="str">
        <f aca="false">IF(CJ9&lt;0,"⚠ Over Budget","✓ Within Budget")</f>
        <v>✓ Within Budget</v>
      </c>
      <c r="CM9" s="21"/>
    </row>
    <row r="10" customFormat="false" ht="14.25" hidden="false" customHeight="false" outlineLevel="0" collapsed="false">
      <c r="A10" s="22" t="s">
        <v>101</v>
      </c>
      <c r="B10" s="22" t="n">
        <v>2022</v>
      </c>
      <c r="C10" s="22" t="n">
        <v>53</v>
      </c>
      <c r="D10" s="22" t="n">
        <v>1</v>
      </c>
      <c r="E10" s="22" t="n">
        <v>1</v>
      </c>
      <c r="F10" s="22" t="n">
        <v>1</v>
      </c>
      <c r="G10" s="22" t="n">
        <v>0</v>
      </c>
      <c r="H10" s="22" t="n">
        <v>0</v>
      </c>
      <c r="I10" s="22" t="n">
        <v>0</v>
      </c>
      <c r="J10" s="22" t="n">
        <v>3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1</v>
      </c>
      <c r="S10" s="22" t="n">
        <v>55</v>
      </c>
      <c r="T10" s="22" t="n">
        <v>27</v>
      </c>
      <c r="U10" s="22" t="n">
        <v>28</v>
      </c>
      <c r="V10" s="22" t="n">
        <v>52</v>
      </c>
      <c r="W10" s="22" t="n">
        <v>3</v>
      </c>
      <c r="X10" s="22" t="n">
        <v>7</v>
      </c>
      <c r="Y10" s="22" t="n">
        <v>15</v>
      </c>
      <c r="Z10" s="22" t="n">
        <v>19</v>
      </c>
      <c r="AA10" s="22" t="n">
        <v>10</v>
      </c>
      <c r="AB10" s="22" t="n">
        <v>3</v>
      </c>
      <c r="AC10" s="22" t="n">
        <v>1</v>
      </c>
      <c r="AD10" s="23" t="n">
        <v>0</v>
      </c>
      <c r="AE10" s="23" t="n">
        <v>0</v>
      </c>
      <c r="AF10" s="24" t="n">
        <v>59.2</v>
      </c>
      <c r="AG10" s="25" t="n">
        <v>580479</v>
      </c>
      <c r="AH10" s="25" t="n">
        <v>946989</v>
      </c>
      <c r="AI10" s="25" t="n">
        <v>1485215</v>
      </c>
      <c r="AJ10" s="25" t="n">
        <v>2296438</v>
      </c>
      <c r="AK10" s="25" t="n">
        <v>3777314</v>
      </c>
      <c r="AL10" s="25" t="n">
        <v>6417085</v>
      </c>
      <c r="AM10" s="25" t="n">
        <v>2385563.13</v>
      </c>
      <c r="AN10" s="25" t="n">
        <v>11911911.89</v>
      </c>
      <c r="AO10" s="25" t="n">
        <v>11132627.93</v>
      </c>
      <c r="AP10" s="25" t="n">
        <v>1191191.19</v>
      </c>
      <c r="AQ10" s="25" t="n">
        <v>1113262.79</v>
      </c>
      <c r="AR10" s="25" t="n">
        <v>43316.04</v>
      </c>
      <c r="AS10" s="25" t="n">
        <v>0</v>
      </c>
      <c r="AT10" s="25" t="n">
        <v>595595.59</v>
      </c>
      <c r="AU10" s="25" t="n">
        <v>556631.4</v>
      </c>
      <c r="AV10" s="25" t="n">
        <v>78047.87</v>
      </c>
      <c r="AW10" s="25" t="n">
        <v>74765.48</v>
      </c>
      <c r="AX10" s="25" t="n">
        <v>53332.71</v>
      </c>
      <c r="AY10" s="25" t="n">
        <v>49843.65</v>
      </c>
      <c r="AZ10" s="25" t="n">
        <v>29053.44</v>
      </c>
      <c r="BA10" s="25" t="n">
        <v>0</v>
      </c>
      <c r="BB10" s="25" t="n">
        <v>68987.91</v>
      </c>
      <c r="BC10" s="25" t="n">
        <v>39759.39</v>
      </c>
      <c r="BD10" s="25" t="n">
        <v>683.72</v>
      </c>
      <c r="BE10" s="25" t="n">
        <v>0</v>
      </c>
      <c r="BF10" s="25" t="n">
        <f aca="false">SUM(BE10,BC10,BA10,AY10,AW10,AU10,AS10,AQ10,AO10)</f>
        <v>12966890.64</v>
      </c>
      <c r="BG10" s="25" t="n">
        <v>113776.45</v>
      </c>
      <c r="BH10" s="25" t="n">
        <v>79749.85</v>
      </c>
      <c r="BI10" s="25" t="n">
        <v>48888.32</v>
      </c>
      <c r="BJ10" s="25" t="n">
        <v>45690.02</v>
      </c>
      <c r="BK10" s="25" t="n">
        <v>35555.14</v>
      </c>
      <c r="BL10" s="25" t="n">
        <v>33229.1</v>
      </c>
      <c r="BM10" s="25" t="n">
        <v>199108.79</v>
      </c>
      <c r="BN10" s="25" t="n">
        <v>186082.98</v>
      </c>
      <c r="BO10" s="25" t="n">
        <v>121210.71</v>
      </c>
      <c r="BP10" s="25" t="n">
        <v>103840.95</v>
      </c>
      <c r="BQ10" s="25" t="n">
        <v>414280.88</v>
      </c>
      <c r="BR10" s="25" t="n">
        <v>387178.39</v>
      </c>
      <c r="BS10" s="25" t="n">
        <v>19946.86</v>
      </c>
      <c r="BT10" s="25" t="n">
        <v>15056.94</v>
      </c>
      <c r="BU10" s="25" t="n">
        <v>297797.8</v>
      </c>
      <c r="BV10" s="25" t="n">
        <v>278315.7</v>
      </c>
      <c r="BW10" s="25" t="n">
        <v>29866.32</v>
      </c>
      <c r="BX10" s="25" t="n">
        <v>29075.47</v>
      </c>
      <c r="BY10" s="25" t="n">
        <v>43865.06</v>
      </c>
      <c r="BZ10" s="25" t="n">
        <v>76866.34</v>
      </c>
      <c r="CA10" s="25" t="n">
        <v>62221.5</v>
      </c>
      <c r="CB10" s="25" t="n">
        <v>58150.93</v>
      </c>
      <c r="CC10" s="25" t="n">
        <v>116953.32</v>
      </c>
      <c r="CD10" s="25" t="n">
        <v>200387.3</v>
      </c>
      <c r="CE10" s="25" t="n">
        <v>38118.12</v>
      </c>
      <c r="CF10" s="25" t="n">
        <v>35624.41</v>
      </c>
      <c r="CG10" s="25" t="n">
        <f aca="false">SUM(CF10,CD10,CB10,BZ10,BX10,BV10,BT10,BR10,BP10,BN10,BL10,BJ10,BH10)</f>
        <v>1529248.38</v>
      </c>
      <c r="CH10" s="25" t="n">
        <f aca="false">CG10+BF10</f>
        <v>14496139.02</v>
      </c>
      <c r="CI10" s="25" t="n">
        <f aca="false">SUM(CE10,CC10,CA10,BY10,BW10,BU10,BS10,BQ10,BO10,BM10,BK10,BI10,BG10,BD10,BB10,AZ10,AX10,AV10,AT10,AR10,AP10,AN10)</f>
        <v>15513709.63</v>
      </c>
      <c r="CJ10" s="25" t="n">
        <f aca="false">CI10-CH10</f>
        <v>1017570.61</v>
      </c>
      <c r="CK10" s="25" t="str">
        <f aca="false">IF(CE10-CF10+CC10-CD10+CA10-CB10+BU10-BV10+BK10-BL10+BI10-BJ10 &gt; 0, CE10-CF10+CC10-CD10+CA10-CB10+BU10-BV10+BK10-BL10+BI10-BJ10, "-")</f>
        <v>-</v>
      </c>
      <c r="CL10" s="26" t="str">
        <f aca="false">IF(CJ10&lt;0,"⚠ Over Budget","✓ Within Budget")</f>
        <v>✓ Within Budget</v>
      </c>
      <c r="CM10" s="27"/>
    </row>
    <row r="11" customFormat="false" ht="14.25" hidden="false" customHeight="false" outlineLevel="0" collapsed="false">
      <c r="A11" s="16" t="s">
        <v>102</v>
      </c>
      <c r="B11" s="16" t="n">
        <v>2022</v>
      </c>
      <c r="C11" s="16" t="n">
        <v>55</v>
      </c>
      <c r="D11" s="16" t="n">
        <v>1</v>
      </c>
      <c r="E11" s="16" t="n">
        <v>1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2</v>
      </c>
      <c r="K11" s="16" t="n">
        <v>1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1</v>
      </c>
      <c r="Q11" s="16" t="n">
        <v>1</v>
      </c>
      <c r="R11" s="16" t="n">
        <v>0</v>
      </c>
      <c r="S11" s="16" t="n">
        <v>56</v>
      </c>
      <c r="T11" s="16" t="n">
        <v>26</v>
      </c>
      <c r="U11" s="16" t="n">
        <v>30</v>
      </c>
      <c r="V11" s="16" t="n">
        <v>53</v>
      </c>
      <c r="W11" s="16" t="n">
        <v>3</v>
      </c>
      <c r="X11" s="16" t="n">
        <v>7</v>
      </c>
      <c r="Y11" s="16" t="n">
        <v>16</v>
      </c>
      <c r="Z11" s="16" t="n">
        <v>19</v>
      </c>
      <c r="AA11" s="16" t="n">
        <v>10</v>
      </c>
      <c r="AB11" s="16" t="n">
        <v>3</v>
      </c>
      <c r="AC11" s="16" t="n">
        <v>1</v>
      </c>
      <c r="AD11" s="17" t="n">
        <v>0.218182</v>
      </c>
      <c r="AE11" s="17" t="n">
        <v>0</v>
      </c>
      <c r="AF11" s="18" t="n">
        <v>57.3</v>
      </c>
      <c r="AG11" s="19" t="n">
        <v>580479</v>
      </c>
      <c r="AH11" s="19" t="n">
        <v>946989</v>
      </c>
      <c r="AI11" s="19" t="n">
        <v>1485215</v>
      </c>
      <c r="AJ11" s="19" t="n">
        <v>2296438</v>
      </c>
      <c r="AK11" s="19" t="n">
        <v>3777314</v>
      </c>
      <c r="AL11" s="19" t="n">
        <v>6417085</v>
      </c>
      <c r="AM11" s="19" t="n">
        <v>2385563.13</v>
      </c>
      <c r="AN11" s="19" t="n">
        <v>11911911.89</v>
      </c>
      <c r="AO11" s="19" t="n">
        <v>11132627.93</v>
      </c>
      <c r="AP11" s="19" t="n">
        <v>1191191.19</v>
      </c>
      <c r="AQ11" s="19" t="n">
        <v>1113262.79</v>
      </c>
      <c r="AR11" s="19" t="n">
        <v>43316.04</v>
      </c>
      <c r="AS11" s="19" t="n">
        <v>0</v>
      </c>
      <c r="AT11" s="19" t="n">
        <v>595595.59</v>
      </c>
      <c r="AU11" s="19" t="n">
        <v>556631.4</v>
      </c>
      <c r="AV11" s="19" t="n">
        <v>85852.66</v>
      </c>
      <c r="AW11" s="19" t="n">
        <v>74765.48</v>
      </c>
      <c r="AX11" s="19" t="n">
        <v>53332.71</v>
      </c>
      <c r="AY11" s="19" t="n">
        <v>49843.65</v>
      </c>
      <c r="AZ11" s="19" t="n">
        <v>340423.44</v>
      </c>
      <c r="BA11" s="19" t="n">
        <v>326106.56</v>
      </c>
      <c r="BB11" s="19" t="n">
        <v>20696.37</v>
      </c>
      <c r="BC11" s="19" t="n">
        <v>19879.69</v>
      </c>
      <c r="BD11" s="19" t="n">
        <v>68371.94</v>
      </c>
      <c r="BE11" s="19" t="n">
        <v>119278.16</v>
      </c>
      <c r="BF11" s="19" t="n">
        <f aca="false">SUM(BE11,BC11,BA11,AY11,AW11,AU11,AS11,AQ11,AO11)</f>
        <v>13392395.66</v>
      </c>
      <c r="BG11" s="19" t="n">
        <v>163838.09</v>
      </c>
      <c r="BH11" s="19" t="n">
        <v>95699.82</v>
      </c>
      <c r="BI11" s="19" t="n">
        <v>48888.32</v>
      </c>
      <c r="BJ11" s="19" t="n">
        <v>45690.02</v>
      </c>
      <c r="BK11" s="19" t="n">
        <v>35555.14</v>
      </c>
      <c r="BL11" s="19" t="n">
        <v>33229.1</v>
      </c>
      <c r="BM11" s="19" t="n">
        <v>199108.79</v>
      </c>
      <c r="BN11" s="19" t="n">
        <v>186082.98</v>
      </c>
      <c r="BO11" s="19" t="n">
        <v>30302.68</v>
      </c>
      <c r="BP11" s="19" t="n">
        <v>51920.47</v>
      </c>
      <c r="BQ11" s="19" t="n">
        <v>428566.42</v>
      </c>
      <c r="BR11" s="19" t="n">
        <v>400529.37</v>
      </c>
      <c r="BS11" s="19" t="n">
        <v>17460.11</v>
      </c>
      <c r="BT11" s="19" t="n">
        <v>15576.14</v>
      </c>
      <c r="BU11" s="19" t="n">
        <v>297797.8</v>
      </c>
      <c r="BV11" s="19" t="n">
        <v>278315.7</v>
      </c>
      <c r="BW11" s="19" t="n">
        <v>59732.64</v>
      </c>
      <c r="BX11" s="19" t="n">
        <v>29075.47</v>
      </c>
      <c r="BY11" s="19" t="n">
        <v>15802.28</v>
      </c>
      <c r="BZ11" s="19" t="n">
        <v>33229.1</v>
      </c>
      <c r="CA11" s="19" t="n">
        <v>62221.5</v>
      </c>
      <c r="CB11" s="19" t="n">
        <v>58150.93</v>
      </c>
      <c r="CC11" s="19" t="n">
        <v>140343.98</v>
      </c>
      <c r="CD11" s="19" t="n">
        <v>200387.3</v>
      </c>
      <c r="CE11" s="19" t="n">
        <v>38118.12</v>
      </c>
      <c r="CF11" s="19" t="n">
        <v>35624.41</v>
      </c>
      <c r="CG11" s="19" t="n">
        <f aca="false">SUM(CF11,CD11,CB11,BZ11,BX11,BV11,BT11,BR11,BP11,BN11,BL11,BJ11,BH11)</f>
        <v>1463510.81</v>
      </c>
      <c r="CH11" s="19" t="n">
        <f aca="false">CG11+BF11</f>
        <v>14855906.47</v>
      </c>
      <c r="CI11" s="19" t="n">
        <f aca="false">SUM(CE11,CC11,CA11,BY11,BW11,BU11,BS11,BQ11,BO11,BM11,BK11,BI11,BG11,BD11,BB11,AZ11,AX11,AV11,AT11,AR11,AP11,AN11)</f>
        <v>15848427.7</v>
      </c>
      <c r="CJ11" s="19" t="n">
        <f aca="false">CI11-CH11</f>
        <v>992521.23</v>
      </c>
      <c r="CK11" s="19" t="str">
        <f aca="false">IF(CE11-CF11+CC11-CD11+CA11-CB11+BU11-BV11+BK11-BL11+BI11-BJ11 &gt; 0, CE11-CF11+CC11-CD11+CA11-CB11+BU11-BV11+BK11-BL11+BI11-BJ11, "-")</f>
        <v>-</v>
      </c>
      <c r="CL11" s="20" t="str">
        <f aca="false">IF(CJ11&lt;0,"⚠ Over Budget","✓ Within Budget")</f>
        <v>✓ Within Budget</v>
      </c>
      <c r="CM11" s="21"/>
    </row>
    <row r="12" customFormat="false" ht="14.25" hidden="false" customHeight="false" outlineLevel="0" collapsed="false">
      <c r="A12" s="22" t="s">
        <v>103</v>
      </c>
      <c r="B12" s="22" t="n">
        <v>2022</v>
      </c>
      <c r="C12" s="22" t="n">
        <v>56</v>
      </c>
      <c r="D12" s="22" t="n">
        <v>1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1</v>
      </c>
      <c r="J12" s="22" t="n">
        <v>1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1</v>
      </c>
      <c r="S12" s="22" t="n">
        <v>56</v>
      </c>
      <c r="T12" s="22" t="n">
        <v>26</v>
      </c>
      <c r="U12" s="22" t="n">
        <v>30</v>
      </c>
      <c r="V12" s="22" t="n">
        <v>53</v>
      </c>
      <c r="W12" s="22" t="n">
        <v>3</v>
      </c>
      <c r="X12" s="22" t="n">
        <v>7</v>
      </c>
      <c r="Y12" s="22" t="n">
        <v>16</v>
      </c>
      <c r="Z12" s="22" t="n">
        <v>19</v>
      </c>
      <c r="AA12" s="22" t="n">
        <v>10</v>
      </c>
      <c r="AB12" s="22" t="n">
        <v>3</v>
      </c>
      <c r="AC12" s="22" t="n">
        <v>1</v>
      </c>
      <c r="AD12" s="23" t="n">
        <v>0</v>
      </c>
      <c r="AE12" s="23" t="n">
        <v>0.0144060151492507</v>
      </c>
      <c r="AF12" s="24" t="n">
        <v>56.8</v>
      </c>
      <c r="AG12" s="25" t="n">
        <v>590727</v>
      </c>
      <c r="AH12" s="25" t="n">
        <v>963840</v>
      </c>
      <c r="AI12" s="25" t="n">
        <v>1502423</v>
      </c>
      <c r="AJ12" s="25" t="n">
        <v>2328074</v>
      </c>
      <c r="AK12" s="25" t="n">
        <v>3818430</v>
      </c>
      <c r="AL12" s="25" t="n">
        <v>6491715</v>
      </c>
      <c r="AM12" s="25" t="n">
        <v>2417387.12</v>
      </c>
      <c r="AN12" s="25" t="n">
        <v>12501920.36</v>
      </c>
      <c r="AO12" s="25" t="n">
        <v>11684037.72</v>
      </c>
      <c r="AP12" s="25" t="n">
        <v>1250192.04</v>
      </c>
      <c r="AQ12" s="25" t="n">
        <v>1168403.77</v>
      </c>
      <c r="AR12" s="25" t="n">
        <v>1454768.92</v>
      </c>
      <c r="AS12" s="25" t="n">
        <v>467361.51</v>
      </c>
      <c r="AT12" s="25" t="n">
        <v>625096.02</v>
      </c>
      <c r="AU12" s="25" t="n">
        <v>584201.89</v>
      </c>
      <c r="AV12" s="25" t="n">
        <v>72751.76</v>
      </c>
      <c r="AW12" s="25" t="n">
        <v>77435.68</v>
      </c>
      <c r="AX12" s="25" t="n">
        <v>55237.45</v>
      </c>
      <c r="AY12" s="25" t="n">
        <v>51623.79</v>
      </c>
      <c r="AZ12" s="25" t="n">
        <v>651733.05</v>
      </c>
      <c r="BA12" s="25" t="n">
        <v>312161.86</v>
      </c>
      <c r="BB12" s="25" t="n">
        <v>62917.4</v>
      </c>
      <c r="BC12" s="25" t="n">
        <v>60434.68</v>
      </c>
      <c r="BD12" s="25" t="n">
        <v>230.95</v>
      </c>
      <c r="BE12" s="25" t="n">
        <v>0</v>
      </c>
      <c r="BF12" s="25" t="n">
        <f aca="false">SUM(BE12,BC12,BA12,AY12,AW12,AU12,AS12,AQ12,AO12)</f>
        <v>14405660.9</v>
      </c>
      <c r="BG12" s="25" t="n">
        <v>102651.64</v>
      </c>
      <c r="BH12" s="25" t="n">
        <v>77091.52</v>
      </c>
      <c r="BI12" s="25" t="n">
        <v>50634.33</v>
      </c>
      <c r="BJ12" s="25" t="n">
        <v>47321.8</v>
      </c>
      <c r="BK12" s="25" t="n">
        <v>36824.97</v>
      </c>
      <c r="BL12" s="25" t="n">
        <v>34415.86</v>
      </c>
      <c r="BM12" s="25" t="n">
        <v>206219.81</v>
      </c>
      <c r="BN12" s="25" t="n">
        <v>192728.8</v>
      </c>
      <c r="BO12" s="25" t="n">
        <v>90908.03</v>
      </c>
      <c r="BP12" s="25" t="n">
        <v>155761.42</v>
      </c>
      <c r="BQ12" s="25" t="n">
        <v>442851.97</v>
      </c>
      <c r="BR12" s="25" t="n">
        <v>413880.35</v>
      </c>
      <c r="BS12" s="25" t="n">
        <v>16401.92</v>
      </c>
      <c r="BT12" s="25" t="n">
        <v>16095.35</v>
      </c>
      <c r="BU12" s="25" t="n">
        <v>312548.01</v>
      </c>
      <c r="BV12" s="25" t="n">
        <v>292100.94</v>
      </c>
      <c r="BW12" s="25" t="n">
        <v>46399.46</v>
      </c>
      <c r="BX12" s="25" t="n">
        <v>30113.87</v>
      </c>
      <c r="BY12" s="25" t="n">
        <v>809959.9</v>
      </c>
      <c r="BZ12" s="25" t="n">
        <v>266122.92</v>
      </c>
      <c r="CA12" s="25" t="n">
        <v>64443.69</v>
      </c>
      <c r="CB12" s="25" t="n">
        <v>60227.75</v>
      </c>
      <c r="CC12" s="25" t="n">
        <v>196393.8</v>
      </c>
      <c r="CD12" s="25" t="n">
        <v>210312.68</v>
      </c>
      <c r="CE12" s="25" t="n">
        <v>40006.15</v>
      </c>
      <c r="CF12" s="25" t="n">
        <v>37388.92</v>
      </c>
      <c r="CG12" s="25" t="n">
        <f aca="false">SUM(CF12,CD12,CB12,BZ12,BX12,BV12,BT12,BR12,BP12,BN12,BL12,BJ12,BH12)</f>
        <v>1833562.18</v>
      </c>
      <c r="CH12" s="25" t="n">
        <f aca="false">CG12+BF12</f>
        <v>16239223.08</v>
      </c>
      <c r="CI12" s="25" t="n">
        <f aca="false">SUM(CE12,CC12,CA12,BY12,BW12,BU12,BS12,BQ12,BO12,BM12,BK12,BI12,BG12,BD12,BB12,AZ12,AX12,AV12,AT12,AR12,AP12,AN12)</f>
        <v>19091091.63</v>
      </c>
      <c r="CJ12" s="25" t="n">
        <f aca="false">CI12-CH12</f>
        <v>2851868.55</v>
      </c>
      <c r="CK12" s="25" t="n">
        <f aca="false">IF(CE12-CF12+CC12-CD12+CA12-CB12+BU12-BV12+BK12-BL12+BI12-BJ12 &gt; 0, CE12-CF12+CC12-CD12+CA12-CB12+BU12-BV12+BK12-BL12+BI12-BJ12, "-")</f>
        <v>19083</v>
      </c>
      <c r="CL12" s="26" t="str">
        <f aca="false">IF(CJ12&lt;0,"⚠ Over Budget","✓ Within Budget")</f>
        <v>✓ Within Budget</v>
      </c>
      <c r="CM12" s="27"/>
    </row>
    <row r="13" customFormat="false" ht="14.25" hidden="false" customHeight="false" outlineLevel="0" collapsed="false">
      <c r="A13" s="16" t="s">
        <v>104</v>
      </c>
      <c r="B13" s="16" t="n">
        <v>2022</v>
      </c>
      <c r="C13" s="16" t="n">
        <v>56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56</v>
      </c>
      <c r="T13" s="16" t="n">
        <v>26</v>
      </c>
      <c r="U13" s="16" t="n">
        <v>30</v>
      </c>
      <c r="V13" s="16" t="n">
        <v>53</v>
      </c>
      <c r="W13" s="16" t="n">
        <v>3</v>
      </c>
      <c r="X13" s="16" t="n">
        <v>7</v>
      </c>
      <c r="Y13" s="16" t="n">
        <v>16</v>
      </c>
      <c r="Z13" s="16" t="n">
        <v>19</v>
      </c>
      <c r="AA13" s="16" t="n">
        <v>10</v>
      </c>
      <c r="AB13" s="16" t="n">
        <v>3</v>
      </c>
      <c r="AC13" s="16" t="n">
        <v>1</v>
      </c>
      <c r="AD13" s="17" t="n">
        <v>0</v>
      </c>
      <c r="AE13" s="17" t="n">
        <v>0</v>
      </c>
      <c r="AF13" s="18" t="n">
        <v>56.2</v>
      </c>
      <c r="AG13" s="19" t="n">
        <v>590727</v>
      </c>
      <c r="AH13" s="19" t="n">
        <v>963840</v>
      </c>
      <c r="AI13" s="19" t="n">
        <v>1502423</v>
      </c>
      <c r="AJ13" s="19" t="n">
        <v>2328074</v>
      </c>
      <c r="AK13" s="19" t="n">
        <v>3818430</v>
      </c>
      <c r="AL13" s="19" t="n">
        <v>6491715</v>
      </c>
      <c r="AM13" s="19" t="n">
        <v>2417387.12</v>
      </c>
      <c r="AN13" s="19" t="n">
        <v>12501920.36</v>
      </c>
      <c r="AO13" s="19" t="n">
        <v>11684037.72</v>
      </c>
      <c r="AP13" s="19" t="n">
        <v>1250192.04</v>
      </c>
      <c r="AQ13" s="19" t="n">
        <v>1168403.77</v>
      </c>
      <c r="AR13" s="19" t="n">
        <v>147749.97</v>
      </c>
      <c r="AS13" s="19" t="n">
        <v>0</v>
      </c>
      <c r="AT13" s="19" t="n">
        <v>625096.02</v>
      </c>
      <c r="AU13" s="19" t="n">
        <v>584201.89</v>
      </c>
      <c r="AV13" s="19" t="n">
        <v>86224.31</v>
      </c>
      <c r="AW13" s="19" t="n">
        <v>103247.57</v>
      </c>
      <c r="AX13" s="19" t="n">
        <v>55237.45</v>
      </c>
      <c r="AY13" s="19" t="n">
        <v>51623.79</v>
      </c>
      <c r="AZ13" s="19" t="n">
        <v>60984.98</v>
      </c>
      <c r="BA13" s="19" t="n">
        <v>0</v>
      </c>
      <c r="BB13" s="19" t="n">
        <v>699.08</v>
      </c>
      <c r="BC13" s="19" t="n">
        <v>0</v>
      </c>
      <c r="BD13" s="19" t="n">
        <v>230.95</v>
      </c>
      <c r="BE13" s="19" t="n">
        <v>0</v>
      </c>
      <c r="BF13" s="19" t="n">
        <f aca="false">SUM(BE13,BC13,BA13,AY13,AW13,AU13,AS13,AQ13,AO13)</f>
        <v>13591514.74</v>
      </c>
      <c r="BG13" s="19" t="n">
        <v>134075.61</v>
      </c>
      <c r="BH13" s="19" t="n">
        <v>88104.59</v>
      </c>
      <c r="BI13" s="19" t="n">
        <v>50634.33</v>
      </c>
      <c r="BJ13" s="19" t="n">
        <v>47321.8</v>
      </c>
      <c r="BK13" s="19" t="n">
        <v>36824.97</v>
      </c>
      <c r="BL13" s="19" t="n">
        <v>34415.86</v>
      </c>
      <c r="BM13" s="19" t="n">
        <v>206219.81</v>
      </c>
      <c r="BN13" s="19" t="n">
        <v>192728.8</v>
      </c>
      <c r="BO13" s="19" t="n">
        <v>4328.95</v>
      </c>
      <c r="BP13" s="19" t="n">
        <v>0</v>
      </c>
      <c r="BQ13" s="19" t="n">
        <v>442851.97</v>
      </c>
      <c r="BR13" s="19" t="n">
        <v>413880.35</v>
      </c>
      <c r="BS13" s="19" t="n">
        <v>14761.73</v>
      </c>
      <c r="BT13" s="19" t="n">
        <v>16095.35</v>
      </c>
      <c r="BU13" s="19" t="n">
        <v>312548.01</v>
      </c>
      <c r="BV13" s="19" t="n">
        <v>292100.94</v>
      </c>
      <c r="BW13" s="19" t="n">
        <v>30932.97</v>
      </c>
      <c r="BX13" s="19" t="n">
        <v>30113.87</v>
      </c>
      <c r="BY13" s="19" t="n">
        <v>136855.15</v>
      </c>
      <c r="BZ13" s="19" t="n">
        <v>95926.51</v>
      </c>
      <c r="CA13" s="19" t="n">
        <v>64443.69</v>
      </c>
      <c r="CB13" s="19" t="n">
        <v>60227.75</v>
      </c>
      <c r="CC13" s="19" t="n">
        <v>196393.8</v>
      </c>
      <c r="CD13" s="19" t="n">
        <v>210312.68</v>
      </c>
      <c r="CE13" s="19" t="n">
        <v>40006.15</v>
      </c>
      <c r="CF13" s="19" t="n">
        <v>37388.92</v>
      </c>
      <c r="CG13" s="19" t="n">
        <f aca="false">SUM(CF13,CD13,CB13,BZ13,BX13,BV13,BT13,BR13,BP13,BN13,BL13,BJ13,BH13)</f>
        <v>1518617.42</v>
      </c>
      <c r="CH13" s="19" t="n">
        <f aca="false">CG13+BF13</f>
        <v>15110132.16</v>
      </c>
      <c r="CI13" s="19" t="n">
        <f aca="false">SUM(CE13,CC13,CA13,BY13,BW13,BU13,BS13,BQ13,BO13,BM13,BK13,BI13,BG13,BD13,BB13,AZ13,AX13,AV13,AT13,AR13,AP13,AN13)</f>
        <v>16399212.3</v>
      </c>
      <c r="CJ13" s="19" t="n">
        <f aca="false">CI13-CH13</f>
        <v>1289080.14</v>
      </c>
      <c r="CK13" s="19" t="n">
        <f aca="false">IF(CE13-CF13+CC13-CD13+CA13-CB13+BU13-BV13+BK13-BL13+BI13-BJ13 &gt; 0, CE13-CF13+CC13-CD13+CA13-CB13+BU13-BV13+BK13-BL13+BI13-BJ13, "-")</f>
        <v>19083</v>
      </c>
      <c r="CL13" s="20" t="str">
        <f aca="false">IF(CJ13&lt;0,"⚠ Over Budget","✓ Within Budget")</f>
        <v>✓ Within Budget</v>
      </c>
      <c r="CM13" s="21"/>
    </row>
    <row r="14" customFormat="false" ht="14.25" hidden="false" customHeight="false" outlineLevel="0" collapsed="false">
      <c r="A14" s="22" t="s">
        <v>105</v>
      </c>
      <c r="B14" s="22" t="n">
        <v>2022</v>
      </c>
      <c r="C14" s="22" t="n">
        <v>56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56</v>
      </c>
      <c r="T14" s="22" t="n">
        <v>26</v>
      </c>
      <c r="U14" s="22" t="n">
        <v>30</v>
      </c>
      <c r="V14" s="22" t="n">
        <v>53</v>
      </c>
      <c r="W14" s="22" t="n">
        <v>3</v>
      </c>
      <c r="X14" s="22" t="n">
        <v>7</v>
      </c>
      <c r="Y14" s="22" t="n">
        <v>16</v>
      </c>
      <c r="Z14" s="22" t="n">
        <v>19</v>
      </c>
      <c r="AA14" s="22" t="n">
        <v>10</v>
      </c>
      <c r="AB14" s="22" t="n">
        <v>3</v>
      </c>
      <c r="AC14" s="22" t="n">
        <v>1</v>
      </c>
      <c r="AD14" s="23" t="n">
        <v>0</v>
      </c>
      <c r="AE14" s="23" t="n">
        <v>0</v>
      </c>
      <c r="AF14" s="24" t="n">
        <v>55.9</v>
      </c>
      <c r="AG14" s="25" t="n">
        <v>590727</v>
      </c>
      <c r="AH14" s="25" t="n">
        <v>963840</v>
      </c>
      <c r="AI14" s="25" t="n">
        <v>1502423</v>
      </c>
      <c r="AJ14" s="25" t="n">
        <v>2328074</v>
      </c>
      <c r="AK14" s="25" t="n">
        <v>3818430</v>
      </c>
      <c r="AL14" s="25" t="n">
        <v>6491715</v>
      </c>
      <c r="AM14" s="25" t="n">
        <v>2417387.12</v>
      </c>
      <c r="AN14" s="25" t="n">
        <v>12501920.36</v>
      </c>
      <c r="AO14" s="25" t="n">
        <v>11684037.72</v>
      </c>
      <c r="AP14" s="25" t="n">
        <v>1250192.04</v>
      </c>
      <c r="AQ14" s="25" t="n">
        <v>1168403.77</v>
      </c>
      <c r="AR14" s="25" t="n">
        <v>5455383.43</v>
      </c>
      <c r="AS14" s="25" t="n">
        <v>1168403.77</v>
      </c>
      <c r="AT14" s="25" t="n">
        <v>625096.02</v>
      </c>
      <c r="AU14" s="25" t="n">
        <v>584201.89</v>
      </c>
      <c r="AV14" s="25" t="n">
        <v>75446.27</v>
      </c>
      <c r="AW14" s="25" t="n">
        <v>103247.57</v>
      </c>
      <c r="AX14" s="25" t="n">
        <v>55237.45</v>
      </c>
      <c r="AY14" s="25" t="n">
        <v>51623.79</v>
      </c>
      <c r="AZ14" s="25" t="n">
        <v>517714.12</v>
      </c>
      <c r="BA14" s="25" t="n">
        <v>330627.4</v>
      </c>
      <c r="BB14" s="25" t="n">
        <v>699.08</v>
      </c>
      <c r="BC14" s="25" t="n">
        <v>0</v>
      </c>
      <c r="BD14" s="25" t="n">
        <v>230.95</v>
      </c>
      <c r="BE14" s="25" t="n">
        <v>0</v>
      </c>
      <c r="BF14" s="25" t="n">
        <f aca="false">SUM(BE14,BC14,BA14,AY14,AW14,AU14,AS14,AQ14,AO14)</f>
        <v>15090545.91</v>
      </c>
      <c r="BG14" s="25" t="n">
        <v>21996.78</v>
      </c>
      <c r="BH14" s="25" t="n">
        <v>38545.76</v>
      </c>
      <c r="BI14" s="25" t="n">
        <v>50634.33</v>
      </c>
      <c r="BJ14" s="25" t="n">
        <v>47321.8</v>
      </c>
      <c r="BK14" s="25" t="n">
        <v>36824.97</v>
      </c>
      <c r="BL14" s="25" t="n">
        <v>34415.86</v>
      </c>
      <c r="BM14" s="25" t="n">
        <v>206219.81</v>
      </c>
      <c r="BN14" s="25" t="n">
        <v>192728.8</v>
      </c>
      <c r="BO14" s="25" t="n">
        <v>4328.95</v>
      </c>
      <c r="BP14" s="25" t="n">
        <v>0</v>
      </c>
      <c r="BQ14" s="25" t="n">
        <v>442851.97</v>
      </c>
      <c r="BR14" s="25" t="n">
        <v>413880.35</v>
      </c>
      <c r="BS14" s="25" t="n">
        <v>13121.54</v>
      </c>
      <c r="BT14" s="25" t="n">
        <v>16095.35</v>
      </c>
      <c r="BU14" s="25" t="n">
        <v>312548.01</v>
      </c>
      <c r="BV14" s="25" t="n">
        <v>292100.94</v>
      </c>
      <c r="BW14" s="25" t="n">
        <v>15466.49</v>
      </c>
      <c r="BX14" s="25" t="n">
        <v>30113.87</v>
      </c>
      <c r="BY14" s="25" t="n">
        <v>163546.13</v>
      </c>
      <c r="BZ14" s="25" t="n">
        <v>114635.14</v>
      </c>
      <c r="CA14" s="25" t="n">
        <v>64443.69</v>
      </c>
      <c r="CB14" s="25" t="n">
        <v>60227.75</v>
      </c>
      <c r="CC14" s="25" t="n">
        <v>122746.13</v>
      </c>
      <c r="CD14" s="25" t="n">
        <v>210312.68</v>
      </c>
      <c r="CE14" s="25" t="n">
        <v>40006.15</v>
      </c>
      <c r="CF14" s="25" t="n">
        <v>37388.92</v>
      </c>
      <c r="CG14" s="25" t="n">
        <f aca="false">SUM(CF14,CD14,CB14,BZ14,BX14,BV14,BT14,BR14,BP14,BN14,BL14,BJ14,BH14)</f>
        <v>1487767.22</v>
      </c>
      <c r="CH14" s="25" t="n">
        <f aca="false">CG14+BF14</f>
        <v>16578313.13</v>
      </c>
      <c r="CI14" s="25" t="n">
        <f aca="false">SUM(CE14,CC14,CA14,BY14,BW14,BU14,BS14,BQ14,BO14,BM14,BK14,BI14,BG14,BD14,BB14,AZ14,AX14,AV14,AT14,AR14,AP14,AN14)</f>
        <v>21976654.67</v>
      </c>
      <c r="CJ14" s="25" t="n">
        <f aca="false">CI14-CH14</f>
        <v>5398341.54</v>
      </c>
      <c r="CK14" s="25" t="str">
        <f aca="false">IF(CE14-CF14+CC14-CD14+CA14-CB14+BU14-BV14+BK14-BL14+BI14-BJ14 &gt; 0, CE14-CF14+CC14-CD14+CA14-CB14+BU14-BV14+BK14-BL14+BI14-BJ14, "-")</f>
        <v>-</v>
      </c>
      <c r="CL14" s="26" t="str">
        <f aca="false">IF(CJ14&lt;0,"⚠ Over Budget","✓ Within Budget")</f>
        <v>✓ Within Budget</v>
      </c>
      <c r="CM14" s="27"/>
    </row>
    <row r="15" customFormat="false" ht="14.25" hidden="false" customHeight="false" outlineLevel="0" collapsed="false">
      <c r="A15" s="28" t="s">
        <v>92</v>
      </c>
      <c r="B15" s="28" t="n">
        <v>2023</v>
      </c>
      <c r="C15" s="28" t="n">
        <v>56</v>
      </c>
      <c r="D15" s="28" t="n">
        <v>1</v>
      </c>
      <c r="E15" s="28" t="n">
        <v>1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2</v>
      </c>
      <c r="K15" s="28" t="n">
        <v>1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1</v>
      </c>
      <c r="Q15" s="28" t="n">
        <v>1</v>
      </c>
      <c r="R15" s="28" t="n">
        <v>0</v>
      </c>
      <c r="S15" s="28" t="n">
        <v>57</v>
      </c>
      <c r="T15" s="28" t="n">
        <v>30</v>
      </c>
      <c r="U15" s="28" t="n">
        <v>27</v>
      </c>
      <c r="V15" s="28" t="n">
        <v>54</v>
      </c>
      <c r="W15" s="28" t="n">
        <v>3</v>
      </c>
      <c r="X15" s="28" t="n">
        <v>7</v>
      </c>
      <c r="Y15" s="28" t="n">
        <v>16</v>
      </c>
      <c r="Z15" s="28" t="n">
        <v>19</v>
      </c>
      <c r="AA15" s="28" t="n">
        <v>10</v>
      </c>
      <c r="AB15" s="28" t="n">
        <v>3</v>
      </c>
      <c r="AC15" s="28" t="n">
        <v>2</v>
      </c>
      <c r="AD15" s="29" t="n">
        <v>0.214286</v>
      </c>
      <c r="AE15" s="29" t="n">
        <v>0</v>
      </c>
      <c r="AF15" s="30" t="n">
        <v>56.8</v>
      </c>
      <c r="AG15" s="31" t="n">
        <v>590727</v>
      </c>
      <c r="AH15" s="31" t="n">
        <v>963840</v>
      </c>
      <c r="AI15" s="31" t="n">
        <v>1502423</v>
      </c>
      <c r="AJ15" s="31" t="n">
        <v>2328074</v>
      </c>
      <c r="AK15" s="31" t="n">
        <v>3818430</v>
      </c>
      <c r="AL15" s="31" t="n">
        <v>6491715</v>
      </c>
      <c r="AM15" s="31" t="n">
        <v>2294171.72</v>
      </c>
      <c r="AN15" s="31" t="n">
        <v>12069255.05</v>
      </c>
      <c r="AO15" s="31" t="n">
        <v>12688243.4</v>
      </c>
      <c r="AP15" s="31" t="n">
        <v>1206925.51</v>
      </c>
      <c r="AQ15" s="31" t="n">
        <v>1127967.76</v>
      </c>
      <c r="AR15" s="31" t="n">
        <v>197496.9</v>
      </c>
      <c r="AS15" s="31" t="n">
        <v>676780.66</v>
      </c>
      <c r="AT15" s="31" t="n">
        <v>603462.75</v>
      </c>
      <c r="AU15" s="31" t="n">
        <v>563983.88</v>
      </c>
      <c r="AV15" s="31" t="n">
        <v>83240.27</v>
      </c>
      <c r="AW15" s="31" t="n">
        <v>99674.39</v>
      </c>
      <c r="AX15" s="31" t="n">
        <v>53325.8</v>
      </c>
      <c r="AY15" s="31" t="n">
        <v>49837.19</v>
      </c>
      <c r="AZ15" s="31" t="n">
        <v>29437.21</v>
      </c>
      <c r="BA15" s="31" t="n">
        <v>0</v>
      </c>
      <c r="BB15" s="31" t="n">
        <v>33172.48</v>
      </c>
      <c r="BC15" s="31" t="n">
        <v>2443200.12</v>
      </c>
      <c r="BD15" s="31" t="n">
        <v>526.02</v>
      </c>
      <c r="BE15" s="31" t="n">
        <v>0</v>
      </c>
      <c r="BF15" s="31" t="n">
        <f aca="false">SUM(BE15,BC15,BA15,AY15,AW15,AU15,AS15,AQ15,AO15)</f>
        <v>17649687.4</v>
      </c>
      <c r="BG15" s="31" t="n">
        <v>14157.01</v>
      </c>
      <c r="BH15" s="31" t="n">
        <v>37211.77</v>
      </c>
      <c r="BI15" s="31" t="n">
        <v>48881.98</v>
      </c>
      <c r="BJ15" s="31" t="n">
        <v>45684.09</v>
      </c>
      <c r="BK15" s="31" t="n">
        <v>35550.53</v>
      </c>
      <c r="BL15" s="31" t="n">
        <v>33224.8</v>
      </c>
      <c r="BM15" s="31" t="n">
        <v>199082.98</v>
      </c>
      <c r="BN15" s="31" t="n">
        <v>186058.86</v>
      </c>
      <c r="BO15" s="31" t="n">
        <v>143790.67</v>
      </c>
      <c r="BP15" s="31" t="n">
        <v>1185414.16</v>
      </c>
      <c r="BQ15" s="31" t="n">
        <v>379607.37</v>
      </c>
      <c r="BR15" s="31" t="n">
        <v>354773.25</v>
      </c>
      <c r="BS15" s="31" t="n">
        <v>12653.58</v>
      </c>
      <c r="BT15" s="31" t="n">
        <v>13796.74</v>
      </c>
      <c r="BU15" s="31" t="n">
        <v>301731.38</v>
      </c>
      <c r="BV15" s="31" t="n">
        <v>281991.94</v>
      </c>
      <c r="BW15" s="31" t="n">
        <v>14931.22</v>
      </c>
      <c r="BX15" s="31" t="n">
        <v>29071.7</v>
      </c>
      <c r="BY15" s="31" t="n">
        <v>15800.24</v>
      </c>
      <c r="BZ15" s="31" t="n">
        <v>33224.8</v>
      </c>
      <c r="CA15" s="31" t="n">
        <v>62213.43</v>
      </c>
      <c r="CB15" s="31" t="n">
        <v>58143.39</v>
      </c>
      <c r="CC15" s="31" t="n">
        <v>118498.14</v>
      </c>
      <c r="CD15" s="31" t="n">
        <v>203034.2</v>
      </c>
      <c r="CE15" s="31" t="n">
        <v>38621.62</v>
      </c>
      <c r="CF15" s="31" t="n">
        <v>36094.97</v>
      </c>
      <c r="CG15" s="31" t="n">
        <f aca="false">SUM(CF15,CD15,CB15,BZ15,BX15,BV15,BT15,BR15,BP15,BN15,BL15,BJ15,BH15)</f>
        <v>2497724.67</v>
      </c>
      <c r="CH15" s="31" t="n">
        <f aca="false">CG15+BF15</f>
        <v>20147412.07</v>
      </c>
      <c r="CI15" s="31" t="n">
        <f aca="false">SUM(CE15,CC15,CA15,BY15,BW15,BU15,BS15,BQ15,BO15,BM15,BK15,BI15,BG15,BD15,BB15,AZ15,AX15,AV15,AT15,AR15,AP15,AN15)</f>
        <v>15662362.14</v>
      </c>
      <c r="CJ15" s="31" t="n">
        <f aca="false">CI15-CH15</f>
        <v>-4485049.93</v>
      </c>
      <c r="CK15" s="31" t="str">
        <f aca="false">IF(CE15-CF15+CC15-CD15+CA15-CB15+BU15-BV15+BK15-BL15+BI15-BJ15 &gt; 0, CE15-CF15+CC15-CD15+CA15-CB15+BU15-BV15+BK15-BL15+BI15-BJ15, "-")</f>
        <v>-</v>
      </c>
      <c r="CL15" s="32" t="str">
        <f aca="false">IF(CJ15&lt;0,"⚠ Over Budget","✓ Within Budget")</f>
        <v>⚠ Over Budget</v>
      </c>
      <c r="CM15" s="33" t="s">
        <v>106</v>
      </c>
    </row>
    <row r="16" customFormat="false" ht="14.25" hidden="false" customHeight="false" outlineLevel="0" collapsed="false">
      <c r="A16" s="22" t="s">
        <v>93</v>
      </c>
      <c r="B16" s="22" t="n">
        <v>2023</v>
      </c>
      <c r="C16" s="22" t="n">
        <v>57</v>
      </c>
      <c r="D16" s="22" t="n">
        <v>1</v>
      </c>
      <c r="E16" s="22" t="n">
        <v>1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2</v>
      </c>
      <c r="K16" s="22" t="n">
        <v>1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1</v>
      </c>
      <c r="Q16" s="22" t="n">
        <v>1</v>
      </c>
      <c r="R16" s="22" t="n">
        <v>0</v>
      </c>
      <c r="S16" s="22" t="n">
        <v>58</v>
      </c>
      <c r="T16" s="22" t="n">
        <v>30</v>
      </c>
      <c r="U16" s="22" t="n">
        <v>28</v>
      </c>
      <c r="V16" s="22" t="n">
        <v>55</v>
      </c>
      <c r="W16" s="22" t="n">
        <v>3</v>
      </c>
      <c r="X16" s="22" t="n">
        <v>7</v>
      </c>
      <c r="Y16" s="22" t="n">
        <v>16</v>
      </c>
      <c r="Z16" s="22" t="n">
        <v>20</v>
      </c>
      <c r="AA16" s="22" t="n">
        <v>10</v>
      </c>
      <c r="AB16" s="22" t="n">
        <v>3</v>
      </c>
      <c r="AC16" s="22" t="n">
        <v>2</v>
      </c>
      <c r="AD16" s="23" t="n">
        <v>0.210526</v>
      </c>
      <c r="AE16" s="23" t="n">
        <v>0</v>
      </c>
      <c r="AF16" s="24" t="n">
        <v>56.3</v>
      </c>
      <c r="AG16" s="25" t="n">
        <v>590727</v>
      </c>
      <c r="AH16" s="25" t="n">
        <v>963840</v>
      </c>
      <c r="AI16" s="25" t="n">
        <v>1502423</v>
      </c>
      <c r="AJ16" s="25" t="n">
        <v>2328074</v>
      </c>
      <c r="AK16" s="25" t="n">
        <v>3818430</v>
      </c>
      <c r="AL16" s="25" t="n">
        <v>6491715</v>
      </c>
      <c r="AM16" s="25" t="n">
        <v>2294171.72</v>
      </c>
      <c r="AN16" s="25" t="n">
        <v>12478382.34</v>
      </c>
      <c r="AO16" s="25" t="n">
        <v>11662039.57</v>
      </c>
      <c r="AP16" s="25" t="n">
        <v>1247838.23</v>
      </c>
      <c r="AQ16" s="25" t="n">
        <v>1166203.96</v>
      </c>
      <c r="AR16" s="25" t="n">
        <v>34031.95</v>
      </c>
      <c r="AS16" s="25" t="n">
        <v>0</v>
      </c>
      <c r="AT16" s="25" t="n">
        <v>623919.12</v>
      </c>
      <c r="AU16" s="25" t="n">
        <v>583101.98</v>
      </c>
      <c r="AV16" s="25" t="n">
        <v>86061.97</v>
      </c>
      <c r="AW16" s="25" t="n">
        <v>103053.18</v>
      </c>
      <c r="AX16" s="25" t="n">
        <v>55133.45</v>
      </c>
      <c r="AY16" s="25" t="n">
        <v>51526.59</v>
      </c>
      <c r="AZ16" s="25" t="n">
        <v>30435.08</v>
      </c>
      <c r="BA16" s="25" t="n">
        <v>0</v>
      </c>
      <c r="BB16" s="25" t="n">
        <v>99517.45</v>
      </c>
      <c r="BC16" s="25" t="n">
        <v>95590.49</v>
      </c>
      <c r="BD16" s="25" t="n">
        <v>657.53</v>
      </c>
      <c r="BE16" s="25" t="n">
        <v>0</v>
      </c>
      <c r="BF16" s="25" t="n">
        <f aca="false">SUM(BE16,BC16,BA16,AY16,AW16,AU16,AS16,AQ16,AO16)</f>
        <v>13661515.77</v>
      </c>
      <c r="BG16" s="25" t="n">
        <v>14636.91</v>
      </c>
      <c r="BH16" s="25" t="n">
        <v>38473.19</v>
      </c>
      <c r="BI16" s="25" t="n">
        <v>50539</v>
      </c>
      <c r="BJ16" s="25" t="n">
        <v>47232.71</v>
      </c>
      <c r="BK16" s="25" t="n">
        <v>36755.63</v>
      </c>
      <c r="BL16" s="25" t="n">
        <v>34351.06</v>
      </c>
      <c r="BM16" s="25" t="n">
        <v>205831.55</v>
      </c>
      <c r="BN16" s="25" t="n">
        <v>192365.94</v>
      </c>
      <c r="BO16" s="25" t="n">
        <v>143790.67</v>
      </c>
      <c r="BP16" s="25" t="n">
        <v>246370.31</v>
      </c>
      <c r="BQ16" s="25" t="n">
        <v>393164.78</v>
      </c>
      <c r="BR16" s="25" t="n">
        <v>367443.72</v>
      </c>
      <c r="BS16" s="25" t="n">
        <v>13105.49</v>
      </c>
      <c r="BT16" s="25" t="n">
        <v>14289.48</v>
      </c>
      <c r="BU16" s="25" t="n">
        <v>311959.56</v>
      </c>
      <c r="BV16" s="25" t="n">
        <v>291550.99</v>
      </c>
      <c r="BW16" s="25" t="n">
        <v>15437.37</v>
      </c>
      <c r="BX16" s="25" t="n">
        <v>30057.18</v>
      </c>
      <c r="BY16" s="25" t="n">
        <v>16335.84</v>
      </c>
      <c r="BZ16" s="25" t="n">
        <v>34351.06</v>
      </c>
      <c r="CA16" s="25" t="n">
        <v>64322.36</v>
      </c>
      <c r="CB16" s="25" t="n">
        <v>60114.36</v>
      </c>
      <c r="CC16" s="25" t="n">
        <v>122515.03</v>
      </c>
      <c r="CD16" s="25" t="n">
        <v>209916.71</v>
      </c>
      <c r="CE16" s="25" t="n">
        <v>39930.82</v>
      </c>
      <c r="CF16" s="25" t="n">
        <v>37318.53</v>
      </c>
      <c r="CG16" s="25" t="n">
        <f aca="false">SUM(CF16,CD16,CB16,BZ16,BX16,BV16,BT16,BR16,BP16,BN16,BL16,BJ16,BH16)</f>
        <v>1603835.24</v>
      </c>
      <c r="CH16" s="25" t="n">
        <f aca="false">CG16+BF16</f>
        <v>15265351.01</v>
      </c>
      <c r="CI16" s="25" t="n">
        <f aca="false">SUM(CE16,CC16,CA16,BY16,BW16,BU16,BS16,BQ16,BO16,BM16,BK16,BI16,BG16,BD16,BB16,AZ16,AX16,AV16,AT16,AR16,AP16,AN16)</f>
        <v>16084302.13</v>
      </c>
      <c r="CJ16" s="25" t="n">
        <f aca="false">CI16-CH16</f>
        <v>818951.119999999</v>
      </c>
      <c r="CK16" s="25" t="str">
        <f aca="false">IF(CE16-CF16+CC16-CD16+CA16-CB16+BU16-BV16+BK16-BL16+BI16-BJ16 &gt; 0, CE16-CF16+CC16-CD16+CA16-CB16+BU16-BV16+BK16-BL16+BI16-BJ16, "-")</f>
        <v>-</v>
      </c>
      <c r="CL16" s="26" t="str">
        <f aca="false">IF(CJ16&lt;0,"⚠ Over Budget","✓ Within Budget")</f>
        <v>✓ Within Budget</v>
      </c>
      <c r="CM16" s="27"/>
    </row>
    <row r="17" customFormat="false" ht="14.25" hidden="false" customHeight="false" outlineLevel="0" collapsed="false">
      <c r="A17" s="16" t="s">
        <v>94</v>
      </c>
      <c r="B17" s="16" t="n">
        <v>2023</v>
      </c>
      <c r="C17" s="16" t="n">
        <v>58</v>
      </c>
      <c r="D17" s="16" t="n">
        <v>1</v>
      </c>
      <c r="E17" s="16" t="n">
        <v>1</v>
      </c>
      <c r="F17" s="16" t="n">
        <v>1</v>
      </c>
      <c r="G17" s="16" t="n">
        <v>0</v>
      </c>
      <c r="H17" s="16" t="n">
        <v>0</v>
      </c>
      <c r="I17" s="16" t="n">
        <v>0</v>
      </c>
      <c r="J17" s="16" t="n">
        <v>3</v>
      </c>
      <c r="K17" s="16" t="n">
        <v>1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1</v>
      </c>
      <c r="Q17" s="16" t="n">
        <v>1</v>
      </c>
      <c r="R17" s="16" t="n">
        <v>0</v>
      </c>
      <c r="S17" s="16" t="n">
        <v>60</v>
      </c>
      <c r="T17" s="16" t="n">
        <v>31</v>
      </c>
      <c r="U17" s="16" t="n">
        <v>29</v>
      </c>
      <c r="V17" s="16" t="n">
        <v>57</v>
      </c>
      <c r="W17" s="16" t="n">
        <v>3</v>
      </c>
      <c r="X17" s="16" t="n">
        <v>7</v>
      </c>
      <c r="Y17" s="16" t="n">
        <v>17</v>
      </c>
      <c r="Z17" s="16" t="n">
        <v>20</v>
      </c>
      <c r="AA17" s="16" t="n">
        <v>11</v>
      </c>
      <c r="AB17" s="16" t="n">
        <v>4</v>
      </c>
      <c r="AC17" s="16" t="n">
        <v>1</v>
      </c>
      <c r="AD17" s="17" t="n">
        <v>0.206897</v>
      </c>
      <c r="AE17" s="17" t="n">
        <v>0</v>
      </c>
      <c r="AF17" s="18" t="n">
        <v>55.9</v>
      </c>
      <c r="AG17" s="19" t="n">
        <v>590727</v>
      </c>
      <c r="AH17" s="19" t="n">
        <v>963840</v>
      </c>
      <c r="AI17" s="19" t="n">
        <v>1502423</v>
      </c>
      <c r="AJ17" s="19" t="n">
        <v>2328074</v>
      </c>
      <c r="AK17" s="19" t="n">
        <v>3818430</v>
      </c>
      <c r="AL17" s="19" t="n">
        <v>6491715</v>
      </c>
      <c r="AM17" s="19" t="n">
        <v>2294171.72</v>
      </c>
      <c r="AN17" s="19" t="n">
        <v>12478382.34</v>
      </c>
      <c r="AO17" s="19" t="n">
        <v>11662039.57</v>
      </c>
      <c r="AP17" s="19" t="n">
        <v>1247838.23</v>
      </c>
      <c r="AQ17" s="19" t="n">
        <v>1166203.96</v>
      </c>
      <c r="AR17" s="19" t="n">
        <v>56719.92</v>
      </c>
      <c r="AS17" s="19" t="n">
        <v>0</v>
      </c>
      <c r="AT17" s="19" t="n">
        <v>623919.12</v>
      </c>
      <c r="AU17" s="19" t="n">
        <v>583101.98</v>
      </c>
      <c r="AV17" s="19" t="n">
        <v>80683.1</v>
      </c>
      <c r="AW17" s="19" t="n">
        <v>77289.89</v>
      </c>
      <c r="AX17" s="19" t="n">
        <v>55133.45</v>
      </c>
      <c r="AY17" s="19" t="n">
        <v>51526.59</v>
      </c>
      <c r="AZ17" s="19" t="n">
        <v>521048.76</v>
      </c>
      <c r="BA17" s="19" t="n">
        <v>311959.69</v>
      </c>
      <c r="BB17" s="19" t="n">
        <v>3317.25</v>
      </c>
      <c r="BC17" s="19" t="n">
        <v>0</v>
      </c>
      <c r="BD17" s="19" t="n">
        <v>657.53</v>
      </c>
      <c r="BE17" s="19" t="n">
        <v>0</v>
      </c>
      <c r="BF17" s="19" t="n">
        <f aca="false">SUM(BE17,BC17,BA17,AY17,AW17,AU17,AS17,AQ17,AO17)</f>
        <v>13852121.68</v>
      </c>
      <c r="BG17" s="19" t="n">
        <v>14636.91</v>
      </c>
      <c r="BH17" s="19" t="n">
        <v>38473.19</v>
      </c>
      <c r="BI17" s="19" t="n">
        <v>50539</v>
      </c>
      <c r="BJ17" s="19" t="n">
        <v>47232.71</v>
      </c>
      <c r="BK17" s="19" t="n">
        <v>36755.63</v>
      </c>
      <c r="BL17" s="19" t="n">
        <v>34351.06</v>
      </c>
      <c r="BM17" s="19" t="n">
        <v>205831.55</v>
      </c>
      <c r="BN17" s="19" t="n">
        <v>192365.94</v>
      </c>
      <c r="BO17" s="19" t="n">
        <v>4108.3</v>
      </c>
      <c r="BP17" s="19" t="n">
        <v>0</v>
      </c>
      <c r="BQ17" s="19" t="n">
        <v>393164.78</v>
      </c>
      <c r="BR17" s="19" t="n">
        <v>367443.72</v>
      </c>
      <c r="BS17" s="19" t="n">
        <v>14561.66</v>
      </c>
      <c r="BT17" s="19" t="n">
        <v>14289.48</v>
      </c>
      <c r="BU17" s="19" t="n">
        <v>311959.56</v>
      </c>
      <c r="BV17" s="19" t="n">
        <v>291550.99</v>
      </c>
      <c r="BW17" s="19" t="n">
        <v>15437.37</v>
      </c>
      <c r="BX17" s="19" t="n">
        <v>30057.18</v>
      </c>
      <c r="BY17" s="19" t="n">
        <v>114078.9</v>
      </c>
      <c r="BZ17" s="19" t="n">
        <v>99952.31</v>
      </c>
      <c r="CA17" s="19" t="n">
        <v>64322.36</v>
      </c>
      <c r="CB17" s="19" t="n">
        <v>60114.36</v>
      </c>
      <c r="CC17" s="19" t="n">
        <v>1480829.89</v>
      </c>
      <c r="CD17" s="19" t="n">
        <v>507449.5</v>
      </c>
      <c r="CE17" s="19" t="n">
        <v>39930.82</v>
      </c>
      <c r="CF17" s="19" t="n">
        <v>37318.53</v>
      </c>
      <c r="CG17" s="19" t="n">
        <f aca="false">SUM(CF17,CD17,CB17,BZ17,BX17,BV17,BT17,BR17,BP17,BN17,BL17,BJ17,BH17)</f>
        <v>1720598.97</v>
      </c>
      <c r="CH17" s="19" t="n">
        <f aca="false">CG17+BF17</f>
        <v>15572720.65</v>
      </c>
      <c r="CI17" s="19" t="n">
        <f aca="false">SUM(CE17,CC17,CA17,BY17,BW17,BU17,BS17,BQ17,BO17,BM17,BK17,BI17,BG17,BD17,BB17,AZ17,AX17,AV17,AT17,AR17,AP17,AN17)</f>
        <v>17813856.43</v>
      </c>
      <c r="CJ17" s="19" t="n">
        <f aca="false">CI17-CH17</f>
        <v>2241135.78</v>
      </c>
      <c r="CK17" s="19" t="n">
        <f aca="false">IF(CE17-CF17+CC17-CD17+CA17-CB17+BU17-BV17+BK17-BL17+BI17-BJ17 &gt; 0, CE17-CF17+CC17-CD17+CA17-CB17+BU17-BV17+BK17-BL17+BI17-BJ17, "-")</f>
        <v>1006320.11</v>
      </c>
      <c r="CL17" s="20" t="str">
        <f aca="false">IF(CJ17&lt;0,"⚠ Over Budget","✓ Within Budget")</f>
        <v>✓ Within Budget</v>
      </c>
      <c r="CM17" s="21"/>
    </row>
    <row r="18" customFormat="false" ht="18.75" hidden="false" customHeight="true" outlineLevel="0" collapsed="false">
      <c r="A18" s="28" t="s">
        <v>96</v>
      </c>
      <c r="B18" s="28" t="n">
        <v>2023</v>
      </c>
      <c r="C18" s="28" t="n">
        <v>60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  <c r="Q18" s="28" t="n">
        <v>0</v>
      </c>
      <c r="R18" s="28" t="n">
        <v>0</v>
      </c>
      <c r="S18" s="28" t="n">
        <v>60</v>
      </c>
      <c r="T18" s="28" t="n">
        <v>31</v>
      </c>
      <c r="U18" s="28" t="n">
        <v>29</v>
      </c>
      <c r="V18" s="28" t="n">
        <v>57</v>
      </c>
      <c r="W18" s="28" t="n">
        <v>3</v>
      </c>
      <c r="X18" s="28" t="n">
        <v>7</v>
      </c>
      <c r="Y18" s="28" t="n">
        <v>17</v>
      </c>
      <c r="Z18" s="28" t="n">
        <v>20</v>
      </c>
      <c r="AA18" s="28" t="n">
        <v>11</v>
      </c>
      <c r="AB18" s="28" t="n">
        <v>4</v>
      </c>
      <c r="AC18" s="28" t="n">
        <v>1</v>
      </c>
      <c r="AD18" s="29" t="n">
        <v>0</v>
      </c>
      <c r="AE18" s="29" t="n">
        <v>0.10140036132941</v>
      </c>
      <c r="AF18" s="30" t="n">
        <v>55.4</v>
      </c>
      <c r="AG18" s="31" t="n">
        <v>664135</v>
      </c>
      <c r="AH18" s="31" t="n">
        <v>1066318</v>
      </c>
      <c r="AI18" s="31" t="n">
        <v>1656456</v>
      </c>
      <c r="AJ18" s="31" t="n">
        <v>2530743</v>
      </c>
      <c r="AK18" s="31" t="n">
        <v>4128621</v>
      </c>
      <c r="AL18" s="31" t="n">
        <v>6918748</v>
      </c>
      <c r="AM18" s="31" t="n">
        <v>2510282.91</v>
      </c>
      <c r="AN18" s="31" t="n">
        <v>13430013.58</v>
      </c>
      <c r="AO18" s="31" t="n">
        <v>15272685.26</v>
      </c>
      <c r="AP18" s="31" t="n">
        <v>1343001.36</v>
      </c>
      <c r="AQ18" s="31" t="n">
        <v>1255141.46</v>
      </c>
      <c r="AR18" s="31" t="n">
        <v>683709.78</v>
      </c>
      <c r="AS18" s="31" t="n">
        <v>2692779.49</v>
      </c>
      <c r="AT18" s="31" t="n">
        <v>671500.68</v>
      </c>
      <c r="AU18" s="31" t="n">
        <v>627570.73</v>
      </c>
      <c r="AV18" s="31" t="n">
        <v>95232.51</v>
      </c>
      <c r="AW18" s="31" t="n">
        <v>76022.84</v>
      </c>
      <c r="AX18" s="31" t="n">
        <v>54229.62</v>
      </c>
      <c r="AY18" s="31" t="n">
        <v>50681.89</v>
      </c>
      <c r="AZ18" s="31" t="n">
        <v>933540.84</v>
      </c>
      <c r="BA18" s="31" t="n">
        <v>447139.89</v>
      </c>
      <c r="BB18" s="31" t="n">
        <v>3629.73</v>
      </c>
      <c r="BC18" s="31" t="n">
        <v>0</v>
      </c>
      <c r="BD18" s="31" t="n">
        <v>71946.5</v>
      </c>
      <c r="BE18" s="31" t="n">
        <v>125514.15</v>
      </c>
      <c r="BF18" s="31" t="n">
        <f aca="false">SUM(BE18,BC18,BA18,AY18,AW18,AU18,AS18,AQ18,AO18)</f>
        <v>20547535.71</v>
      </c>
      <c r="BG18" s="31" t="n">
        <v>248861.76</v>
      </c>
      <c r="BH18" s="31" t="n">
        <v>118933.51</v>
      </c>
      <c r="BI18" s="31" t="n">
        <v>49710.49</v>
      </c>
      <c r="BJ18" s="31" t="n">
        <v>46458.4</v>
      </c>
      <c r="BK18" s="31" t="n">
        <v>36153.08</v>
      </c>
      <c r="BL18" s="31" t="n">
        <v>33787.93</v>
      </c>
      <c r="BM18" s="31" t="n">
        <v>202457.27</v>
      </c>
      <c r="BN18" s="31" t="n">
        <v>189212.4</v>
      </c>
      <c r="BO18" s="31" t="n">
        <v>20541.52</v>
      </c>
      <c r="BP18" s="31" t="n">
        <v>0</v>
      </c>
      <c r="BQ18" s="31" t="n">
        <v>393164.78</v>
      </c>
      <c r="BR18" s="31" t="n">
        <v>367443.72</v>
      </c>
      <c r="BS18" s="31" t="n">
        <v>14561.66</v>
      </c>
      <c r="BT18" s="31" t="n">
        <v>14289.48</v>
      </c>
      <c r="BU18" s="31" t="n">
        <v>335750.34</v>
      </c>
      <c r="BV18" s="31" t="n">
        <v>313785.36</v>
      </c>
      <c r="BW18" s="31" t="n">
        <v>60737.18</v>
      </c>
      <c r="BX18" s="31" t="n">
        <v>29564.44</v>
      </c>
      <c r="BY18" s="31" t="n">
        <v>16068.04</v>
      </c>
      <c r="BZ18" s="31" t="n">
        <v>33787.93</v>
      </c>
      <c r="CA18" s="31" t="n">
        <v>63267.9</v>
      </c>
      <c r="CB18" s="31" t="n">
        <v>59128.87</v>
      </c>
      <c r="CC18" s="31" t="n">
        <v>1963127.68</v>
      </c>
      <c r="CD18" s="31" t="n">
        <v>672722.88</v>
      </c>
      <c r="CE18" s="31" t="n">
        <v>42976.04</v>
      </c>
      <c r="CF18" s="31" t="n">
        <v>40164.53</v>
      </c>
      <c r="CG18" s="31" t="n">
        <f aca="false">SUM(CF18,CD18,CB18,BZ18,BX18,BV18,BT18,BR18,BP18,BN18,BL18,BJ18,BH18)</f>
        <v>1919279.45</v>
      </c>
      <c r="CH18" s="31" t="n">
        <f aca="false">CG18+BF18</f>
        <v>22466815.16</v>
      </c>
      <c r="CI18" s="31" t="n">
        <f aca="false">SUM(CE18,CC18,CA18,BY18,BW18,BU18,BS18,BQ18,BO18,BM18,BK18,BI18,BG18,BD18,BB18,AZ18,AX18,AV18,AT18,AR18,AP18,AN18)</f>
        <v>20734182.34</v>
      </c>
      <c r="CJ18" s="31" t="n">
        <f aca="false">CI18-CH18</f>
        <v>-1732632.82</v>
      </c>
      <c r="CK18" s="31" t="n">
        <f aca="false">IF(CE18-CF18+CC18-CD18+CA18-CB18+BU18-BV18+BK18-BL18+BI18-BJ18 &gt; 0, CE18-CF18+CC18-CD18+CA18-CB18+BU18-BV18+BK18-BL18+BI18-BJ18, "-")</f>
        <v>1324937.56</v>
      </c>
      <c r="CL18" s="32" t="str">
        <f aca="false">IF(CJ18&lt;0,"⚠ Over Budget","✓ Within Budget")</f>
        <v>⚠ Over Budget</v>
      </c>
      <c r="CM18" s="33" t="s">
        <v>107</v>
      </c>
    </row>
    <row r="19" customFormat="false" ht="14.25" hidden="false" customHeight="false" outlineLevel="0" collapsed="false">
      <c r="A19" s="16" t="s">
        <v>98</v>
      </c>
      <c r="B19" s="16" t="n">
        <v>2023</v>
      </c>
      <c r="C19" s="16" t="n">
        <v>60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60</v>
      </c>
      <c r="T19" s="16" t="n">
        <v>31</v>
      </c>
      <c r="U19" s="16" t="n">
        <v>29</v>
      </c>
      <c r="V19" s="16" t="n">
        <v>57</v>
      </c>
      <c r="W19" s="16" t="n">
        <v>3</v>
      </c>
      <c r="X19" s="16" t="n">
        <v>7</v>
      </c>
      <c r="Y19" s="16" t="n">
        <v>17</v>
      </c>
      <c r="Z19" s="16" t="n">
        <v>20</v>
      </c>
      <c r="AA19" s="16" t="n">
        <v>11</v>
      </c>
      <c r="AB19" s="16" t="n">
        <v>4</v>
      </c>
      <c r="AC19" s="16" t="n">
        <v>1</v>
      </c>
      <c r="AD19" s="17" t="n">
        <v>0</v>
      </c>
      <c r="AE19" s="17" t="n">
        <v>0</v>
      </c>
      <c r="AF19" s="18" t="n">
        <v>55.1</v>
      </c>
      <c r="AG19" s="19" t="n">
        <v>664135</v>
      </c>
      <c r="AH19" s="19" t="n">
        <v>1066318</v>
      </c>
      <c r="AI19" s="19" t="n">
        <v>1656456</v>
      </c>
      <c r="AJ19" s="19" t="n">
        <v>2530743</v>
      </c>
      <c r="AK19" s="19" t="n">
        <v>4128621</v>
      </c>
      <c r="AL19" s="19" t="n">
        <v>6918748</v>
      </c>
      <c r="AM19" s="19" t="n">
        <v>2510282.91</v>
      </c>
      <c r="AN19" s="19" t="n">
        <v>13430013.58</v>
      </c>
      <c r="AO19" s="19" t="n">
        <v>12551414.56</v>
      </c>
      <c r="AP19" s="19" t="n">
        <v>1343001.36</v>
      </c>
      <c r="AQ19" s="19" t="n">
        <v>1255141.46</v>
      </c>
      <c r="AR19" s="19" t="n">
        <v>48836.41</v>
      </c>
      <c r="AS19" s="19" t="n">
        <v>0</v>
      </c>
      <c r="AT19" s="19" t="n">
        <v>671500.68</v>
      </c>
      <c r="AU19" s="19" t="n">
        <v>627570.73</v>
      </c>
      <c r="AV19" s="19" t="n">
        <v>103168.55</v>
      </c>
      <c r="AW19" s="19" t="n">
        <v>76022.84</v>
      </c>
      <c r="AX19" s="19" t="n">
        <v>54229.62</v>
      </c>
      <c r="AY19" s="19" t="n">
        <v>50681.89</v>
      </c>
      <c r="AZ19" s="19" t="n">
        <v>39307.36</v>
      </c>
      <c r="BA19" s="19" t="n">
        <v>0</v>
      </c>
      <c r="BB19" s="19" t="n">
        <v>1451.89</v>
      </c>
      <c r="BC19" s="19" t="n">
        <v>0</v>
      </c>
      <c r="BD19" s="19" t="n">
        <v>239.82</v>
      </c>
      <c r="BE19" s="19" t="n">
        <v>0</v>
      </c>
      <c r="BF19" s="19" t="n">
        <f aca="false">SUM(BE19,BC19,BA19,AY19,AW19,AU19,AS19,AQ19,AO19)</f>
        <v>14560831.48</v>
      </c>
      <c r="BG19" s="19" t="n">
        <v>166593.41</v>
      </c>
      <c r="BH19" s="19" t="n">
        <v>97309.23</v>
      </c>
      <c r="BI19" s="19" t="n">
        <v>49710.49</v>
      </c>
      <c r="BJ19" s="19" t="n">
        <v>46458.4</v>
      </c>
      <c r="BK19" s="19" t="n">
        <v>36153.08</v>
      </c>
      <c r="BL19" s="19" t="n">
        <v>33787.93</v>
      </c>
      <c r="BM19" s="19" t="n">
        <v>202457.27</v>
      </c>
      <c r="BN19" s="19" t="n">
        <v>189212.4</v>
      </c>
      <c r="BO19" s="19" t="n">
        <v>8216.61</v>
      </c>
      <c r="BP19" s="19" t="n">
        <v>0</v>
      </c>
      <c r="BQ19" s="19" t="n">
        <v>393164.78</v>
      </c>
      <c r="BR19" s="19" t="n">
        <v>367443.72</v>
      </c>
      <c r="BS19" s="19" t="n">
        <v>16017.82</v>
      </c>
      <c r="BT19" s="19" t="n">
        <v>14289.48</v>
      </c>
      <c r="BU19" s="19" t="n">
        <v>335750.34</v>
      </c>
      <c r="BV19" s="19" t="n">
        <v>313785.36</v>
      </c>
      <c r="BW19" s="19" t="n">
        <v>45552.88</v>
      </c>
      <c r="BX19" s="19" t="n">
        <v>29564.44</v>
      </c>
      <c r="BY19" s="19" t="n">
        <v>16068.04</v>
      </c>
      <c r="BZ19" s="19" t="n">
        <v>33787.93</v>
      </c>
      <c r="CA19" s="19" t="n">
        <v>63267.9</v>
      </c>
      <c r="CB19" s="19" t="n">
        <v>59128.87</v>
      </c>
      <c r="CC19" s="19" t="n">
        <v>210973.3</v>
      </c>
      <c r="CD19" s="19" t="n">
        <v>225925.46</v>
      </c>
      <c r="CE19" s="19" t="n">
        <v>42976.04</v>
      </c>
      <c r="CF19" s="19" t="n">
        <v>40164.53</v>
      </c>
      <c r="CG19" s="19" t="n">
        <f aca="false">SUM(CF19,CD19,CB19,BZ19,BX19,BV19,BT19,BR19,BP19,BN19,BL19,BJ19,BH19)</f>
        <v>1450857.75</v>
      </c>
      <c r="CH19" s="19" t="n">
        <f aca="false">CG19+BF19</f>
        <v>16011689.23</v>
      </c>
      <c r="CI19" s="19" t="n">
        <f aca="false">SUM(CE19,CC19,CA19,BY19,BW19,BU19,BS19,BQ19,BO19,BM19,BK19,BI19,BG19,BD19,BB19,AZ19,AX19,AV19,AT19,AR19,AP19,AN19)</f>
        <v>17278651.23</v>
      </c>
      <c r="CJ19" s="19" t="n">
        <f aca="false">CI19-CH19</f>
        <v>1266962</v>
      </c>
      <c r="CK19" s="19" t="n">
        <f aca="false">IF(CE19-CF19+CC19-CD19+CA19-CB19+BU19-BV19+BK19-BL19+BI19-BJ19 &gt; 0, CE19-CF19+CC19-CD19+CA19-CB19+BU19-BV19+BK19-BL19+BI19-BJ19, "-")</f>
        <v>19580.6</v>
      </c>
      <c r="CL19" s="20" t="str">
        <f aca="false">IF(CJ19&lt;0,"⚠ Over Budget","✓ Within Budget")</f>
        <v>✓ Within Budget</v>
      </c>
      <c r="CM19" s="21"/>
    </row>
    <row r="20" customFormat="false" ht="14.25" hidden="false" customHeight="false" outlineLevel="0" collapsed="false">
      <c r="A20" s="22" t="s">
        <v>99</v>
      </c>
      <c r="B20" s="22" t="n">
        <v>2023</v>
      </c>
      <c r="C20" s="22" t="n">
        <v>60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1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1</v>
      </c>
      <c r="R20" s="22" t="n">
        <v>0</v>
      </c>
      <c r="S20" s="22" t="n">
        <v>59</v>
      </c>
      <c r="T20" s="22" t="n">
        <v>32</v>
      </c>
      <c r="U20" s="22" t="n">
        <v>27</v>
      </c>
      <c r="V20" s="22" t="n">
        <v>56</v>
      </c>
      <c r="W20" s="22" t="n">
        <v>3</v>
      </c>
      <c r="X20" s="22" t="n">
        <v>7</v>
      </c>
      <c r="Y20" s="22" t="n">
        <v>17</v>
      </c>
      <c r="Z20" s="22" t="n">
        <v>20</v>
      </c>
      <c r="AA20" s="22" t="n">
        <v>11</v>
      </c>
      <c r="AB20" s="22" t="n">
        <v>4</v>
      </c>
      <c r="AC20" s="22" t="n">
        <v>1</v>
      </c>
      <c r="AD20" s="23" t="n">
        <v>0.2</v>
      </c>
      <c r="AE20" s="23" t="n">
        <v>0</v>
      </c>
      <c r="AF20" s="24" t="n">
        <v>56</v>
      </c>
      <c r="AG20" s="25" t="n">
        <v>664135</v>
      </c>
      <c r="AH20" s="25" t="n">
        <v>1066318</v>
      </c>
      <c r="AI20" s="25" t="n">
        <v>1656456</v>
      </c>
      <c r="AJ20" s="25" t="n">
        <v>2530743</v>
      </c>
      <c r="AK20" s="25" t="n">
        <v>4128621</v>
      </c>
      <c r="AL20" s="25" t="n">
        <v>6918748</v>
      </c>
      <c r="AM20" s="25" t="n">
        <v>2510282.91</v>
      </c>
      <c r="AN20" s="25" t="n">
        <v>13430013.58</v>
      </c>
      <c r="AO20" s="25" t="n">
        <v>12551414.56</v>
      </c>
      <c r="AP20" s="25" t="n">
        <v>1343001.36</v>
      </c>
      <c r="AQ20" s="25" t="n">
        <v>1255141.46</v>
      </c>
      <c r="AR20" s="25" t="n">
        <v>48836.41</v>
      </c>
      <c r="AS20" s="25" t="n">
        <v>0</v>
      </c>
      <c r="AT20" s="25" t="n">
        <v>671500.68</v>
      </c>
      <c r="AU20" s="25" t="n">
        <v>627570.73</v>
      </c>
      <c r="AV20" s="25" t="n">
        <v>119040.64</v>
      </c>
      <c r="AW20" s="25" t="n">
        <v>76022.84</v>
      </c>
      <c r="AX20" s="25" t="n">
        <v>54229.62</v>
      </c>
      <c r="AY20" s="25" t="n">
        <v>50681.89</v>
      </c>
      <c r="AZ20" s="25" t="n">
        <v>39307.36</v>
      </c>
      <c r="BA20" s="25" t="n">
        <v>0</v>
      </c>
      <c r="BB20" s="25" t="n">
        <v>2177.84</v>
      </c>
      <c r="BC20" s="25" t="n">
        <v>0</v>
      </c>
      <c r="BD20" s="25" t="n">
        <v>479.64</v>
      </c>
      <c r="BE20" s="25" t="n">
        <v>0</v>
      </c>
      <c r="BF20" s="25" t="n">
        <f aca="false">SUM(BE20,BC20,BA20,AY20,AW20,AU20,AS20,AQ20,AO20)</f>
        <v>14560831.48</v>
      </c>
      <c r="BG20" s="25" t="n">
        <v>28793.92</v>
      </c>
      <c r="BH20" s="25" t="n">
        <v>37842.48</v>
      </c>
      <c r="BI20" s="25" t="n">
        <v>49710.49</v>
      </c>
      <c r="BJ20" s="25" t="n">
        <v>46458.4</v>
      </c>
      <c r="BK20" s="25" t="n">
        <v>36153.08</v>
      </c>
      <c r="BL20" s="25" t="n">
        <v>33787.93</v>
      </c>
      <c r="BM20" s="25" t="n">
        <v>202457.27</v>
      </c>
      <c r="BN20" s="25" t="n">
        <v>189212.4</v>
      </c>
      <c r="BO20" s="25" t="n">
        <v>4108.3</v>
      </c>
      <c r="BP20" s="25" t="n">
        <v>0</v>
      </c>
      <c r="BQ20" s="25" t="n">
        <v>366049.97</v>
      </c>
      <c r="BR20" s="25" t="n">
        <v>342102.77</v>
      </c>
      <c r="BS20" s="25" t="n">
        <v>17624.63</v>
      </c>
      <c r="BT20" s="25" t="n">
        <v>13304</v>
      </c>
      <c r="BU20" s="25" t="n">
        <v>335750.34</v>
      </c>
      <c r="BV20" s="25" t="n">
        <v>313785.36</v>
      </c>
      <c r="BW20" s="25" t="n">
        <v>30368.59</v>
      </c>
      <c r="BX20" s="25" t="n">
        <v>29564.44</v>
      </c>
      <c r="BY20" s="25" t="n">
        <v>404432.27</v>
      </c>
      <c r="BZ20" s="25" t="n">
        <v>170088.34</v>
      </c>
      <c r="CA20" s="25" t="n">
        <v>63267.9</v>
      </c>
      <c r="CB20" s="25" t="n">
        <v>59128.87</v>
      </c>
      <c r="CC20" s="25" t="n">
        <v>131858.32</v>
      </c>
      <c r="CD20" s="25" t="n">
        <v>225925.46</v>
      </c>
      <c r="CE20" s="25" t="n">
        <v>42976.04</v>
      </c>
      <c r="CF20" s="25" t="n">
        <v>40164.53</v>
      </c>
      <c r="CG20" s="25" t="n">
        <f aca="false">SUM(CF20,CD20,CB20,BZ20,BX20,BV20,BT20,BR20,BP20,BN20,BL20,BJ20,BH20)</f>
        <v>1501364.98</v>
      </c>
      <c r="CH20" s="25" t="n">
        <f aca="false">CG20+BF20</f>
        <v>16062196.46</v>
      </c>
      <c r="CI20" s="25" t="n">
        <f aca="false">SUM(CE20,CC20,CA20,BY20,BW20,BU20,BS20,BQ20,BO20,BM20,BK20,BI20,BG20,BD20,BB20,AZ20,AX20,AV20,AT20,AR20,AP20,AN20)</f>
        <v>17422138.25</v>
      </c>
      <c r="CJ20" s="25" t="n">
        <f aca="false">CI20-CH20</f>
        <v>1359941.79</v>
      </c>
      <c r="CK20" s="25" t="str">
        <f aca="false">IF(CE20-CF20+CC20-CD20+CA20-CB20+BU20-BV20+BK20-BL20+BI20-BJ20 &gt; 0, CE20-CF20+CC20-CD20+CA20-CB20+BU20-BV20+BK20-BL20+BI20-BJ20, "-")</f>
        <v>-</v>
      </c>
      <c r="CL20" s="26" t="str">
        <f aca="false">IF(CJ20&lt;0,"⚠ Over Budget","✓ Within Budget")</f>
        <v>✓ Within Budget</v>
      </c>
      <c r="CM20" s="27"/>
    </row>
    <row r="21" customFormat="false" ht="14.25" hidden="false" customHeight="false" outlineLevel="0" collapsed="false">
      <c r="A21" s="16" t="s">
        <v>100</v>
      </c>
      <c r="B21" s="16" t="n">
        <v>2023</v>
      </c>
      <c r="C21" s="16" t="n">
        <v>59</v>
      </c>
      <c r="D21" s="16" t="n">
        <v>1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1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60</v>
      </c>
      <c r="T21" s="16" t="n">
        <v>33</v>
      </c>
      <c r="U21" s="16" t="n">
        <v>27</v>
      </c>
      <c r="V21" s="16" t="n">
        <v>57</v>
      </c>
      <c r="W21" s="16" t="n">
        <v>3</v>
      </c>
      <c r="X21" s="16" t="n">
        <v>7</v>
      </c>
      <c r="Y21" s="16" t="n">
        <v>17</v>
      </c>
      <c r="Z21" s="16" t="n">
        <v>20</v>
      </c>
      <c r="AA21" s="16" t="n">
        <v>11</v>
      </c>
      <c r="AB21" s="16" t="n">
        <v>4</v>
      </c>
      <c r="AC21" s="16" t="n">
        <v>1</v>
      </c>
      <c r="AD21" s="17" t="n">
        <v>0</v>
      </c>
      <c r="AE21" s="17" t="n">
        <v>0</v>
      </c>
      <c r="AF21" s="18" t="n">
        <v>57.2</v>
      </c>
      <c r="AG21" s="19" t="n">
        <v>664135</v>
      </c>
      <c r="AH21" s="19" t="n">
        <v>1066318</v>
      </c>
      <c r="AI21" s="19" t="n">
        <v>1656456</v>
      </c>
      <c r="AJ21" s="19" t="n">
        <v>2530743</v>
      </c>
      <c r="AK21" s="19" t="n">
        <v>4128621</v>
      </c>
      <c r="AL21" s="19" t="n">
        <v>6918748</v>
      </c>
      <c r="AM21" s="19" t="n">
        <v>2510282.91</v>
      </c>
      <c r="AN21" s="19" t="n">
        <v>13653847.14</v>
      </c>
      <c r="AO21" s="19" t="n">
        <v>12760604.8</v>
      </c>
      <c r="AP21" s="19" t="n">
        <v>1365384.71</v>
      </c>
      <c r="AQ21" s="19" t="n">
        <v>1276060.48</v>
      </c>
      <c r="AR21" s="19" t="n">
        <v>49650.35</v>
      </c>
      <c r="AS21" s="19" t="n">
        <v>0</v>
      </c>
      <c r="AT21" s="19" t="n">
        <v>682692.36</v>
      </c>
      <c r="AU21" s="19" t="n">
        <v>638030.24</v>
      </c>
      <c r="AV21" s="19" t="n">
        <v>96819.72</v>
      </c>
      <c r="AW21" s="19" t="n">
        <v>77289.89</v>
      </c>
      <c r="AX21" s="19" t="n">
        <v>55133.45</v>
      </c>
      <c r="AY21" s="19" t="n">
        <v>51526.59</v>
      </c>
      <c r="AZ21" s="19" t="n">
        <v>33302.07</v>
      </c>
      <c r="BA21" s="19" t="n">
        <v>0</v>
      </c>
      <c r="BB21" s="19" t="n">
        <v>36297.33</v>
      </c>
      <c r="BC21" s="19" t="n">
        <v>20919.02</v>
      </c>
      <c r="BD21" s="19" t="n">
        <v>719.47</v>
      </c>
      <c r="BE21" s="19" t="n">
        <v>0</v>
      </c>
      <c r="BF21" s="19" t="n">
        <f aca="false">SUM(BE21,BC21,BA21,AY21,AW21,AU21,AS21,AQ21,AO21)</f>
        <v>14824431.02</v>
      </c>
      <c r="BG21" s="19" t="n">
        <v>21955.37</v>
      </c>
      <c r="BH21" s="19" t="n">
        <v>38473.19</v>
      </c>
      <c r="BI21" s="19" t="n">
        <v>50539</v>
      </c>
      <c r="BJ21" s="19" t="n">
        <v>47232.71</v>
      </c>
      <c r="BK21" s="19" t="n">
        <v>36755.63</v>
      </c>
      <c r="BL21" s="19" t="n">
        <v>34351.06</v>
      </c>
      <c r="BM21" s="19" t="n">
        <v>205831.55</v>
      </c>
      <c r="BN21" s="19" t="n">
        <v>192365.94</v>
      </c>
      <c r="BO21" s="19" t="n">
        <v>143790.67</v>
      </c>
      <c r="BP21" s="19" t="n">
        <v>49274.06</v>
      </c>
      <c r="BQ21" s="19" t="n">
        <v>366049.97</v>
      </c>
      <c r="BR21" s="19" t="n">
        <v>342102.77</v>
      </c>
      <c r="BS21" s="19" t="n">
        <v>17624.63</v>
      </c>
      <c r="BT21" s="19" t="n">
        <v>13304</v>
      </c>
      <c r="BU21" s="19" t="n">
        <v>341346.18</v>
      </c>
      <c r="BV21" s="19" t="n">
        <v>319015.12</v>
      </c>
      <c r="BW21" s="19" t="n">
        <v>15437.37</v>
      </c>
      <c r="BX21" s="19" t="n">
        <v>30057.18</v>
      </c>
      <c r="BY21" s="19" t="n">
        <v>16335.84</v>
      </c>
      <c r="BZ21" s="19" t="n">
        <v>34351.06</v>
      </c>
      <c r="CA21" s="19" t="n">
        <v>64322.36</v>
      </c>
      <c r="CB21" s="19" t="n">
        <v>60114.36</v>
      </c>
      <c r="CC21" s="19" t="n">
        <v>134055.95</v>
      </c>
      <c r="CD21" s="19" t="n">
        <v>229690.89</v>
      </c>
      <c r="CE21" s="19" t="n">
        <v>43692.31</v>
      </c>
      <c r="CF21" s="19" t="n">
        <v>40833.94</v>
      </c>
      <c r="CG21" s="19" t="n">
        <f aca="false">SUM(CF21,CD21,CB21,BZ21,BX21,BV21,BT21,BR21,BP21,BN21,BL21,BJ21,BH21)</f>
        <v>1431166.28</v>
      </c>
      <c r="CH21" s="19" t="n">
        <f aca="false">CG21+BF21</f>
        <v>16255597.3</v>
      </c>
      <c r="CI21" s="19" t="n">
        <f aca="false">SUM(CE21,CC21,CA21,BY21,BW21,BU21,BS21,BQ21,BO21,BM21,BK21,BI21,BG21,BD21,BB21,AZ21,AX21,AV21,AT21,AR21,AP21,AN21)</f>
        <v>17431583.43</v>
      </c>
      <c r="CJ21" s="19" t="n">
        <f aca="false">CI21-CH21</f>
        <v>1175986.13</v>
      </c>
      <c r="CK21" s="19" t="str">
        <f aca="false">IF(CE21-CF21+CC21-CD21+CA21-CB21+BU21-BV21+BK21-BL21+BI21-BJ21 &gt; 0, CE21-CF21+CC21-CD21+CA21-CB21+BU21-BV21+BK21-BL21+BI21-BJ21, "-")</f>
        <v>-</v>
      </c>
      <c r="CL21" s="20" t="str">
        <f aca="false">IF(CJ21&lt;0,"⚠ Over Budget","✓ Within Budget")</f>
        <v>✓ Within Budget</v>
      </c>
      <c r="CM21" s="21"/>
    </row>
    <row r="22" customFormat="false" ht="14.25" hidden="false" customHeight="false" outlineLevel="0" collapsed="false">
      <c r="A22" s="22" t="s">
        <v>101</v>
      </c>
      <c r="B22" s="22" t="n">
        <v>2023</v>
      </c>
      <c r="C22" s="22" t="n">
        <v>60</v>
      </c>
      <c r="D22" s="22" t="n">
        <v>1</v>
      </c>
      <c r="E22" s="22" t="n">
        <v>1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2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62</v>
      </c>
      <c r="T22" s="22" t="n">
        <v>34</v>
      </c>
      <c r="U22" s="22" t="n">
        <v>28</v>
      </c>
      <c r="V22" s="22" t="n">
        <v>59</v>
      </c>
      <c r="W22" s="22" t="n">
        <v>3</v>
      </c>
      <c r="X22" s="22" t="n">
        <v>7</v>
      </c>
      <c r="Y22" s="22" t="n">
        <v>17</v>
      </c>
      <c r="Z22" s="22" t="n">
        <v>21</v>
      </c>
      <c r="AA22" s="22" t="n">
        <v>11</v>
      </c>
      <c r="AB22" s="22" t="n">
        <v>4</v>
      </c>
      <c r="AC22" s="22" t="n">
        <v>2</v>
      </c>
      <c r="AD22" s="23" t="n">
        <v>0</v>
      </c>
      <c r="AE22" s="23" t="n">
        <v>0</v>
      </c>
      <c r="AF22" s="24" t="n">
        <v>56.8</v>
      </c>
      <c r="AG22" s="25" t="n">
        <v>664135</v>
      </c>
      <c r="AH22" s="25" t="n">
        <v>1066318</v>
      </c>
      <c r="AI22" s="25" t="n">
        <v>1656456</v>
      </c>
      <c r="AJ22" s="25" t="n">
        <v>2530743</v>
      </c>
      <c r="AK22" s="25" t="n">
        <v>4128621</v>
      </c>
      <c r="AL22" s="25" t="n">
        <v>6918748</v>
      </c>
      <c r="AM22" s="25" t="n">
        <v>2510282.91</v>
      </c>
      <c r="AN22" s="25" t="n">
        <v>13430013.58</v>
      </c>
      <c r="AO22" s="25" t="n">
        <v>12551414.56</v>
      </c>
      <c r="AP22" s="25" t="n">
        <v>1343001.36</v>
      </c>
      <c r="AQ22" s="25" t="n">
        <v>1255141.46</v>
      </c>
      <c r="AR22" s="25" t="n">
        <v>48836.41</v>
      </c>
      <c r="AS22" s="25" t="n">
        <v>0</v>
      </c>
      <c r="AT22" s="25" t="n">
        <v>671500.68</v>
      </c>
      <c r="AU22" s="25" t="n">
        <v>627570.73</v>
      </c>
      <c r="AV22" s="25" t="n">
        <v>79360.43</v>
      </c>
      <c r="AW22" s="25" t="n">
        <v>76022.84</v>
      </c>
      <c r="AX22" s="25" t="n">
        <v>54229.62</v>
      </c>
      <c r="AY22" s="25" t="n">
        <v>50681.89</v>
      </c>
      <c r="AZ22" s="25" t="n">
        <v>32756.13</v>
      </c>
      <c r="BA22" s="25" t="n">
        <v>0</v>
      </c>
      <c r="BB22" s="25" t="n">
        <v>3629.73</v>
      </c>
      <c r="BC22" s="25" t="n">
        <v>0</v>
      </c>
      <c r="BD22" s="25" t="n">
        <v>215839.5</v>
      </c>
      <c r="BE22" s="25" t="n">
        <v>125514.15</v>
      </c>
      <c r="BF22" s="25" t="n">
        <f aca="false">SUM(BE22,BC22,BA22,AY22,AW22,AU22,AS22,AQ22,AO22)</f>
        <v>14686345.63</v>
      </c>
      <c r="BG22" s="25" t="n">
        <v>115689.87</v>
      </c>
      <c r="BH22" s="25" t="n">
        <v>81091.03</v>
      </c>
      <c r="BI22" s="25" t="n">
        <v>49710.49</v>
      </c>
      <c r="BJ22" s="25" t="n">
        <v>46458.4</v>
      </c>
      <c r="BK22" s="25" t="n">
        <v>36153.08</v>
      </c>
      <c r="BL22" s="25" t="n">
        <v>33787.93</v>
      </c>
      <c r="BM22" s="25" t="n">
        <v>202457.27</v>
      </c>
      <c r="BN22" s="25" t="n">
        <v>189212.4</v>
      </c>
      <c r="BO22" s="25" t="n">
        <v>8216.61</v>
      </c>
      <c r="BP22" s="25" t="n">
        <v>0</v>
      </c>
      <c r="BQ22" s="25" t="n">
        <v>366049.97</v>
      </c>
      <c r="BR22" s="25" t="n">
        <v>342102.77</v>
      </c>
      <c r="BS22" s="25" t="n">
        <v>17624.63</v>
      </c>
      <c r="BT22" s="25" t="n">
        <v>13304</v>
      </c>
      <c r="BU22" s="25" t="n">
        <v>335750.34</v>
      </c>
      <c r="BV22" s="25" t="n">
        <v>313785.36</v>
      </c>
      <c r="BW22" s="25" t="n">
        <v>30368.59</v>
      </c>
      <c r="BX22" s="25" t="n">
        <v>29564.44</v>
      </c>
      <c r="BY22" s="25" t="n">
        <v>36610.97</v>
      </c>
      <c r="BZ22" s="25" t="n">
        <v>64154.74</v>
      </c>
      <c r="CA22" s="25" t="n">
        <v>63267.9</v>
      </c>
      <c r="CB22" s="25" t="n">
        <v>59128.87</v>
      </c>
      <c r="CC22" s="25" t="n">
        <v>131858.32</v>
      </c>
      <c r="CD22" s="25" t="n">
        <v>225925.46</v>
      </c>
      <c r="CE22" s="25" t="n">
        <v>42976.04</v>
      </c>
      <c r="CF22" s="25" t="n">
        <v>40164.53</v>
      </c>
      <c r="CG22" s="25" t="n">
        <f aca="false">SUM(CF22,CD22,CB22,BZ22,BX22,BV22,BT22,BR22,BP22,BN22,BL22,BJ22,BH22)</f>
        <v>1438679.93</v>
      </c>
      <c r="CH22" s="25" t="n">
        <f aca="false">CG22+BF22</f>
        <v>16125025.56</v>
      </c>
      <c r="CI22" s="25" t="n">
        <f aca="false">SUM(CE22,CC22,CA22,BY22,BW22,BU22,BS22,BQ22,BO22,BM22,BK22,BI22,BG22,BD22,BB22,AZ22,AX22,AV22,AT22,AR22,AP22,AN22)</f>
        <v>17315901.52</v>
      </c>
      <c r="CJ22" s="25" t="n">
        <f aca="false">CI22-CH22</f>
        <v>1190875.96</v>
      </c>
      <c r="CK22" s="25" t="str">
        <f aca="false">IF(CE22-CF22+CC22-CD22+CA22-CB22+BU22-BV22+BK22-BL22+BI22-BJ22 &gt; 0, CE22-CF22+CC22-CD22+CA22-CB22+BU22-BV22+BK22-BL22+BI22-BJ22, "-")</f>
        <v>-</v>
      </c>
      <c r="CL22" s="26" t="str">
        <f aca="false">IF(CJ22&lt;0,"⚠ Over Budget","✓ Within Budget")</f>
        <v>✓ Within Budget</v>
      </c>
      <c r="CM22" s="27"/>
    </row>
    <row r="23" customFormat="false" ht="14.25" hidden="false" customHeight="false" outlineLevel="0" collapsed="false">
      <c r="A23" s="16" t="s">
        <v>102</v>
      </c>
      <c r="B23" s="16" t="n">
        <v>2023</v>
      </c>
      <c r="C23" s="16" t="n">
        <v>62</v>
      </c>
      <c r="D23" s="16" t="n">
        <v>1</v>
      </c>
      <c r="E23" s="16" t="n">
        <v>1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2</v>
      </c>
      <c r="K23" s="16" t="n">
        <v>1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1</v>
      </c>
      <c r="Q23" s="16" t="n">
        <v>1</v>
      </c>
      <c r="R23" s="16" t="n">
        <v>0</v>
      </c>
      <c r="S23" s="16" t="n">
        <v>63</v>
      </c>
      <c r="T23" s="16" t="n">
        <v>33</v>
      </c>
      <c r="U23" s="16" t="n">
        <v>30</v>
      </c>
      <c r="V23" s="16" t="n">
        <v>60</v>
      </c>
      <c r="W23" s="16" t="n">
        <v>3</v>
      </c>
      <c r="X23" s="16" t="n">
        <v>8</v>
      </c>
      <c r="Y23" s="16" t="n">
        <v>18</v>
      </c>
      <c r="Z23" s="16" t="n">
        <v>21</v>
      </c>
      <c r="AA23" s="16" t="n">
        <v>11</v>
      </c>
      <c r="AB23" s="16" t="n">
        <v>4</v>
      </c>
      <c r="AC23" s="16" t="n">
        <v>1</v>
      </c>
      <c r="AD23" s="17" t="n">
        <v>0.193548</v>
      </c>
      <c r="AE23" s="17" t="n">
        <v>0</v>
      </c>
      <c r="AF23" s="18" t="n">
        <v>56.1</v>
      </c>
      <c r="AG23" s="19" t="n">
        <v>664135</v>
      </c>
      <c r="AH23" s="19" t="n">
        <v>1066318</v>
      </c>
      <c r="AI23" s="19" t="n">
        <v>1656456</v>
      </c>
      <c r="AJ23" s="19" t="n">
        <v>2530743</v>
      </c>
      <c r="AK23" s="19" t="n">
        <v>4128621</v>
      </c>
      <c r="AL23" s="19" t="n">
        <v>6918748</v>
      </c>
      <c r="AM23" s="19" t="n">
        <v>2510282.91</v>
      </c>
      <c r="AN23" s="19" t="n">
        <v>13653847.14</v>
      </c>
      <c r="AO23" s="19" t="n">
        <v>12760604.8</v>
      </c>
      <c r="AP23" s="19" t="n">
        <v>1365384.71</v>
      </c>
      <c r="AQ23" s="19" t="n">
        <v>1276060.48</v>
      </c>
      <c r="AR23" s="19" t="n">
        <v>49650.35</v>
      </c>
      <c r="AS23" s="19" t="n">
        <v>0</v>
      </c>
      <c r="AT23" s="19" t="n">
        <v>682692.36</v>
      </c>
      <c r="AU23" s="19" t="n">
        <v>638030.24</v>
      </c>
      <c r="AV23" s="19" t="n">
        <v>88751.41</v>
      </c>
      <c r="AW23" s="19" t="n">
        <v>77289.89</v>
      </c>
      <c r="AX23" s="19" t="n">
        <v>55133.45</v>
      </c>
      <c r="AY23" s="19" t="n">
        <v>51526.59</v>
      </c>
      <c r="AZ23" s="19" t="n">
        <v>381914.33</v>
      </c>
      <c r="BA23" s="19" t="n">
        <v>365852.51</v>
      </c>
      <c r="BB23" s="19" t="n">
        <v>65335.2</v>
      </c>
      <c r="BC23" s="19" t="n">
        <v>62757.07</v>
      </c>
      <c r="BD23" s="19" t="n">
        <v>239.82</v>
      </c>
      <c r="BE23" s="19" t="n">
        <v>0</v>
      </c>
      <c r="BF23" s="19" t="n">
        <f aca="false">SUM(BE23,BC23,BA23,AY23,AW23,AU23,AS23,AQ23,AO23)</f>
        <v>15232121.58</v>
      </c>
      <c r="BG23" s="19" t="n">
        <v>169369.96</v>
      </c>
      <c r="BH23" s="19" t="n">
        <v>98931.05</v>
      </c>
      <c r="BI23" s="19" t="n">
        <v>50539</v>
      </c>
      <c r="BJ23" s="19" t="n">
        <v>47232.71</v>
      </c>
      <c r="BK23" s="19" t="n">
        <v>36755.63</v>
      </c>
      <c r="BL23" s="19" t="n">
        <v>34351.06</v>
      </c>
      <c r="BM23" s="19" t="n">
        <v>205831.55</v>
      </c>
      <c r="BN23" s="19" t="n">
        <v>192365.94</v>
      </c>
      <c r="BO23" s="19" t="n">
        <v>86274.4</v>
      </c>
      <c r="BP23" s="19" t="n">
        <v>147822.19</v>
      </c>
      <c r="BQ23" s="19" t="n">
        <v>393164.78</v>
      </c>
      <c r="BR23" s="19" t="n">
        <v>367443.72</v>
      </c>
      <c r="BS23" s="19" t="n">
        <v>16017.82</v>
      </c>
      <c r="BT23" s="19" t="n">
        <v>14289.48</v>
      </c>
      <c r="BU23" s="19" t="n">
        <v>341346.18</v>
      </c>
      <c r="BV23" s="19" t="n">
        <v>319015.12</v>
      </c>
      <c r="BW23" s="19" t="n">
        <v>61749.47</v>
      </c>
      <c r="BX23" s="19" t="n">
        <v>30057.18</v>
      </c>
      <c r="BY23" s="19" t="n">
        <v>16335.84</v>
      </c>
      <c r="BZ23" s="19" t="n">
        <v>34351.06</v>
      </c>
      <c r="CA23" s="19" t="n">
        <v>64322.36</v>
      </c>
      <c r="CB23" s="19" t="n">
        <v>60114.36</v>
      </c>
      <c r="CC23" s="19" t="n">
        <v>160867.14</v>
      </c>
      <c r="CD23" s="19" t="n">
        <v>229690.89</v>
      </c>
      <c r="CE23" s="19" t="n">
        <v>43692.31</v>
      </c>
      <c r="CF23" s="19" t="n">
        <v>40833.94</v>
      </c>
      <c r="CG23" s="19" t="n">
        <f aca="false">SUM(CF23,CD23,CB23,BZ23,BX23,BV23,BT23,BR23,BP23,BN23,BL23,BJ23,BH23)</f>
        <v>1616498.7</v>
      </c>
      <c r="CH23" s="19" t="n">
        <f aca="false">CG23+BF23</f>
        <v>16848620.28</v>
      </c>
      <c r="CI23" s="19" t="n">
        <f aca="false">SUM(CE23,CC23,CA23,BY23,BW23,BU23,BS23,BQ23,BO23,BM23,BK23,BI23,BG23,BD23,BB23,AZ23,AX23,AV23,AT23,AR23,AP23,AN23)</f>
        <v>17989215.21</v>
      </c>
      <c r="CJ23" s="19" t="n">
        <f aca="false">CI23-CH23</f>
        <v>1140594.93</v>
      </c>
      <c r="CK23" s="19" t="str">
        <f aca="false">IF(CE23-CF23+CC23-CD23+CA23-CB23+BU23-BV23+BK23-BL23+BI23-BJ23 &gt; 0, CE23-CF23+CC23-CD23+CA23-CB23+BU23-BV23+BK23-BL23+BI23-BJ23, "-")</f>
        <v>-</v>
      </c>
      <c r="CL23" s="20" t="str">
        <f aca="false">IF(CJ23&lt;0,"⚠ Over Budget","✓ Within Budget")</f>
        <v>✓ Within Budget</v>
      </c>
      <c r="CM23" s="21"/>
    </row>
    <row r="24" customFormat="false" ht="14.25" hidden="false" customHeight="false" outlineLevel="0" collapsed="false">
      <c r="A24" s="22" t="s">
        <v>103</v>
      </c>
      <c r="B24" s="22" t="n">
        <v>2023</v>
      </c>
      <c r="C24" s="22" t="n">
        <v>63</v>
      </c>
      <c r="D24" s="22" t="n">
        <v>1</v>
      </c>
      <c r="E24" s="22" t="n">
        <v>1</v>
      </c>
      <c r="F24" s="22" t="n">
        <v>1</v>
      </c>
      <c r="G24" s="22" t="n">
        <v>0</v>
      </c>
      <c r="H24" s="22" t="n">
        <v>0</v>
      </c>
      <c r="I24" s="22" t="n">
        <v>0</v>
      </c>
      <c r="J24" s="22" t="n">
        <v>3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1</v>
      </c>
      <c r="S24" s="22" t="n">
        <v>65</v>
      </c>
      <c r="T24" s="22" t="n">
        <v>34</v>
      </c>
      <c r="U24" s="22" t="n">
        <v>31</v>
      </c>
      <c r="V24" s="22" t="n">
        <v>62</v>
      </c>
      <c r="W24" s="22" t="n">
        <v>3</v>
      </c>
      <c r="X24" s="22" t="n">
        <v>8</v>
      </c>
      <c r="Y24" s="22" t="n">
        <v>18</v>
      </c>
      <c r="Z24" s="22" t="n">
        <v>22</v>
      </c>
      <c r="AA24" s="22" t="n">
        <v>12</v>
      </c>
      <c r="AB24" s="22" t="n">
        <v>4</v>
      </c>
      <c r="AC24" s="22" t="n">
        <v>1</v>
      </c>
      <c r="AD24" s="23" t="n">
        <v>0</v>
      </c>
      <c r="AE24" s="23" t="n">
        <v>0.0144267730741395</v>
      </c>
      <c r="AF24" s="24" t="n">
        <v>55.7</v>
      </c>
      <c r="AG24" s="25" t="n">
        <v>675299</v>
      </c>
      <c r="AH24" s="25" t="n">
        <v>1087066</v>
      </c>
      <c r="AI24" s="25" t="n">
        <v>1676828</v>
      </c>
      <c r="AJ24" s="25" t="n">
        <v>2557986</v>
      </c>
      <c r="AK24" s="25" t="n">
        <v>4171361</v>
      </c>
      <c r="AL24" s="25" t="n">
        <v>6995155</v>
      </c>
      <c r="AM24" s="25" t="n">
        <v>2542764.2</v>
      </c>
      <c r="AN24" s="25" t="n">
        <v>14057248.11</v>
      </c>
      <c r="AO24" s="25" t="n">
        <v>13137615.06</v>
      </c>
      <c r="AP24" s="25" t="n">
        <v>1405724.81</v>
      </c>
      <c r="AQ24" s="25" t="n">
        <v>1313761.51</v>
      </c>
      <c r="AR24" s="25" t="n">
        <v>1635752.51</v>
      </c>
      <c r="AS24" s="25" t="n">
        <v>525504.6</v>
      </c>
      <c r="AT24" s="25" t="n">
        <v>702862.41</v>
      </c>
      <c r="AU24" s="25" t="n">
        <v>656880.75</v>
      </c>
      <c r="AV24" s="25" t="n">
        <v>73805.2</v>
      </c>
      <c r="AW24" s="25" t="n">
        <v>78556.93</v>
      </c>
      <c r="AX24" s="25" t="n">
        <v>56037.28</v>
      </c>
      <c r="AY24" s="25" t="n">
        <v>52371.29</v>
      </c>
      <c r="AZ24" s="25" t="n">
        <v>816033.5</v>
      </c>
      <c r="BA24" s="25" t="n">
        <v>390857.17</v>
      </c>
      <c r="BB24" s="25" t="n">
        <v>66180.59</v>
      </c>
      <c r="BC24" s="25" t="n">
        <v>63569.11</v>
      </c>
      <c r="BD24" s="25" t="n">
        <v>242.92</v>
      </c>
      <c r="BE24" s="25" t="n">
        <v>0</v>
      </c>
      <c r="BF24" s="25" t="n">
        <f aca="false">SUM(BE24,BC24,BA24,AY24,AW24,AU24,AS24,AQ24,AO24)</f>
        <v>16219116.42</v>
      </c>
      <c r="BG24" s="25" t="n">
        <v>104138.02</v>
      </c>
      <c r="BH24" s="25" t="n">
        <v>78207.79</v>
      </c>
      <c r="BI24" s="25" t="n">
        <v>51367.51</v>
      </c>
      <c r="BJ24" s="25" t="n">
        <v>48007.01</v>
      </c>
      <c r="BK24" s="25" t="n">
        <v>37358.19</v>
      </c>
      <c r="BL24" s="25" t="n">
        <v>34914.19</v>
      </c>
      <c r="BM24" s="25" t="n">
        <v>209205.84</v>
      </c>
      <c r="BN24" s="25" t="n">
        <v>195519.48</v>
      </c>
      <c r="BO24" s="25" t="n">
        <v>86274.4</v>
      </c>
      <c r="BP24" s="25" t="n">
        <v>147822.19</v>
      </c>
      <c r="BQ24" s="25" t="n">
        <v>406722.19</v>
      </c>
      <c r="BR24" s="25" t="n">
        <v>380114.19</v>
      </c>
      <c r="BS24" s="25" t="n">
        <v>15063.78</v>
      </c>
      <c r="BT24" s="25" t="n">
        <v>14782.22</v>
      </c>
      <c r="BU24" s="25" t="n">
        <v>351431.2</v>
      </c>
      <c r="BV24" s="25" t="n">
        <v>328440.38</v>
      </c>
      <c r="BW24" s="25" t="n">
        <v>47071.31</v>
      </c>
      <c r="BX24" s="25" t="n">
        <v>30549.92</v>
      </c>
      <c r="BY24" s="25" t="n">
        <v>678710.23</v>
      </c>
      <c r="BZ24" s="25" t="n">
        <v>222999.13</v>
      </c>
      <c r="CA24" s="25" t="n">
        <v>65376.83</v>
      </c>
      <c r="CB24" s="25" t="n">
        <v>61099.84</v>
      </c>
      <c r="CC24" s="25" t="n">
        <v>220826.59</v>
      </c>
      <c r="CD24" s="25" t="n">
        <v>236477.07</v>
      </c>
      <c r="CE24" s="25" t="n">
        <v>44983.19</v>
      </c>
      <c r="CF24" s="25" t="n">
        <v>42040.37</v>
      </c>
      <c r="CG24" s="25" t="n">
        <f aca="false">SUM(CF24,CD24,CB24,BZ24,BX24,BV24,BT24,BR24,BP24,BN24,BL24,BJ24,BH24)</f>
        <v>1820973.78</v>
      </c>
      <c r="CH24" s="25" t="n">
        <f aca="false">CG24+BF24</f>
        <v>18040090.2</v>
      </c>
      <c r="CI24" s="25" t="n">
        <f aca="false">SUM(CE24,CC24,CA24,BY24,BW24,BU24,BS24,BQ24,BO24,BM24,BK24,BI24,BG24,BD24,BB24,AZ24,AX24,AV24,AT24,AR24,AP24,AN24)</f>
        <v>21132416.61</v>
      </c>
      <c r="CJ24" s="25" t="n">
        <f aca="false">CI24-CH24</f>
        <v>3092326.41</v>
      </c>
      <c r="CK24" s="25" t="n">
        <f aca="false">IF(CE24-CF24+CC24-CD24+CA24-CB24+BU24-BV24+BK24-BL24+BI24-BJ24 &gt; 0, CE24-CF24+CC24-CD24+CA24-CB24+BU24-BV24+BK24-BL24+BI24-BJ24, "-")</f>
        <v>20364.65</v>
      </c>
      <c r="CL24" s="26" t="str">
        <f aca="false">IF(CJ24&lt;0,"⚠ Over Budget","✓ Within Budget")</f>
        <v>✓ Within Budget</v>
      </c>
      <c r="CM24" s="27"/>
    </row>
    <row r="25" customFormat="false" ht="14.25" hidden="false" customHeight="false" outlineLevel="0" collapsed="false">
      <c r="A25" s="16" t="s">
        <v>104</v>
      </c>
      <c r="B25" s="16" t="n">
        <v>2023</v>
      </c>
      <c r="C25" s="16" t="n">
        <v>65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65</v>
      </c>
      <c r="T25" s="16" t="n">
        <v>34</v>
      </c>
      <c r="U25" s="16" t="n">
        <v>31</v>
      </c>
      <c r="V25" s="16" t="n">
        <v>62</v>
      </c>
      <c r="W25" s="16" t="n">
        <v>3</v>
      </c>
      <c r="X25" s="16" t="n">
        <v>8</v>
      </c>
      <c r="Y25" s="16" t="n">
        <v>18</v>
      </c>
      <c r="Z25" s="16" t="n">
        <v>22</v>
      </c>
      <c r="AA25" s="16" t="n">
        <v>12</v>
      </c>
      <c r="AB25" s="16" t="n">
        <v>4</v>
      </c>
      <c r="AC25" s="16" t="n">
        <v>1</v>
      </c>
      <c r="AD25" s="17" t="n">
        <v>0</v>
      </c>
      <c r="AE25" s="17" t="n">
        <v>0</v>
      </c>
      <c r="AF25" s="18" t="n">
        <v>56.5</v>
      </c>
      <c r="AG25" s="19" t="n">
        <v>675299</v>
      </c>
      <c r="AH25" s="19" t="n">
        <v>1087066</v>
      </c>
      <c r="AI25" s="19" t="n">
        <v>1676828</v>
      </c>
      <c r="AJ25" s="19" t="n">
        <v>2557986</v>
      </c>
      <c r="AK25" s="19" t="n">
        <v>4171361</v>
      </c>
      <c r="AL25" s="19" t="n">
        <v>6995155</v>
      </c>
      <c r="AM25" s="19" t="n">
        <v>2542764.2</v>
      </c>
      <c r="AN25" s="19" t="n">
        <v>14057248.11</v>
      </c>
      <c r="AO25" s="19" t="n">
        <v>13137615.06</v>
      </c>
      <c r="AP25" s="19" t="n">
        <v>1405724.81</v>
      </c>
      <c r="AQ25" s="19" t="n">
        <v>1313761.51</v>
      </c>
      <c r="AR25" s="19" t="n">
        <v>166131.11</v>
      </c>
      <c r="AS25" s="19" t="n">
        <v>0</v>
      </c>
      <c r="AT25" s="19" t="n">
        <v>702862.41</v>
      </c>
      <c r="AU25" s="19" t="n">
        <v>656880.75</v>
      </c>
      <c r="AV25" s="19" t="n">
        <v>87472.83</v>
      </c>
      <c r="AW25" s="19" t="n">
        <v>104742.58</v>
      </c>
      <c r="AX25" s="19" t="n">
        <v>56037.28</v>
      </c>
      <c r="AY25" s="19" t="n">
        <v>52371.29</v>
      </c>
      <c r="AZ25" s="19" t="n">
        <v>68571.94</v>
      </c>
      <c r="BA25" s="19" t="n">
        <v>0</v>
      </c>
      <c r="BB25" s="19" t="n">
        <v>735.34</v>
      </c>
      <c r="BC25" s="19" t="n">
        <v>0</v>
      </c>
      <c r="BD25" s="19" t="n">
        <v>242.92</v>
      </c>
      <c r="BE25" s="19" t="n">
        <v>0</v>
      </c>
      <c r="BF25" s="19" t="n">
        <f aca="false">SUM(BE25,BC25,BA25,AY25,AW25,AU25,AS25,AQ25,AO25)</f>
        <v>15265371.19</v>
      </c>
      <c r="BG25" s="19" t="n">
        <v>136017</v>
      </c>
      <c r="BH25" s="19" t="n">
        <v>89380.33</v>
      </c>
      <c r="BI25" s="19" t="n">
        <v>51367.51</v>
      </c>
      <c r="BJ25" s="19" t="n">
        <v>48007.01</v>
      </c>
      <c r="BK25" s="19" t="n">
        <v>37358.19</v>
      </c>
      <c r="BL25" s="19" t="n">
        <v>34914.19</v>
      </c>
      <c r="BM25" s="19" t="n">
        <v>209205.84</v>
      </c>
      <c r="BN25" s="19" t="n">
        <v>195519.48</v>
      </c>
      <c r="BO25" s="19" t="n">
        <v>4108.3</v>
      </c>
      <c r="BP25" s="19" t="n">
        <v>0</v>
      </c>
      <c r="BQ25" s="19" t="n">
        <v>406722.19</v>
      </c>
      <c r="BR25" s="19" t="n">
        <v>380114.19</v>
      </c>
      <c r="BS25" s="19" t="n">
        <v>13557.41</v>
      </c>
      <c r="BT25" s="19" t="n">
        <v>14782.22</v>
      </c>
      <c r="BU25" s="19" t="n">
        <v>351431.2</v>
      </c>
      <c r="BV25" s="19" t="n">
        <v>328440.38</v>
      </c>
      <c r="BW25" s="19" t="n">
        <v>31380.88</v>
      </c>
      <c r="BX25" s="19" t="n">
        <v>30549.92</v>
      </c>
      <c r="BY25" s="19" t="n">
        <v>146798.56</v>
      </c>
      <c r="BZ25" s="19" t="n">
        <v>102896.18</v>
      </c>
      <c r="CA25" s="19" t="n">
        <v>65376.83</v>
      </c>
      <c r="CB25" s="19" t="n">
        <v>61099.84</v>
      </c>
      <c r="CC25" s="19" t="n">
        <v>220826.59</v>
      </c>
      <c r="CD25" s="19" t="n">
        <v>236477.07</v>
      </c>
      <c r="CE25" s="19" t="n">
        <v>44983.19</v>
      </c>
      <c r="CF25" s="19" t="n">
        <v>42040.37</v>
      </c>
      <c r="CG25" s="19" t="n">
        <f aca="false">SUM(CF25,CD25,CB25,BZ25,BX25,BV25,BT25,BR25,BP25,BN25,BL25,BJ25,BH25)</f>
        <v>1564221.18</v>
      </c>
      <c r="CH25" s="19" t="n">
        <f aca="false">CG25+BF25</f>
        <v>16829592.37</v>
      </c>
      <c r="CI25" s="19" t="n">
        <f aca="false">SUM(CE25,CC25,CA25,BY25,BW25,BU25,BS25,BQ25,BO25,BM25,BK25,BI25,BG25,BD25,BB25,AZ25,AX25,AV25,AT25,AR25,AP25,AN25)</f>
        <v>18264160.44</v>
      </c>
      <c r="CJ25" s="19" t="n">
        <f aca="false">CI25-CH25</f>
        <v>1434568.07</v>
      </c>
      <c r="CK25" s="19" t="n">
        <f aca="false">IF(CE25-CF25+CC25-CD25+CA25-CB25+BU25-BV25+BK25-BL25+BI25-BJ25 &gt; 0, CE25-CF25+CC25-CD25+CA25-CB25+BU25-BV25+BK25-BL25+BI25-BJ25, "-")</f>
        <v>20364.65</v>
      </c>
      <c r="CL25" s="20" t="str">
        <f aca="false">IF(CJ25&lt;0,"⚠ Over Budget","✓ Within Budget")</f>
        <v>✓ Within Budget</v>
      </c>
      <c r="CM25" s="21"/>
    </row>
    <row r="26" customFormat="false" ht="14.25" hidden="false" customHeight="false" outlineLevel="0" collapsed="false">
      <c r="A26" s="22" t="s">
        <v>105</v>
      </c>
      <c r="B26" s="22" t="n">
        <v>2023</v>
      </c>
      <c r="C26" s="22" t="n">
        <v>65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65</v>
      </c>
      <c r="T26" s="22" t="n">
        <v>34</v>
      </c>
      <c r="U26" s="22" t="n">
        <v>31</v>
      </c>
      <c r="V26" s="22" t="n">
        <v>62</v>
      </c>
      <c r="W26" s="22" t="n">
        <v>3</v>
      </c>
      <c r="X26" s="22" t="n">
        <v>8</v>
      </c>
      <c r="Y26" s="22" t="n">
        <v>18</v>
      </c>
      <c r="Z26" s="22" t="n">
        <v>22</v>
      </c>
      <c r="AA26" s="22" t="n">
        <v>12</v>
      </c>
      <c r="AB26" s="22" t="n">
        <v>4</v>
      </c>
      <c r="AC26" s="22" t="n">
        <v>1</v>
      </c>
      <c r="AD26" s="23" t="n">
        <v>0</v>
      </c>
      <c r="AE26" s="23" t="n">
        <v>0</v>
      </c>
      <c r="AF26" s="24" t="n">
        <v>57.1</v>
      </c>
      <c r="AG26" s="25" t="n">
        <v>675299</v>
      </c>
      <c r="AH26" s="25" t="n">
        <v>1087066</v>
      </c>
      <c r="AI26" s="25" t="n">
        <v>1676828</v>
      </c>
      <c r="AJ26" s="25" t="n">
        <v>2557986</v>
      </c>
      <c r="AK26" s="25" t="n">
        <v>4171361</v>
      </c>
      <c r="AL26" s="25" t="n">
        <v>6995155</v>
      </c>
      <c r="AM26" s="25" t="n">
        <v>2542764.2</v>
      </c>
      <c r="AN26" s="25" t="n">
        <v>13830518.3</v>
      </c>
      <c r="AO26" s="25" t="n">
        <v>12925718.04</v>
      </c>
      <c r="AP26" s="25" t="n">
        <v>1383051.83</v>
      </c>
      <c r="AQ26" s="25" t="n">
        <v>1292571.8</v>
      </c>
      <c r="AR26" s="25" t="n">
        <v>6035135.26</v>
      </c>
      <c r="AS26" s="25" t="n">
        <v>1292571.8</v>
      </c>
      <c r="AT26" s="25" t="n">
        <v>691525.92</v>
      </c>
      <c r="AU26" s="25" t="n">
        <v>646285.9</v>
      </c>
      <c r="AV26" s="25" t="n">
        <v>75304.23</v>
      </c>
      <c r="AW26" s="25" t="n">
        <v>103053.18</v>
      </c>
      <c r="AX26" s="25" t="n">
        <v>55133.45</v>
      </c>
      <c r="AY26" s="25" t="n">
        <v>51526.59</v>
      </c>
      <c r="AZ26" s="25" t="n">
        <v>482134.47</v>
      </c>
      <c r="BA26" s="25" t="n">
        <v>307905.19</v>
      </c>
      <c r="BB26" s="25" t="n">
        <v>735.34</v>
      </c>
      <c r="BC26" s="25" t="n">
        <v>0</v>
      </c>
      <c r="BD26" s="25" t="n">
        <v>72877.44</v>
      </c>
      <c r="BE26" s="25" t="n">
        <v>127138.21</v>
      </c>
      <c r="BF26" s="25" t="n">
        <f aca="false">SUM(BE26,BC26,BA26,AY26,AW26,AU26,AS26,AQ26,AO26)</f>
        <v>16746770.71</v>
      </c>
      <c r="BG26" s="25" t="n">
        <v>21955.37</v>
      </c>
      <c r="BH26" s="25" t="n">
        <v>38473.19</v>
      </c>
      <c r="BI26" s="25" t="n">
        <v>50539</v>
      </c>
      <c r="BJ26" s="25" t="n">
        <v>47232.71</v>
      </c>
      <c r="BK26" s="25" t="n">
        <v>36755.63</v>
      </c>
      <c r="BL26" s="25" t="n">
        <v>34351.06</v>
      </c>
      <c r="BM26" s="25" t="n">
        <v>205831.55</v>
      </c>
      <c r="BN26" s="25" t="n">
        <v>192365.94</v>
      </c>
      <c r="BO26" s="25" t="n">
        <v>4108.3</v>
      </c>
      <c r="BP26" s="25" t="n">
        <v>0</v>
      </c>
      <c r="BQ26" s="25" t="n">
        <v>393164.78</v>
      </c>
      <c r="BR26" s="25" t="n">
        <v>367443.72</v>
      </c>
      <c r="BS26" s="25" t="n">
        <v>11649.33</v>
      </c>
      <c r="BT26" s="25" t="n">
        <v>14289.48</v>
      </c>
      <c r="BU26" s="25" t="n">
        <v>345762.96</v>
      </c>
      <c r="BV26" s="25" t="n">
        <v>323142.95</v>
      </c>
      <c r="BW26" s="25" t="n">
        <v>15437.37</v>
      </c>
      <c r="BX26" s="25" t="n">
        <v>30057.18</v>
      </c>
      <c r="BY26" s="25" t="n">
        <v>158850.8</v>
      </c>
      <c r="BZ26" s="25" t="n">
        <v>111344.02</v>
      </c>
      <c r="CA26" s="25" t="n">
        <v>64322.36</v>
      </c>
      <c r="CB26" s="25" t="n">
        <v>60114.36</v>
      </c>
      <c r="CC26" s="25" t="n">
        <v>135790.54</v>
      </c>
      <c r="CD26" s="25" t="n">
        <v>232662.92</v>
      </c>
      <c r="CE26" s="25" t="n">
        <v>44257.66</v>
      </c>
      <c r="CF26" s="25" t="n">
        <v>41362.3</v>
      </c>
      <c r="CG26" s="25" t="n">
        <f aca="false">SUM(CF26,CD26,CB26,BZ26,BX26,BV26,BT26,BR26,BP26,BN26,BL26,BJ26,BH26)</f>
        <v>1492839.83</v>
      </c>
      <c r="CH26" s="25" t="n">
        <f aca="false">CG26+BF26</f>
        <v>18239610.54</v>
      </c>
      <c r="CI26" s="25" t="n">
        <f aca="false">SUM(CE26,CC26,CA26,BY26,BW26,BU26,BS26,BQ26,BO26,BM26,BK26,BI26,BG26,BD26,BB26,AZ26,AX26,AV26,AT26,AR26,AP26,AN26)</f>
        <v>24114841.89</v>
      </c>
      <c r="CJ26" s="25" t="n">
        <f aca="false">CI26-CH26</f>
        <v>5875231.35</v>
      </c>
      <c r="CK26" s="25" t="str">
        <f aca="false">IF(CE26-CF26+CC26-CD26+CA26-CB26+BU26-BV26+BK26-BL26+BI26-BJ26 &gt; 0, CE26-CF26+CC26-CD26+CA26-CB26+BU26-BV26+BK26-BL26+BI26-BJ26, "-")</f>
        <v>-</v>
      </c>
      <c r="CL26" s="26" t="str">
        <f aca="false">IF(CJ26&lt;0,"⚠ Over Budget","✓ Within Budget")</f>
        <v>✓ Within Budget</v>
      </c>
      <c r="CM26" s="27"/>
    </row>
    <row r="27" customFormat="false" ht="14.25" hidden="false" customHeight="false" outlineLevel="0" collapsed="false">
      <c r="A27" s="28" t="s">
        <v>92</v>
      </c>
      <c r="B27" s="28" t="n">
        <v>2024</v>
      </c>
      <c r="C27" s="28" t="n">
        <v>65</v>
      </c>
      <c r="D27" s="28" t="n">
        <v>1</v>
      </c>
      <c r="E27" s="28" t="n">
        <v>1</v>
      </c>
      <c r="F27" s="28" t="n">
        <v>1</v>
      </c>
      <c r="G27" s="28" t="n">
        <v>0</v>
      </c>
      <c r="H27" s="28" t="n">
        <v>0</v>
      </c>
      <c r="I27" s="28" t="n">
        <v>0</v>
      </c>
      <c r="J27" s="28" t="n">
        <v>3</v>
      </c>
      <c r="K27" s="28" t="n">
        <v>1</v>
      </c>
      <c r="L27" s="28" t="n">
        <v>0</v>
      </c>
      <c r="M27" s="28" t="n">
        <v>0</v>
      </c>
      <c r="N27" s="28" t="n">
        <v>0</v>
      </c>
      <c r="O27" s="28" t="n">
        <v>0</v>
      </c>
      <c r="P27" s="28" t="n">
        <v>1</v>
      </c>
      <c r="Q27" s="28" t="n">
        <v>1</v>
      </c>
      <c r="R27" s="28" t="n">
        <v>0</v>
      </c>
      <c r="S27" s="28" t="n">
        <v>67</v>
      </c>
      <c r="T27" s="28" t="n">
        <v>33</v>
      </c>
      <c r="U27" s="28" t="n">
        <v>34</v>
      </c>
      <c r="V27" s="28" t="n">
        <v>64</v>
      </c>
      <c r="W27" s="28" t="n">
        <v>3</v>
      </c>
      <c r="X27" s="28" t="n">
        <v>8</v>
      </c>
      <c r="Y27" s="28" t="n">
        <v>19</v>
      </c>
      <c r="Z27" s="28" t="n">
        <v>23</v>
      </c>
      <c r="AA27" s="28" t="n">
        <v>12</v>
      </c>
      <c r="AB27" s="28" t="n">
        <v>4</v>
      </c>
      <c r="AC27" s="28" t="n">
        <v>1</v>
      </c>
      <c r="AD27" s="29" t="n">
        <v>0.184615</v>
      </c>
      <c r="AE27" s="29" t="n">
        <v>0</v>
      </c>
      <c r="AF27" s="30" t="n">
        <v>57.8</v>
      </c>
      <c r="AG27" s="31" t="n">
        <v>675299</v>
      </c>
      <c r="AH27" s="31" t="n">
        <v>1087066</v>
      </c>
      <c r="AI27" s="31" t="n">
        <v>1676828</v>
      </c>
      <c r="AJ27" s="31" t="n">
        <v>2557986</v>
      </c>
      <c r="AK27" s="31" t="n">
        <v>4171361</v>
      </c>
      <c r="AL27" s="31" t="n">
        <v>6995155</v>
      </c>
      <c r="AM27" s="31" t="n">
        <v>2425660.13</v>
      </c>
      <c r="AN27" s="31" t="n">
        <v>12760993.69</v>
      </c>
      <c r="AO27" s="31" t="n">
        <v>13065788.19</v>
      </c>
      <c r="AP27" s="31" t="n">
        <v>1276099.37</v>
      </c>
      <c r="AQ27" s="31" t="n">
        <v>1192616.23</v>
      </c>
      <c r="AR27" s="31" t="n">
        <v>208816.26</v>
      </c>
      <c r="AS27" s="31" t="n">
        <v>715569.74</v>
      </c>
      <c r="AT27" s="31" t="n">
        <v>638049.68</v>
      </c>
      <c r="AU27" s="31" t="n">
        <v>596308.12</v>
      </c>
      <c r="AV27" s="31" t="n">
        <v>79406.74</v>
      </c>
      <c r="AW27" s="31" t="n">
        <v>95084</v>
      </c>
      <c r="AX27" s="31" t="n">
        <v>50869.94</v>
      </c>
      <c r="AY27" s="31" t="n">
        <v>47542</v>
      </c>
      <c r="AZ27" s="31" t="n">
        <v>31124.37</v>
      </c>
      <c r="BA27" s="31" t="n">
        <v>0</v>
      </c>
      <c r="BB27" s="31" t="n">
        <v>21044.24</v>
      </c>
      <c r="BC27" s="31" t="n">
        <v>1960017.94</v>
      </c>
      <c r="BD27" s="31" t="n">
        <v>166850.76</v>
      </c>
      <c r="BE27" s="31" t="n">
        <v>121283.01</v>
      </c>
      <c r="BF27" s="31" t="n">
        <f aca="false">SUM(BE27,BC27,BA27,AY27,AW27,AU27,AS27,AQ27,AO27)</f>
        <v>17794209.23</v>
      </c>
      <c r="BG27" s="31" t="n">
        <v>13505.03</v>
      </c>
      <c r="BH27" s="31" t="n">
        <v>35498.03</v>
      </c>
      <c r="BI27" s="31" t="n">
        <v>46630.78</v>
      </c>
      <c r="BJ27" s="31" t="n">
        <v>43580.17</v>
      </c>
      <c r="BK27" s="31" t="n">
        <v>33913.29</v>
      </c>
      <c r="BL27" s="31" t="n">
        <v>31694.67</v>
      </c>
      <c r="BM27" s="31" t="n">
        <v>189914.44</v>
      </c>
      <c r="BN27" s="31" t="n">
        <v>177490.13</v>
      </c>
      <c r="BO27" s="31" t="n">
        <v>82301.13</v>
      </c>
      <c r="BP27" s="31" t="n">
        <v>900764.98</v>
      </c>
      <c r="BQ27" s="31" t="n">
        <v>387991.06</v>
      </c>
      <c r="BR27" s="31" t="n">
        <v>362608.47</v>
      </c>
      <c r="BS27" s="31" t="n">
        <v>12933.04</v>
      </c>
      <c r="BT27" s="31" t="n">
        <v>14101.44</v>
      </c>
      <c r="BU27" s="31" t="n">
        <v>319024.84</v>
      </c>
      <c r="BV27" s="31" t="n">
        <v>298154.06</v>
      </c>
      <c r="BW27" s="31" t="n">
        <v>14243.58</v>
      </c>
      <c r="BX27" s="31" t="n">
        <v>27732.83</v>
      </c>
      <c r="BY27" s="31" t="n">
        <v>15072.57</v>
      </c>
      <c r="BZ27" s="31" t="n">
        <v>31694.67</v>
      </c>
      <c r="CA27" s="31" t="n">
        <v>59348.26</v>
      </c>
      <c r="CB27" s="31" t="n">
        <v>55465.67</v>
      </c>
      <c r="CC27" s="31" t="n">
        <v>125289.76</v>
      </c>
      <c r="CD27" s="31" t="n">
        <v>214670.92</v>
      </c>
      <c r="CE27" s="31" t="n">
        <v>40835.18</v>
      </c>
      <c r="CF27" s="31" t="n">
        <v>38163.72</v>
      </c>
      <c r="CG27" s="31" t="n">
        <f aca="false">SUM(CF27,CD27,CB27,BZ27,BX27,BV27,BT27,BR27,BP27,BN27,BL27,BJ27,BH27)</f>
        <v>2231619.76</v>
      </c>
      <c r="CH27" s="31" t="n">
        <f aca="false">CG27+BF27</f>
        <v>20025828.99</v>
      </c>
      <c r="CI27" s="31" t="n">
        <f aca="false">SUM(CE27,CC27,CA27,BY27,BW27,BU27,BS27,BQ27,BO27,BM27,BK27,BI27,BG27,BD27,BB27,AZ27,AX27,AV27,AT27,AR27,AP27,AN27)</f>
        <v>16574258.01</v>
      </c>
      <c r="CJ27" s="31" t="n">
        <f aca="false">CI27-CH27</f>
        <v>-3451570.98</v>
      </c>
      <c r="CK27" s="31" t="str">
        <f aca="false">IF(CE27-CF27+CC27-CD27+CA27-CB27+BU27-BV27+BK27-BL27+BI27-BJ27 &gt; 0, CE27-CF27+CC27-CD27+CA27-CB27+BU27-BV27+BK27-BL27+BI27-BJ27, "-")</f>
        <v>-</v>
      </c>
      <c r="CL27" s="32" t="str">
        <f aca="false">IF(CJ27&lt;0,"⚠ Over Budget","✓ Within Budget")</f>
        <v>⚠ Over Budget</v>
      </c>
      <c r="CM27" s="33" t="s">
        <v>106</v>
      </c>
    </row>
    <row r="28" customFormat="false" ht="14.25" hidden="false" customHeight="false" outlineLevel="0" collapsed="false">
      <c r="A28" s="22" t="s">
        <v>93</v>
      </c>
      <c r="B28" s="22" t="n">
        <v>2024</v>
      </c>
      <c r="C28" s="22" t="n">
        <v>67</v>
      </c>
      <c r="D28" s="22" t="n">
        <v>1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1</v>
      </c>
      <c r="J28" s="22" t="n">
        <v>1</v>
      </c>
      <c r="K28" s="22" t="n">
        <v>1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1</v>
      </c>
      <c r="Q28" s="22" t="n">
        <v>1</v>
      </c>
      <c r="R28" s="22" t="n">
        <v>0</v>
      </c>
      <c r="S28" s="22" t="n">
        <v>67</v>
      </c>
      <c r="T28" s="22" t="n">
        <v>33</v>
      </c>
      <c r="U28" s="22" t="n">
        <v>34</v>
      </c>
      <c r="V28" s="22" t="n">
        <v>64</v>
      </c>
      <c r="W28" s="22" t="n">
        <v>3</v>
      </c>
      <c r="X28" s="22" t="n">
        <v>8</v>
      </c>
      <c r="Y28" s="22" t="n">
        <v>19</v>
      </c>
      <c r="Z28" s="22" t="n">
        <v>23</v>
      </c>
      <c r="AA28" s="22" t="n">
        <v>12</v>
      </c>
      <c r="AB28" s="22" t="n">
        <v>4</v>
      </c>
      <c r="AC28" s="22" t="n">
        <v>1</v>
      </c>
      <c r="AD28" s="23" t="n">
        <v>0.179104</v>
      </c>
      <c r="AE28" s="23" t="n">
        <v>0</v>
      </c>
      <c r="AF28" s="24" t="n">
        <v>58.2</v>
      </c>
      <c r="AG28" s="25" t="n">
        <v>675299</v>
      </c>
      <c r="AH28" s="25" t="n">
        <v>1087066</v>
      </c>
      <c r="AI28" s="25" t="n">
        <v>1676828</v>
      </c>
      <c r="AJ28" s="25" t="n">
        <v>2557986</v>
      </c>
      <c r="AK28" s="25" t="n">
        <v>4171361</v>
      </c>
      <c r="AL28" s="25" t="n">
        <v>6995155</v>
      </c>
      <c r="AM28" s="25" t="n">
        <v>2425660.13</v>
      </c>
      <c r="AN28" s="25" t="n">
        <v>13193569.74</v>
      </c>
      <c r="AO28" s="25" t="n">
        <v>12330439.01</v>
      </c>
      <c r="AP28" s="25" t="n">
        <v>1319356.97</v>
      </c>
      <c r="AQ28" s="25" t="n">
        <v>1233043.9</v>
      </c>
      <c r="AR28" s="25" t="n">
        <v>35982.46</v>
      </c>
      <c r="AS28" s="25" t="n">
        <v>0</v>
      </c>
      <c r="AT28" s="25" t="n">
        <v>659678.49</v>
      </c>
      <c r="AU28" s="25" t="n">
        <v>616521.95</v>
      </c>
      <c r="AV28" s="25" t="n">
        <v>82098.49</v>
      </c>
      <c r="AW28" s="25" t="n">
        <v>98307.19</v>
      </c>
      <c r="AX28" s="25" t="n">
        <v>52594.34</v>
      </c>
      <c r="AY28" s="25" t="n">
        <v>49153.59</v>
      </c>
      <c r="AZ28" s="25" t="n">
        <v>32179.44</v>
      </c>
      <c r="BA28" s="25" t="n">
        <v>0</v>
      </c>
      <c r="BB28" s="25" t="n">
        <v>42088.48</v>
      </c>
      <c r="BC28" s="25" t="n">
        <v>40427.67</v>
      </c>
      <c r="BD28" s="25" t="n">
        <v>695.21</v>
      </c>
      <c r="BE28" s="25" t="n">
        <v>0</v>
      </c>
      <c r="BF28" s="25" t="n">
        <f aca="false">SUM(BE28,BC28,BA28,AY28,AW28,AU28,AS28,AQ28,AO28)</f>
        <v>14367893.31</v>
      </c>
      <c r="BG28" s="25" t="n">
        <v>13962.82</v>
      </c>
      <c r="BH28" s="25" t="n">
        <v>36701.35</v>
      </c>
      <c r="BI28" s="25" t="n">
        <v>48211.48</v>
      </c>
      <c r="BJ28" s="25" t="n">
        <v>45057.46</v>
      </c>
      <c r="BK28" s="25" t="n">
        <v>35062.9</v>
      </c>
      <c r="BL28" s="25" t="n">
        <v>32769.06</v>
      </c>
      <c r="BM28" s="25" t="n">
        <v>196352.22</v>
      </c>
      <c r="BN28" s="25" t="n">
        <v>183506.75</v>
      </c>
      <c r="BO28" s="25" t="n">
        <v>54867.42</v>
      </c>
      <c r="BP28" s="25" t="n">
        <v>94009.6</v>
      </c>
      <c r="BQ28" s="25" t="n">
        <v>400924.1</v>
      </c>
      <c r="BR28" s="25" t="n">
        <v>374695.42</v>
      </c>
      <c r="BS28" s="25" t="n">
        <v>13364.14</v>
      </c>
      <c r="BT28" s="25" t="n">
        <v>14571.49</v>
      </c>
      <c r="BU28" s="25" t="n">
        <v>329839.24</v>
      </c>
      <c r="BV28" s="25" t="n">
        <v>308260.98</v>
      </c>
      <c r="BW28" s="25" t="n">
        <v>14726.42</v>
      </c>
      <c r="BX28" s="25" t="n">
        <v>28672.93</v>
      </c>
      <c r="BY28" s="25" t="n">
        <v>15583.51</v>
      </c>
      <c r="BZ28" s="25" t="n">
        <v>32769.06</v>
      </c>
      <c r="CA28" s="25" t="n">
        <v>61360.07</v>
      </c>
      <c r="CB28" s="25" t="n">
        <v>57345.86</v>
      </c>
      <c r="CC28" s="25" t="n">
        <v>129536.87</v>
      </c>
      <c r="CD28" s="25" t="n">
        <v>221947.9</v>
      </c>
      <c r="CE28" s="25" t="n">
        <v>42219.42</v>
      </c>
      <c r="CF28" s="25" t="n">
        <v>39457.4</v>
      </c>
      <c r="CG28" s="25" t="n">
        <f aca="false">SUM(CF28,CD28,CB28,BZ28,BX28,BV28,BT28,BR28,BP28,BN28,BL28,BJ28,BH28)</f>
        <v>1469765.26</v>
      </c>
      <c r="CH28" s="25" t="n">
        <f aca="false">CG28+BF28</f>
        <v>15837658.57</v>
      </c>
      <c r="CI28" s="25" t="n">
        <f aca="false">SUM(CE28,CC28,CA28,BY28,BW28,BU28,BS28,BQ28,BO28,BM28,BK28,BI28,BG28,BD28,BB28,AZ28,AX28,AV28,AT28,AR28,AP28,AN28)</f>
        <v>16774254.23</v>
      </c>
      <c r="CJ28" s="25" t="n">
        <f aca="false">CI28-CH28</f>
        <v>936595.66</v>
      </c>
      <c r="CK28" s="25" t="str">
        <f aca="false">IF(CE28-CF28+CC28-CD28+CA28-CB28+BU28-BV28+BK28-BL28+BI28-BJ28 &gt; 0, CE28-CF28+CC28-CD28+CA28-CB28+BU28-BV28+BK28-BL28+BI28-BJ28, "-")</f>
        <v>-</v>
      </c>
      <c r="CL28" s="26" t="str">
        <f aca="false">IF(CJ28&lt;0,"⚠ Over Budget","✓ Within Budget")</f>
        <v>✓ Within Budget</v>
      </c>
      <c r="CM28" s="27"/>
    </row>
    <row r="29" customFormat="false" ht="18.75" hidden="false" customHeight="true" outlineLevel="0" collapsed="false">
      <c r="A29" s="28" t="s">
        <v>94</v>
      </c>
      <c r="B29" s="28" t="n">
        <v>2024</v>
      </c>
      <c r="C29" s="28" t="n">
        <v>67</v>
      </c>
      <c r="D29" s="28" t="n">
        <v>1</v>
      </c>
      <c r="E29" s="28" t="n">
        <v>0</v>
      </c>
      <c r="F29" s="28" t="n">
        <v>0</v>
      </c>
      <c r="G29" s="28" t="n">
        <v>0</v>
      </c>
      <c r="H29" s="28" t="n">
        <v>0</v>
      </c>
      <c r="I29" s="28" t="n">
        <v>1</v>
      </c>
      <c r="J29" s="28" t="n">
        <v>1</v>
      </c>
      <c r="K29" s="28" t="n">
        <v>1</v>
      </c>
      <c r="L29" s="28" t="n">
        <v>0</v>
      </c>
      <c r="M29" s="28" t="n">
        <v>0</v>
      </c>
      <c r="N29" s="28" t="n">
        <v>0</v>
      </c>
      <c r="O29" s="28" t="n">
        <v>0</v>
      </c>
      <c r="P29" s="28" t="n">
        <v>1</v>
      </c>
      <c r="Q29" s="28" t="n">
        <v>1</v>
      </c>
      <c r="R29" s="28" t="n">
        <v>0</v>
      </c>
      <c r="S29" s="28" t="n">
        <v>67</v>
      </c>
      <c r="T29" s="28" t="n">
        <v>33</v>
      </c>
      <c r="U29" s="28" t="n">
        <v>34</v>
      </c>
      <c r="V29" s="28" t="n">
        <v>64</v>
      </c>
      <c r="W29" s="28" t="n">
        <v>3</v>
      </c>
      <c r="X29" s="28" t="n">
        <v>8</v>
      </c>
      <c r="Y29" s="28" t="n">
        <v>19</v>
      </c>
      <c r="Z29" s="28" t="n">
        <v>23</v>
      </c>
      <c r="AA29" s="28" t="n">
        <v>12</v>
      </c>
      <c r="AB29" s="28" t="n">
        <v>4</v>
      </c>
      <c r="AC29" s="28" t="n">
        <v>1</v>
      </c>
      <c r="AD29" s="29" t="n">
        <v>0.179104</v>
      </c>
      <c r="AE29" s="29" t="n">
        <v>0</v>
      </c>
      <c r="AF29" s="30" t="n">
        <v>61.5</v>
      </c>
      <c r="AG29" s="31" t="n">
        <v>675299</v>
      </c>
      <c r="AH29" s="31" t="n">
        <v>1087066</v>
      </c>
      <c r="AI29" s="31" t="n">
        <v>1676828</v>
      </c>
      <c r="AJ29" s="31" t="n">
        <v>2557986</v>
      </c>
      <c r="AK29" s="31" t="n">
        <v>4171361</v>
      </c>
      <c r="AL29" s="31" t="n">
        <v>6995155</v>
      </c>
      <c r="AM29" s="31" t="n">
        <v>2425660.13</v>
      </c>
      <c r="AN29" s="31" t="n">
        <v>13626145.8</v>
      </c>
      <c r="AO29" s="31" t="n">
        <v>12734715.7</v>
      </c>
      <c r="AP29" s="31" t="n">
        <v>1362614.58</v>
      </c>
      <c r="AQ29" s="31" t="n">
        <v>1273471.57</v>
      </c>
      <c r="AR29" s="31" t="n">
        <v>61937.03</v>
      </c>
      <c r="AS29" s="31" t="n">
        <v>0</v>
      </c>
      <c r="AT29" s="31" t="n">
        <v>681307.29</v>
      </c>
      <c r="AU29" s="31" t="n">
        <v>636735.79</v>
      </c>
      <c r="AV29" s="31" t="n">
        <v>79490.85</v>
      </c>
      <c r="AW29" s="31" t="n">
        <v>76147.78</v>
      </c>
      <c r="AX29" s="31" t="n">
        <v>54318.75</v>
      </c>
      <c r="AY29" s="31" t="n">
        <v>50765.19</v>
      </c>
      <c r="AZ29" s="31" t="n">
        <v>430619.35</v>
      </c>
      <c r="BA29" s="31" t="n">
        <v>257818.24</v>
      </c>
      <c r="BB29" s="31" t="n">
        <v>105221.2</v>
      </c>
      <c r="BC29" s="31" t="n">
        <v>60641.5</v>
      </c>
      <c r="BD29" s="31" t="n">
        <v>208563.46</v>
      </c>
      <c r="BE29" s="31" t="n">
        <v>121283.01</v>
      </c>
      <c r="BF29" s="31" t="n">
        <f aca="false">SUM(BE29,BC29,BA29,AY29,AW29,AU29,AS29,AQ29,AO29)</f>
        <v>15211578.78</v>
      </c>
      <c r="BG29" s="31" t="n">
        <v>14420.62</v>
      </c>
      <c r="BH29" s="31" t="n">
        <v>37904.67</v>
      </c>
      <c r="BI29" s="31" t="n">
        <v>49792.19</v>
      </c>
      <c r="BJ29" s="31" t="n">
        <v>46534.75</v>
      </c>
      <c r="BK29" s="31" t="n">
        <v>36212.5</v>
      </c>
      <c r="BL29" s="31" t="n">
        <v>873494.18</v>
      </c>
      <c r="BM29" s="31" t="n">
        <v>202790</v>
      </c>
      <c r="BN29" s="31" t="n">
        <v>189523.36</v>
      </c>
      <c r="BO29" s="31" t="n">
        <v>82301.13</v>
      </c>
      <c r="BP29" s="31" t="n">
        <v>141014.41</v>
      </c>
      <c r="BQ29" s="31" t="n">
        <v>413857.14</v>
      </c>
      <c r="BR29" s="31" t="n">
        <v>386782.37</v>
      </c>
      <c r="BS29" s="31" t="n">
        <v>15328.04</v>
      </c>
      <c r="BT29" s="31" t="n">
        <v>15041.54</v>
      </c>
      <c r="BU29" s="31" t="n">
        <v>340653.64</v>
      </c>
      <c r="BV29" s="31" t="n">
        <v>318367.89</v>
      </c>
      <c r="BW29" s="31" t="n">
        <v>15209.25</v>
      </c>
      <c r="BX29" s="31" t="n">
        <v>29613.03</v>
      </c>
      <c r="BY29" s="31" t="n">
        <v>95147.31</v>
      </c>
      <c r="BZ29" s="31" t="n">
        <v>83365.05</v>
      </c>
      <c r="CA29" s="31" t="n">
        <v>63371.87</v>
      </c>
      <c r="CB29" s="31" t="n">
        <v>59226.05</v>
      </c>
      <c r="CC29" s="31" t="n">
        <v>1818171.95</v>
      </c>
      <c r="CD29" s="31" t="n">
        <v>3981652.45</v>
      </c>
      <c r="CE29" s="31" t="n">
        <v>43603.67</v>
      </c>
      <c r="CF29" s="31" t="n">
        <v>40751.09</v>
      </c>
      <c r="CG29" s="31" t="n">
        <f aca="false">SUM(CF29,CD29,CB29,BZ29,BX29,BV29,BT29,BR29,BP29,BN29,BL29,BJ29,BH29)</f>
        <v>6203270.84</v>
      </c>
      <c r="CH29" s="31" t="n">
        <f aca="false">CG29+BF29</f>
        <v>21414849.62</v>
      </c>
      <c r="CI29" s="31" t="n">
        <f aca="false">SUM(CE29,CC29,CA29,BY29,BW29,BU29,BS29,BQ29,BO29,BM29,BK29,BI29,BG29,BD29,BB29,AZ29,AX29,AV29,AT29,AR29,AP29,AN29)</f>
        <v>19801077.62</v>
      </c>
      <c r="CJ29" s="31" t="n">
        <f aca="false">CI29-CH29</f>
        <v>-1613772</v>
      </c>
      <c r="CK29" s="31" t="str">
        <f aca="false">IF(CE29-CF29+CC29-CD29+CA29-CB29+BU29-BV29+BK29-BL29+BI29-BJ29 &gt; 0, CE29-CF29+CC29-CD29+CA29-CB29+BU29-BV29+BK29-BL29+BI29-BJ29, "-")</f>
        <v>-</v>
      </c>
      <c r="CL29" s="32" t="str">
        <f aca="false">IF(CJ29&lt;0,"⚠ Over Budget","✓ Within Budget")</f>
        <v>⚠ Over Budget</v>
      </c>
      <c r="CM29" s="33" t="s">
        <v>95</v>
      </c>
    </row>
    <row r="30" customFormat="false" ht="18.75" hidden="false" customHeight="true" outlineLevel="0" collapsed="false">
      <c r="A30" s="28" t="s">
        <v>96</v>
      </c>
      <c r="B30" s="28" t="n">
        <v>2024</v>
      </c>
      <c r="C30" s="28" t="n">
        <v>67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8" t="n">
        <v>0</v>
      </c>
      <c r="O30" s="28" t="n">
        <v>0</v>
      </c>
      <c r="P30" s="28" t="n">
        <v>0</v>
      </c>
      <c r="Q30" s="28" t="n">
        <v>0</v>
      </c>
      <c r="R30" s="28" t="n">
        <v>0</v>
      </c>
      <c r="S30" s="28" t="n">
        <v>67</v>
      </c>
      <c r="T30" s="28" t="n">
        <v>33</v>
      </c>
      <c r="U30" s="28" t="n">
        <v>34</v>
      </c>
      <c r="V30" s="28" t="n">
        <v>64</v>
      </c>
      <c r="W30" s="28" t="n">
        <v>3</v>
      </c>
      <c r="X30" s="28" t="n">
        <v>8</v>
      </c>
      <c r="Y30" s="28" t="n">
        <v>19</v>
      </c>
      <c r="Z30" s="28" t="n">
        <v>23</v>
      </c>
      <c r="AA30" s="28" t="n">
        <v>12</v>
      </c>
      <c r="AB30" s="28" t="n">
        <v>4</v>
      </c>
      <c r="AC30" s="28" t="n">
        <v>1</v>
      </c>
      <c r="AD30" s="29" t="n">
        <v>0</v>
      </c>
      <c r="AE30" s="29" t="n">
        <v>0.100104934032984</v>
      </c>
      <c r="AF30" s="30" t="n">
        <v>62.1</v>
      </c>
      <c r="AG30" s="31" t="n">
        <v>753033</v>
      </c>
      <c r="AH30" s="31" t="n">
        <v>1211515</v>
      </c>
      <c r="AI30" s="31" t="n">
        <v>1834092</v>
      </c>
      <c r="AJ30" s="31" t="n">
        <v>2795689</v>
      </c>
      <c r="AK30" s="31" t="n">
        <v>4470494</v>
      </c>
      <c r="AL30" s="31" t="n">
        <v>7456696</v>
      </c>
      <c r="AM30" s="31" t="n">
        <v>2650757.94</v>
      </c>
      <c r="AN30" s="31" t="n">
        <v>14890632.71</v>
      </c>
      <c r="AO30" s="31" t="n">
        <v>16924888.81</v>
      </c>
      <c r="AP30" s="31" t="n">
        <v>1489063.27</v>
      </c>
      <c r="AQ30" s="31" t="n">
        <v>1391647.92</v>
      </c>
      <c r="AR30" s="31" t="n">
        <v>758068.57</v>
      </c>
      <c r="AS30" s="31" t="n">
        <v>974153.54</v>
      </c>
      <c r="AT30" s="31" t="n">
        <v>744531.64</v>
      </c>
      <c r="AU30" s="31" t="n">
        <v>695823.96</v>
      </c>
      <c r="AV30" s="31" t="n">
        <v>95389.02</v>
      </c>
      <c r="AW30" s="31" t="n">
        <v>76147.78</v>
      </c>
      <c r="AX30" s="31" t="n">
        <v>54318.75</v>
      </c>
      <c r="AY30" s="31" t="n">
        <v>50765.19</v>
      </c>
      <c r="AZ30" s="31" t="n">
        <v>979993.08</v>
      </c>
      <c r="BA30" s="31" t="n">
        <v>469389.21</v>
      </c>
      <c r="BB30" s="31" t="n">
        <v>3832.85</v>
      </c>
      <c r="BC30" s="31" t="n">
        <v>0</v>
      </c>
      <c r="BD30" s="31" t="n">
        <v>253.24</v>
      </c>
      <c r="BE30" s="31" t="n">
        <v>0</v>
      </c>
      <c r="BF30" s="31" t="n">
        <f aca="false">SUM(BE30,BC30,BA30,AY30,AW30,AU30,AS30,AQ30,AO30)</f>
        <v>20582816.41</v>
      </c>
      <c r="BG30" s="31" t="n">
        <v>249270.75</v>
      </c>
      <c r="BH30" s="31" t="n">
        <v>119128.97</v>
      </c>
      <c r="BI30" s="31" t="n">
        <v>49792.19</v>
      </c>
      <c r="BJ30" s="31" t="n">
        <v>46534.75</v>
      </c>
      <c r="BK30" s="31" t="n">
        <v>36212.5</v>
      </c>
      <c r="BL30" s="31" t="n">
        <v>33843.46</v>
      </c>
      <c r="BM30" s="31" t="n">
        <v>202790</v>
      </c>
      <c r="BN30" s="31" t="n">
        <v>189523.36</v>
      </c>
      <c r="BO30" s="31" t="n">
        <v>19595.51</v>
      </c>
      <c r="BP30" s="31" t="n">
        <v>2578636.83</v>
      </c>
      <c r="BQ30" s="31" t="n">
        <v>413857.14</v>
      </c>
      <c r="BR30" s="31" t="n">
        <v>386782.37</v>
      </c>
      <c r="BS30" s="31" t="n">
        <v>15328.04</v>
      </c>
      <c r="BT30" s="31" t="n">
        <v>15041.54</v>
      </c>
      <c r="BU30" s="31" t="n">
        <v>372265.82</v>
      </c>
      <c r="BV30" s="31" t="n">
        <v>347911.98</v>
      </c>
      <c r="BW30" s="31" t="n">
        <v>60837</v>
      </c>
      <c r="BX30" s="31" t="n">
        <v>29613.03</v>
      </c>
      <c r="BY30" s="31" t="n">
        <v>16094.44</v>
      </c>
      <c r="BZ30" s="31" t="n">
        <v>33843.46</v>
      </c>
      <c r="CA30" s="31" t="n">
        <v>63371.87</v>
      </c>
      <c r="CB30" s="31" t="n">
        <v>59226.05</v>
      </c>
      <c r="CC30" s="31" t="n">
        <v>1628356.85</v>
      </c>
      <c r="CD30" s="31" t="n">
        <v>3566413.54</v>
      </c>
      <c r="CE30" s="31" t="n">
        <v>47650.02</v>
      </c>
      <c r="CF30" s="31" t="n">
        <v>44532.73</v>
      </c>
      <c r="CG30" s="31" t="n">
        <f aca="false">SUM(CF30,CD30,CB30,BZ30,BX30,BV30,BT30,BR30,BP30,BN30,BL30,BJ30,BH30)</f>
        <v>7451032.07</v>
      </c>
      <c r="CH30" s="31" t="n">
        <f aca="false">CG30+BF30</f>
        <v>28033848.48</v>
      </c>
      <c r="CI30" s="31" t="n">
        <f aca="false">SUM(CE30,CC30,CA30,BY30,BW30,BU30,BS30,BQ30,BO30,BM30,BK30,BI30,BG30,BD30,BB30,AZ30,AX30,AV30,AT30,AR30,AP30,AN30)</f>
        <v>22191505.26</v>
      </c>
      <c r="CJ30" s="31" t="n">
        <f aca="false">CI30-CH30</f>
        <v>-5842343.22</v>
      </c>
      <c r="CK30" s="31" t="str">
        <f aca="false">IF(CE30-CF30+CC30-CD30+CA30-CB30+BU30-BV30+BK30-BL30+BI30-BJ30 &gt; 0, CE30-CF30+CC30-CD30+CA30-CB30+BU30-BV30+BK30-BL30+BI30-BJ30, "-")</f>
        <v>-</v>
      </c>
      <c r="CL30" s="32" t="str">
        <f aca="false">IF(CJ30&lt;0,"⚠ Over Budget","✓ Within Budget")</f>
        <v>⚠ Over Budget</v>
      </c>
      <c r="CM30" s="33" t="s">
        <v>97</v>
      </c>
    </row>
    <row r="31" customFormat="false" ht="14.25" hidden="false" customHeight="false" outlineLevel="0" collapsed="false">
      <c r="A31" s="16" t="s">
        <v>98</v>
      </c>
      <c r="B31" s="16" t="n">
        <v>2024</v>
      </c>
      <c r="C31" s="16" t="n">
        <v>67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1</v>
      </c>
      <c r="S31" s="16" t="n">
        <v>66</v>
      </c>
      <c r="T31" s="16" t="n">
        <v>32</v>
      </c>
      <c r="U31" s="16" t="n">
        <v>34</v>
      </c>
      <c r="V31" s="16" t="n">
        <v>63</v>
      </c>
      <c r="W31" s="16" t="n">
        <v>3</v>
      </c>
      <c r="X31" s="16" t="n">
        <v>8</v>
      </c>
      <c r="Y31" s="16" t="n">
        <v>18</v>
      </c>
      <c r="Z31" s="16" t="n">
        <v>22</v>
      </c>
      <c r="AA31" s="16" t="n">
        <v>12</v>
      </c>
      <c r="AB31" s="16" t="n">
        <v>4</v>
      </c>
      <c r="AC31" s="16" t="n">
        <v>2</v>
      </c>
      <c r="AD31" s="17" t="n">
        <v>0</v>
      </c>
      <c r="AE31" s="17" t="n">
        <v>0</v>
      </c>
      <c r="AF31" s="18" t="n">
        <v>61.8</v>
      </c>
      <c r="AG31" s="19" t="n">
        <v>753033</v>
      </c>
      <c r="AH31" s="19" t="n">
        <v>1211515</v>
      </c>
      <c r="AI31" s="19" t="n">
        <v>1834092</v>
      </c>
      <c r="AJ31" s="19" t="n">
        <v>2795689</v>
      </c>
      <c r="AK31" s="19" t="n">
        <v>4470494</v>
      </c>
      <c r="AL31" s="19" t="n">
        <v>7456696</v>
      </c>
      <c r="AM31" s="19" t="n">
        <v>2650757.94</v>
      </c>
      <c r="AN31" s="19" t="n">
        <v>14890632.71</v>
      </c>
      <c r="AO31" s="19" t="n">
        <v>13916479.17</v>
      </c>
      <c r="AP31" s="19" t="n">
        <v>1489063.27</v>
      </c>
      <c r="AQ31" s="19" t="n">
        <v>1391647.92</v>
      </c>
      <c r="AR31" s="19" t="n">
        <v>54147.76</v>
      </c>
      <c r="AS31" s="19" t="n">
        <v>0</v>
      </c>
      <c r="AT31" s="19" t="n">
        <v>744531.64</v>
      </c>
      <c r="AU31" s="19" t="n">
        <v>695823.96</v>
      </c>
      <c r="AV31" s="19" t="n">
        <v>103338.11</v>
      </c>
      <c r="AW31" s="19" t="n">
        <v>76147.78</v>
      </c>
      <c r="AX31" s="19" t="n">
        <v>54318.75</v>
      </c>
      <c r="AY31" s="19" t="n">
        <v>50765.19</v>
      </c>
      <c r="AZ31" s="19" t="n">
        <v>43582.34</v>
      </c>
      <c r="BA31" s="19" t="n">
        <v>0</v>
      </c>
      <c r="BB31" s="19" t="n">
        <v>1533.14</v>
      </c>
      <c r="BC31" s="19" t="n">
        <v>0</v>
      </c>
      <c r="BD31" s="19" t="n">
        <v>253.24</v>
      </c>
      <c r="BE31" s="19" t="n">
        <v>0</v>
      </c>
      <c r="BF31" s="19" t="n">
        <f aca="false">SUM(BE31,BC31,BA31,AY31,AW31,AU31,AS31,AQ31,AO31)</f>
        <v>16130864.02</v>
      </c>
      <c r="BG31" s="19" t="n">
        <v>166867.2</v>
      </c>
      <c r="BH31" s="19" t="n">
        <v>97469.16</v>
      </c>
      <c r="BI31" s="19" t="n">
        <v>49792.19</v>
      </c>
      <c r="BJ31" s="19" t="n">
        <v>46534.75</v>
      </c>
      <c r="BK31" s="19" t="n">
        <v>36212.5</v>
      </c>
      <c r="BL31" s="19" t="n">
        <v>33843.46</v>
      </c>
      <c r="BM31" s="19" t="n">
        <v>202790</v>
      </c>
      <c r="BN31" s="19" t="n">
        <v>189523.36</v>
      </c>
      <c r="BO31" s="19" t="n">
        <v>7838.2</v>
      </c>
      <c r="BP31" s="19" t="n">
        <v>0</v>
      </c>
      <c r="BQ31" s="19" t="n">
        <v>413857.14</v>
      </c>
      <c r="BR31" s="19" t="n">
        <v>386782.37</v>
      </c>
      <c r="BS31" s="19" t="n">
        <v>16860.85</v>
      </c>
      <c r="BT31" s="19" t="n">
        <v>15041.54</v>
      </c>
      <c r="BU31" s="19" t="n">
        <v>372265.82</v>
      </c>
      <c r="BV31" s="19" t="n">
        <v>347911.98</v>
      </c>
      <c r="BW31" s="19" t="n">
        <v>45627.75</v>
      </c>
      <c r="BX31" s="19" t="n">
        <v>29613.03</v>
      </c>
      <c r="BY31" s="19" t="n">
        <v>16094.44</v>
      </c>
      <c r="BZ31" s="19" t="n">
        <v>33843.46</v>
      </c>
      <c r="CA31" s="19" t="n">
        <v>63371.87</v>
      </c>
      <c r="CB31" s="19" t="n">
        <v>59226.05</v>
      </c>
      <c r="CC31" s="19" t="n">
        <v>233918.3</v>
      </c>
      <c r="CD31" s="19" t="n">
        <v>250496.63</v>
      </c>
      <c r="CE31" s="19" t="n">
        <v>47650.02</v>
      </c>
      <c r="CF31" s="19" t="n">
        <v>44532.73</v>
      </c>
      <c r="CG31" s="19" t="n">
        <f aca="false">SUM(CF31,CD31,CB31,BZ31,BX31,BV31,BT31,BR31,BP31,BN31,BL31,BJ31,BH31)</f>
        <v>1534818.52</v>
      </c>
      <c r="CH31" s="19" t="n">
        <f aca="false">CG31+BF31</f>
        <v>17665682.54</v>
      </c>
      <c r="CI31" s="19" t="n">
        <f aca="false">SUM(CE31,CC31,CA31,BY31,BW31,BU31,BS31,BQ31,BO31,BM31,BK31,BI31,BG31,BD31,BB31,AZ31,AX31,AV31,AT31,AR31,AP31,AN31)</f>
        <v>19054547.24</v>
      </c>
      <c r="CJ31" s="19" t="n">
        <f aca="false">CI31-CH31</f>
        <v>1388864.7</v>
      </c>
      <c r="CK31" s="19" t="n">
        <f aca="false">IF(CE31-CF31+CC31-CD31+CA31-CB31+BU31-BV31+BK31-BL31+BI31-BJ31 &gt; 0, CE31-CF31+CC31-CD31+CA31-CB31+BU31-BV31+BK31-BL31+BI31-BJ31, "-")</f>
        <v>20665.1</v>
      </c>
      <c r="CL31" s="20" t="str">
        <f aca="false">IF(CJ31&lt;0,"⚠ Over Budget","✓ Within Budget")</f>
        <v>✓ Within Budget</v>
      </c>
      <c r="CM31" s="21"/>
    </row>
    <row r="32" customFormat="false" ht="18.75" hidden="false" customHeight="true" outlineLevel="0" collapsed="false">
      <c r="A32" s="28" t="s">
        <v>99</v>
      </c>
      <c r="B32" s="28" t="n">
        <v>2024</v>
      </c>
      <c r="C32" s="28" t="n">
        <v>66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1</v>
      </c>
      <c r="L32" s="28" t="n">
        <v>0</v>
      </c>
      <c r="M32" s="28" t="n">
        <v>0</v>
      </c>
      <c r="N32" s="28" t="n">
        <v>0</v>
      </c>
      <c r="O32" s="28" t="n">
        <v>0</v>
      </c>
      <c r="P32" s="28" t="n">
        <v>1</v>
      </c>
      <c r="Q32" s="28" t="n">
        <v>1</v>
      </c>
      <c r="R32" s="28" t="n">
        <v>0</v>
      </c>
      <c r="S32" s="28" t="n">
        <v>65</v>
      </c>
      <c r="T32" s="28" t="n">
        <v>24</v>
      </c>
      <c r="U32" s="28" t="n">
        <v>41</v>
      </c>
      <c r="V32" s="28" t="n">
        <v>62</v>
      </c>
      <c r="W32" s="28" t="n">
        <v>3</v>
      </c>
      <c r="X32" s="28" t="n">
        <v>8</v>
      </c>
      <c r="Y32" s="28" t="n">
        <v>18</v>
      </c>
      <c r="Z32" s="28" t="n">
        <v>22</v>
      </c>
      <c r="AA32" s="28" t="n">
        <v>12</v>
      </c>
      <c r="AB32" s="28" t="n">
        <v>4</v>
      </c>
      <c r="AC32" s="28" t="n">
        <v>1</v>
      </c>
      <c r="AD32" s="29" t="n">
        <v>0.181818</v>
      </c>
      <c r="AE32" s="29" t="n">
        <v>0</v>
      </c>
      <c r="AF32" s="30" t="n">
        <v>61.4</v>
      </c>
      <c r="AG32" s="31" t="n">
        <v>753033</v>
      </c>
      <c r="AH32" s="31" t="n">
        <v>1211515</v>
      </c>
      <c r="AI32" s="31" t="n">
        <v>1834092</v>
      </c>
      <c r="AJ32" s="31" t="n">
        <v>2795689</v>
      </c>
      <c r="AK32" s="31" t="n">
        <v>4470494</v>
      </c>
      <c r="AL32" s="31" t="n">
        <v>7456696</v>
      </c>
      <c r="AM32" s="31" t="n">
        <v>2650757.94</v>
      </c>
      <c r="AN32" s="31" t="n">
        <v>14890632.71</v>
      </c>
      <c r="AO32" s="31" t="n">
        <v>13916479.17</v>
      </c>
      <c r="AP32" s="31" t="n">
        <v>1489063.27</v>
      </c>
      <c r="AQ32" s="31" t="n">
        <v>1391647.92</v>
      </c>
      <c r="AR32" s="31" t="n">
        <v>54147.76</v>
      </c>
      <c r="AS32" s="31" t="n">
        <v>0</v>
      </c>
      <c r="AT32" s="31" t="n">
        <v>744531.64</v>
      </c>
      <c r="AU32" s="31" t="n">
        <v>695823.96</v>
      </c>
      <c r="AV32" s="31" t="n">
        <v>119236.28</v>
      </c>
      <c r="AW32" s="31" t="n">
        <v>76147.78</v>
      </c>
      <c r="AX32" s="31" t="n">
        <v>54318.75</v>
      </c>
      <c r="AY32" s="31" t="n">
        <v>50765.19</v>
      </c>
      <c r="AZ32" s="31" t="n">
        <v>43582.34</v>
      </c>
      <c r="BA32" s="31" t="n">
        <v>0</v>
      </c>
      <c r="BB32" s="31" t="n">
        <v>2299.71</v>
      </c>
      <c r="BC32" s="31" t="n">
        <v>0</v>
      </c>
      <c r="BD32" s="31" t="n">
        <v>506.48</v>
      </c>
      <c r="BE32" s="31" t="n">
        <v>0</v>
      </c>
      <c r="BF32" s="31" t="n">
        <f aca="false">SUM(BE32,BC32,BA32,AY32,AW32,AU32,AS32,AQ32,AO32)</f>
        <v>16130864.02</v>
      </c>
      <c r="BG32" s="31" t="n">
        <v>28841.24</v>
      </c>
      <c r="BH32" s="31" t="n">
        <v>37904.67</v>
      </c>
      <c r="BI32" s="31" t="n">
        <v>49792.19</v>
      </c>
      <c r="BJ32" s="31" t="n">
        <v>46534.75</v>
      </c>
      <c r="BK32" s="31" t="n">
        <v>36212.5</v>
      </c>
      <c r="BL32" s="31" t="n">
        <v>33843.46</v>
      </c>
      <c r="BM32" s="31" t="n">
        <v>202790</v>
      </c>
      <c r="BN32" s="31" t="n">
        <v>189523.36</v>
      </c>
      <c r="BO32" s="31" t="n">
        <v>3919.1</v>
      </c>
      <c r="BP32" s="31" t="n">
        <v>0</v>
      </c>
      <c r="BQ32" s="31" t="n">
        <v>517321.42</v>
      </c>
      <c r="BR32" s="31" t="n">
        <v>3159391.73</v>
      </c>
      <c r="BS32" s="31" t="n">
        <v>24908.07</v>
      </c>
      <c r="BT32" s="31" t="n">
        <v>1165622.11</v>
      </c>
      <c r="BU32" s="31" t="n">
        <v>372265.82</v>
      </c>
      <c r="BV32" s="31" t="n">
        <v>347911.98</v>
      </c>
      <c r="BW32" s="31" t="n">
        <v>30418.5</v>
      </c>
      <c r="BX32" s="31" t="n">
        <v>29613.03</v>
      </c>
      <c r="BY32" s="31" t="n">
        <v>457596.56</v>
      </c>
      <c r="BZ32" s="31" t="n">
        <v>192447.15</v>
      </c>
      <c r="CA32" s="31" t="n">
        <v>63371.87</v>
      </c>
      <c r="CB32" s="31" t="n">
        <v>59226.05</v>
      </c>
      <c r="CC32" s="31" t="n">
        <v>146198.94</v>
      </c>
      <c r="CD32" s="31" t="n">
        <v>250496.63</v>
      </c>
      <c r="CE32" s="31" t="n">
        <v>47650.02</v>
      </c>
      <c r="CF32" s="31" t="n">
        <v>44532.73</v>
      </c>
      <c r="CG32" s="31" t="n">
        <f aca="false">SUM(CF32,CD32,CB32,BZ32,BX32,BV32,BT32,BR32,BP32,BN32,BL32,BJ32,BH32)</f>
        <v>5557047.65</v>
      </c>
      <c r="CH32" s="31" t="n">
        <f aca="false">CG32+BF32</f>
        <v>21687911.67</v>
      </c>
      <c r="CI32" s="31" t="n">
        <f aca="false">SUM(CE32,CC32,CA32,BY32,BW32,BU32,BS32,BQ32,BO32,BM32,BK32,BI32,BG32,BD32,BB32,AZ32,AX32,AV32,AT32,AR32,AP32,AN32)</f>
        <v>19379605.17</v>
      </c>
      <c r="CJ32" s="31" t="n">
        <f aca="false">CI32-CH32</f>
        <v>-2308306.5</v>
      </c>
      <c r="CK32" s="31" t="str">
        <f aca="false">IF(CE32-CF32+CC32-CD32+CA32-CB32+BU32-BV32+BK32-BL32+BI32-BJ32 &gt; 0, CE32-CF32+CC32-CD32+CA32-CB32+BU32-BV32+BK32-BL32+BI32-BJ32, "-")</f>
        <v>-</v>
      </c>
      <c r="CL32" s="32" t="str">
        <f aca="false">IF(CJ32&lt;0,"⚠ Over Budget","✓ Within Budget")</f>
        <v>⚠ Over Budget</v>
      </c>
      <c r="CM32" s="33" t="s">
        <v>108</v>
      </c>
    </row>
    <row r="33" customFormat="false" ht="14.25" hidden="false" customHeight="false" outlineLevel="0" collapsed="false">
      <c r="A33" s="16" t="s">
        <v>100</v>
      </c>
      <c r="B33" s="16" t="n">
        <v>2024</v>
      </c>
      <c r="C33" s="16" t="n">
        <v>65</v>
      </c>
      <c r="D33" s="16" t="n">
        <v>1</v>
      </c>
      <c r="E33" s="16" t="n">
        <v>1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2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67</v>
      </c>
      <c r="T33" s="16" t="n">
        <v>36</v>
      </c>
      <c r="U33" s="16" t="n">
        <v>31</v>
      </c>
      <c r="V33" s="16" t="n">
        <v>64</v>
      </c>
      <c r="W33" s="16" t="n">
        <v>3</v>
      </c>
      <c r="X33" s="16" t="n">
        <v>8</v>
      </c>
      <c r="Y33" s="16" t="n">
        <v>19</v>
      </c>
      <c r="Z33" s="16" t="n">
        <v>23</v>
      </c>
      <c r="AA33" s="16" t="n">
        <v>12</v>
      </c>
      <c r="AB33" s="16" t="n">
        <v>4</v>
      </c>
      <c r="AC33" s="16" t="n">
        <v>1</v>
      </c>
      <c r="AD33" s="17" t="n">
        <v>0</v>
      </c>
      <c r="AE33" s="17" t="n">
        <v>0</v>
      </c>
      <c r="AF33" s="18" t="n">
        <v>61.9</v>
      </c>
      <c r="AG33" s="19" t="n">
        <v>753033</v>
      </c>
      <c r="AH33" s="19" t="n">
        <v>1211515</v>
      </c>
      <c r="AI33" s="19" t="n">
        <v>1834092</v>
      </c>
      <c r="AJ33" s="19" t="n">
        <v>2795689</v>
      </c>
      <c r="AK33" s="19" t="n">
        <v>4470494</v>
      </c>
      <c r="AL33" s="19" t="n">
        <v>7456696</v>
      </c>
      <c r="AM33" s="19" t="n">
        <v>2650757.94</v>
      </c>
      <c r="AN33" s="19" t="n">
        <v>15599710.46</v>
      </c>
      <c r="AO33" s="19" t="n">
        <v>14579168.66</v>
      </c>
      <c r="AP33" s="19" t="n">
        <v>1559971.05</v>
      </c>
      <c r="AQ33" s="19" t="n">
        <v>1457916.87</v>
      </c>
      <c r="AR33" s="19" t="n">
        <v>56726.22</v>
      </c>
      <c r="AS33" s="19" t="n">
        <v>0</v>
      </c>
      <c r="AT33" s="19" t="n">
        <v>779985.52</v>
      </c>
      <c r="AU33" s="19" t="n">
        <v>728958.43</v>
      </c>
      <c r="AV33" s="19" t="n">
        <v>99931.36</v>
      </c>
      <c r="AW33" s="19" t="n">
        <v>79773.86</v>
      </c>
      <c r="AX33" s="19" t="n">
        <v>56905.36</v>
      </c>
      <c r="AY33" s="19" t="n">
        <v>53182.58</v>
      </c>
      <c r="AZ33" s="19" t="n">
        <v>38048.07</v>
      </c>
      <c r="BA33" s="19" t="n">
        <v>0</v>
      </c>
      <c r="BB33" s="19" t="n">
        <v>114985.58</v>
      </c>
      <c r="BC33" s="19" t="n">
        <v>66268.95</v>
      </c>
      <c r="BD33" s="19" t="n">
        <v>759.73</v>
      </c>
      <c r="BE33" s="19" t="n">
        <v>0</v>
      </c>
      <c r="BF33" s="19" t="n">
        <f aca="false">SUM(BE33,BC33,BA33,AY33,AW33,AU33,AS33,AQ33,AO33)</f>
        <v>16965269.35</v>
      </c>
      <c r="BG33" s="19" t="n">
        <v>22660.98</v>
      </c>
      <c r="BH33" s="19" t="n">
        <v>39709.66</v>
      </c>
      <c r="BI33" s="19" t="n">
        <v>52163.24</v>
      </c>
      <c r="BJ33" s="19" t="n">
        <v>48750.69</v>
      </c>
      <c r="BK33" s="19" t="n">
        <v>37936.9</v>
      </c>
      <c r="BL33" s="19" t="n">
        <v>35455.05</v>
      </c>
      <c r="BM33" s="19" t="n">
        <v>212446.66</v>
      </c>
      <c r="BN33" s="19" t="n">
        <v>198548.28</v>
      </c>
      <c r="BO33" s="19" t="n">
        <v>411505.67</v>
      </c>
      <c r="BP33" s="19" t="n">
        <v>141014.41</v>
      </c>
      <c r="BQ33" s="19" t="n">
        <v>400924.1</v>
      </c>
      <c r="BR33" s="19" t="n">
        <v>374695.42</v>
      </c>
      <c r="BS33" s="19" t="n">
        <v>19303.75</v>
      </c>
      <c r="BT33" s="19" t="n">
        <v>14571.49</v>
      </c>
      <c r="BU33" s="19" t="n">
        <v>389992.76</v>
      </c>
      <c r="BV33" s="19" t="n">
        <v>364479.22</v>
      </c>
      <c r="BW33" s="19" t="n">
        <v>15933.5</v>
      </c>
      <c r="BX33" s="19" t="n">
        <v>31023.17</v>
      </c>
      <c r="BY33" s="19" t="n">
        <v>16860.85</v>
      </c>
      <c r="BZ33" s="19" t="n">
        <v>35455.05</v>
      </c>
      <c r="CA33" s="19" t="n">
        <v>66389.58</v>
      </c>
      <c r="CB33" s="19" t="n">
        <v>62046.34</v>
      </c>
      <c r="CC33" s="19" t="n">
        <v>153160.79</v>
      </c>
      <c r="CD33" s="19" t="n">
        <v>262425.04</v>
      </c>
      <c r="CE33" s="19" t="n">
        <v>49919.07</v>
      </c>
      <c r="CF33" s="19" t="n">
        <v>46653.34</v>
      </c>
      <c r="CG33" s="19" t="n">
        <f aca="false">SUM(CF33,CD33,CB33,BZ33,BX33,BV33,BT33,BR33,BP33,BN33,BL33,BJ33,BH33)</f>
        <v>1654827.16</v>
      </c>
      <c r="CH33" s="19" t="n">
        <f aca="false">CG33+BF33</f>
        <v>18620096.51</v>
      </c>
      <c r="CI33" s="19" t="n">
        <f aca="false">SUM(CE33,CC33,CA33,BY33,BW33,BU33,BS33,BQ33,BO33,BM33,BK33,BI33,BG33,BD33,BB33,AZ33,AX33,AV33,AT33,AR33,AP33,AN33)</f>
        <v>20156221.2</v>
      </c>
      <c r="CJ33" s="19" t="n">
        <f aca="false">CI33-CH33</f>
        <v>1536124.69</v>
      </c>
      <c r="CK33" s="19" t="str">
        <f aca="false">IF(CE33-CF33+CC33-CD33+CA33-CB33+BU33-BV33+BK33-BL33+BI33-BJ33 &gt; 0, CE33-CF33+CC33-CD33+CA33-CB33+BU33-BV33+BK33-BL33+BI33-BJ33, "-")</f>
        <v>-</v>
      </c>
      <c r="CL33" s="20" t="str">
        <f aca="false">IF(CJ33&lt;0,"⚠ Over Budget","✓ Within Budget")</f>
        <v>✓ Within Budget</v>
      </c>
      <c r="CM33" s="21"/>
    </row>
    <row r="34" customFormat="false" ht="14.25" hidden="false" customHeight="false" outlineLevel="0" collapsed="false">
      <c r="A34" s="22" t="s">
        <v>101</v>
      </c>
      <c r="B34" s="22" t="n">
        <v>2024</v>
      </c>
      <c r="C34" s="22" t="n">
        <v>67</v>
      </c>
      <c r="D34" s="22" t="n">
        <v>1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1</v>
      </c>
      <c r="J34" s="22" t="n">
        <v>1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68</v>
      </c>
      <c r="T34" s="22" t="n">
        <v>36</v>
      </c>
      <c r="U34" s="22" t="n">
        <v>32</v>
      </c>
      <c r="V34" s="22" t="n">
        <v>65</v>
      </c>
      <c r="W34" s="22" t="n">
        <v>3</v>
      </c>
      <c r="X34" s="22" t="n">
        <v>8</v>
      </c>
      <c r="Y34" s="22" t="n">
        <v>19</v>
      </c>
      <c r="Z34" s="22" t="n">
        <v>23</v>
      </c>
      <c r="AA34" s="22" t="n">
        <v>12</v>
      </c>
      <c r="AB34" s="22" t="n">
        <v>4</v>
      </c>
      <c r="AC34" s="22" t="n">
        <v>2</v>
      </c>
      <c r="AD34" s="23" t="n">
        <v>0</v>
      </c>
      <c r="AE34" s="23" t="n">
        <v>0</v>
      </c>
      <c r="AF34" s="24" t="n">
        <v>62.3</v>
      </c>
      <c r="AG34" s="25" t="n">
        <v>753033</v>
      </c>
      <c r="AH34" s="25" t="n">
        <v>1211515</v>
      </c>
      <c r="AI34" s="25" t="n">
        <v>1834092</v>
      </c>
      <c r="AJ34" s="25" t="n">
        <v>2795689</v>
      </c>
      <c r="AK34" s="25" t="n">
        <v>4470494</v>
      </c>
      <c r="AL34" s="25" t="n">
        <v>7456696</v>
      </c>
      <c r="AM34" s="25" t="n">
        <v>2650757.94</v>
      </c>
      <c r="AN34" s="25" t="n">
        <v>15599710.46</v>
      </c>
      <c r="AO34" s="25" t="n">
        <v>14579168.66</v>
      </c>
      <c r="AP34" s="25" t="n">
        <v>1559971.05</v>
      </c>
      <c r="AQ34" s="25" t="n">
        <v>1457916.87</v>
      </c>
      <c r="AR34" s="25" t="n">
        <v>56726.22</v>
      </c>
      <c r="AS34" s="25" t="n">
        <v>0</v>
      </c>
      <c r="AT34" s="25" t="n">
        <v>779985.52</v>
      </c>
      <c r="AU34" s="25" t="n">
        <v>728958.43</v>
      </c>
      <c r="AV34" s="25" t="n">
        <v>83276.13</v>
      </c>
      <c r="AW34" s="25" t="n">
        <v>79773.86</v>
      </c>
      <c r="AX34" s="25" t="n">
        <v>56905.36</v>
      </c>
      <c r="AY34" s="25" t="n">
        <v>53182.58</v>
      </c>
      <c r="AZ34" s="25" t="n">
        <v>38048.07</v>
      </c>
      <c r="BA34" s="25" t="n">
        <v>0</v>
      </c>
      <c r="BB34" s="25" t="n">
        <v>3832.85</v>
      </c>
      <c r="BC34" s="25" t="n">
        <v>0</v>
      </c>
      <c r="BD34" s="25" t="n">
        <v>759.73</v>
      </c>
      <c r="BE34" s="25" t="n">
        <v>0</v>
      </c>
      <c r="BF34" s="25" t="n">
        <f aca="false">SUM(BE34,BC34,BA34,AY34,AW34,AU34,AS34,AQ34,AO34)</f>
        <v>16899000.4</v>
      </c>
      <c r="BG34" s="25" t="n">
        <v>121398.09</v>
      </c>
      <c r="BH34" s="25" t="n">
        <v>85092.12</v>
      </c>
      <c r="BI34" s="25" t="n">
        <v>52163.24</v>
      </c>
      <c r="BJ34" s="25" t="n">
        <v>48750.69</v>
      </c>
      <c r="BK34" s="25" t="n">
        <v>37936.9</v>
      </c>
      <c r="BL34" s="25" t="n">
        <v>35455.05</v>
      </c>
      <c r="BM34" s="25" t="n">
        <v>212446.66</v>
      </c>
      <c r="BN34" s="25" t="n">
        <v>198548.28</v>
      </c>
      <c r="BO34" s="25" t="n">
        <v>7838.2</v>
      </c>
      <c r="BP34" s="25" t="n">
        <v>0</v>
      </c>
      <c r="BQ34" s="25" t="n">
        <v>400924.1</v>
      </c>
      <c r="BR34" s="25" t="n">
        <v>374695.42</v>
      </c>
      <c r="BS34" s="25" t="n">
        <v>19303.75</v>
      </c>
      <c r="BT34" s="25" t="n">
        <v>14571.49</v>
      </c>
      <c r="BU34" s="25" t="n">
        <v>389992.76</v>
      </c>
      <c r="BV34" s="25" t="n">
        <v>364479.22</v>
      </c>
      <c r="BW34" s="25" t="n">
        <v>31867</v>
      </c>
      <c r="BX34" s="25" t="n">
        <v>31023.17</v>
      </c>
      <c r="BY34" s="25" t="n">
        <v>39423.72</v>
      </c>
      <c r="BZ34" s="25" t="n">
        <v>69083.62</v>
      </c>
      <c r="CA34" s="25" t="n">
        <v>66389.58</v>
      </c>
      <c r="CB34" s="25" t="n">
        <v>62046.34</v>
      </c>
      <c r="CC34" s="25" t="n">
        <v>153160.79</v>
      </c>
      <c r="CD34" s="25" t="n">
        <v>262425.04</v>
      </c>
      <c r="CE34" s="25" t="n">
        <v>49919.07</v>
      </c>
      <c r="CF34" s="25" t="n">
        <v>46653.34</v>
      </c>
      <c r="CG34" s="25" t="n">
        <f aca="false">SUM(CF34,CD34,CB34,BZ34,BX34,BV34,BT34,BR34,BP34,BN34,BL34,BJ34,BH34)</f>
        <v>1592823.78</v>
      </c>
      <c r="CH34" s="25" t="n">
        <f aca="false">CG34+BF34</f>
        <v>18491824.18</v>
      </c>
      <c r="CI34" s="25" t="n">
        <f aca="false">SUM(CE34,CC34,CA34,BY34,BW34,BU34,BS34,BQ34,BO34,BM34,BK34,BI34,BG34,BD34,BB34,AZ34,AX34,AV34,AT34,AR34,AP34,AN34)</f>
        <v>19761979.25</v>
      </c>
      <c r="CJ34" s="25" t="n">
        <f aca="false">CI34-CH34</f>
        <v>1270155.07</v>
      </c>
      <c r="CK34" s="25" t="str">
        <f aca="false">IF(CE34-CF34+CC34-CD34+CA34-CB34+BU34-BV34+BK34-BL34+BI34-BJ34 &gt; 0, CE34-CF34+CC34-CD34+CA34-CB34+BU34-BV34+BK34-BL34+BI34-BJ34, "-")</f>
        <v>-</v>
      </c>
      <c r="CL34" s="26" t="str">
        <f aca="false">IF(CJ34&lt;0,"⚠ Over Budget","✓ Within Budget")</f>
        <v>✓ Within Budget</v>
      </c>
      <c r="CM34" s="27"/>
    </row>
    <row r="35" customFormat="false" ht="14.25" hidden="false" customHeight="false" outlineLevel="0" collapsed="false">
      <c r="A35" s="16" t="s">
        <v>102</v>
      </c>
      <c r="B35" s="16" t="n">
        <v>2024</v>
      </c>
      <c r="C35" s="16" t="n">
        <v>68</v>
      </c>
      <c r="D35" s="16" t="n">
        <v>1</v>
      </c>
      <c r="E35" s="16" t="n">
        <v>1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2</v>
      </c>
      <c r="K35" s="16" t="n">
        <v>1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1</v>
      </c>
      <c r="Q35" s="16" t="n">
        <v>1</v>
      </c>
      <c r="R35" s="16" t="n">
        <v>0</v>
      </c>
      <c r="S35" s="16" t="n">
        <v>69</v>
      </c>
      <c r="T35" s="16" t="n">
        <v>34</v>
      </c>
      <c r="U35" s="16" t="n">
        <v>35</v>
      </c>
      <c r="V35" s="16" t="n">
        <v>66</v>
      </c>
      <c r="W35" s="16" t="n">
        <v>3</v>
      </c>
      <c r="X35" s="16" t="n">
        <v>8</v>
      </c>
      <c r="Y35" s="16" t="n">
        <v>19</v>
      </c>
      <c r="Z35" s="16" t="n">
        <v>23</v>
      </c>
      <c r="AA35" s="16" t="n">
        <v>12</v>
      </c>
      <c r="AB35" s="16" t="n">
        <v>4</v>
      </c>
      <c r="AC35" s="16" t="n">
        <v>3</v>
      </c>
      <c r="AD35" s="17" t="n">
        <v>0.176471</v>
      </c>
      <c r="AE35" s="17" t="n">
        <v>0</v>
      </c>
      <c r="AF35" s="18" t="n">
        <v>61.7</v>
      </c>
      <c r="AG35" s="19" t="n">
        <v>753033</v>
      </c>
      <c r="AH35" s="19" t="n">
        <v>1211515</v>
      </c>
      <c r="AI35" s="19" t="n">
        <v>1834092</v>
      </c>
      <c r="AJ35" s="19" t="n">
        <v>2795689</v>
      </c>
      <c r="AK35" s="19" t="n">
        <v>4470494</v>
      </c>
      <c r="AL35" s="19" t="n">
        <v>7456696</v>
      </c>
      <c r="AM35" s="19" t="n">
        <v>2650757.94</v>
      </c>
      <c r="AN35" s="19" t="n">
        <v>15599710.46</v>
      </c>
      <c r="AO35" s="19" t="n">
        <v>14579168.66</v>
      </c>
      <c r="AP35" s="19" t="n">
        <v>1559971.05</v>
      </c>
      <c r="AQ35" s="19" t="n">
        <v>1457916.87</v>
      </c>
      <c r="AR35" s="19" t="n">
        <v>56726.22</v>
      </c>
      <c r="AS35" s="19" t="n">
        <v>0</v>
      </c>
      <c r="AT35" s="19" t="n">
        <v>779985.52</v>
      </c>
      <c r="AU35" s="19" t="n">
        <v>728958.43</v>
      </c>
      <c r="AV35" s="19" t="n">
        <v>91603.74</v>
      </c>
      <c r="AW35" s="19" t="n">
        <v>79773.86</v>
      </c>
      <c r="AX35" s="19" t="n">
        <v>56905.36</v>
      </c>
      <c r="AY35" s="19" t="n">
        <v>53182.58</v>
      </c>
      <c r="AZ35" s="19" t="n">
        <v>428731.05</v>
      </c>
      <c r="BA35" s="19" t="n">
        <v>410700.3</v>
      </c>
      <c r="BB35" s="19" t="n">
        <v>2299.71</v>
      </c>
      <c r="BC35" s="19" t="n">
        <v>0</v>
      </c>
      <c r="BD35" s="19" t="n">
        <v>253.24</v>
      </c>
      <c r="BE35" s="19" t="n">
        <v>0</v>
      </c>
      <c r="BF35" s="19" t="n">
        <f aca="false">SUM(BE35,BC35,BA35,AY35,AW35,AU35,AS35,AQ35,AO35)</f>
        <v>17309700.7</v>
      </c>
      <c r="BG35" s="19" t="n">
        <v>174813.25</v>
      </c>
      <c r="BH35" s="19" t="n">
        <v>102110.55</v>
      </c>
      <c r="BI35" s="19" t="n">
        <v>52163.24</v>
      </c>
      <c r="BJ35" s="19" t="n">
        <v>48750.69</v>
      </c>
      <c r="BK35" s="19" t="n">
        <v>37936.9</v>
      </c>
      <c r="BL35" s="19" t="n">
        <v>35455.05</v>
      </c>
      <c r="BM35" s="19" t="n">
        <v>212446.66</v>
      </c>
      <c r="BN35" s="19" t="n">
        <v>198548.28</v>
      </c>
      <c r="BO35" s="19" t="n">
        <v>3919.1</v>
      </c>
      <c r="BP35" s="19" t="n">
        <v>0</v>
      </c>
      <c r="BQ35" s="19" t="n">
        <v>426790.17</v>
      </c>
      <c r="BR35" s="19" t="n">
        <v>398869.32</v>
      </c>
      <c r="BS35" s="19" t="n">
        <v>17387.75</v>
      </c>
      <c r="BT35" s="19" t="n">
        <v>15511.58</v>
      </c>
      <c r="BU35" s="19" t="n">
        <v>389992.76</v>
      </c>
      <c r="BV35" s="19" t="n">
        <v>364479.22</v>
      </c>
      <c r="BW35" s="19" t="n">
        <v>63734</v>
      </c>
      <c r="BX35" s="19" t="n">
        <v>31023.17</v>
      </c>
      <c r="BY35" s="19" t="n">
        <v>16860.85</v>
      </c>
      <c r="BZ35" s="19" t="n">
        <v>35455.05</v>
      </c>
      <c r="CA35" s="19" t="n">
        <v>66389.58</v>
      </c>
      <c r="CB35" s="19" t="n">
        <v>62046.34</v>
      </c>
      <c r="CC35" s="19" t="n">
        <v>183792.95</v>
      </c>
      <c r="CD35" s="19" t="n">
        <v>262425.04</v>
      </c>
      <c r="CE35" s="19" t="n">
        <v>49919.07</v>
      </c>
      <c r="CF35" s="19" t="n">
        <v>46653.34</v>
      </c>
      <c r="CG35" s="19" t="n">
        <f aca="false">SUM(CF35,CD35,CB35,BZ35,BX35,BV35,BT35,BR35,BP35,BN35,BL35,BJ35,BH35)</f>
        <v>1601327.63</v>
      </c>
      <c r="CH35" s="19" t="n">
        <f aca="false">CG35+BF35</f>
        <v>18911028.33</v>
      </c>
      <c r="CI35" s="19" t="n">
        <f aca="false">SUM(CE35,CC35,CA35,BY35,BW35,BU35,BS35,BQ35,BO35,BM35,BK35,BI35,BG35,BD35,BB35,AZ35,AX35,AV35,AT35,AR35,AP35,AN35)</f>
        <v>20272332.63</v>
      </c>
      <c r="CJ35" s="19" t="n">
        <f aca="false">CI35-CH35</f>
        <v>1361304.3</v>
      </c>
      <c r="CK35" s="19" t="str">
        <f aca="false">IF(CE35-CF35+CC35-CD35+CA35-CB35+BU35-BV35+BK35-BL35+BI35-BJ35 &gt; 0, CE35-CF35+CC35-CD35+CA35-CB35+BU35-BV35+BK35-BL35+BI35-BJ35, "-")</f>
        <v>-</v>
      </c>
      <c r="CL35" s="20" t="str">
        <f aca="false">IF(CJ35&lt;0,"⚠ Over Budget","✓ Within Budget")</f>
        <v>✓ Within Budget</v>
      </c>
      <c r="CM35" s="21"/>
    </row>
    <row r="36" customFormat="false" ht="14.25" hidden="false" customHeight="false" outlineLevel="0" collapsed="false">
      <c r="A36" s="22" t="s">
        <v>103</v>
      </c>
      <c r="B36" s="22" t="n">
        <v>2024</v>
      </c>
      <c r="C36" s="22" t="n">
        <v>69</v>
      </c>
      <c r="D36" s="22" t="n">
        <v>1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1</v>
      </c>
      <c r="J36" s="22" t="n">
        <v>1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70</v>
      </c>
      <c r="T36" s="22" t="n">
        <v>35</v>
      </c>
      <c r="U36" s="22" t="n">
        <v>35</v>
      </c>
      <c r="V36" s="22" t="n">
        <v>66</v>
      </c>
      <c r="W36" s="22" t="n">
        <v>4</v>
      </c>
      <c r="X36" s="22" t="n">
        <v>8</v>
      </c>
      <c r="Y36" s="22" t="n">
        <v>20</v>
      </c>
      <c r="Z36" s="22" t="n">
        <v>24</v>
      </c>
      <c r="AA36" s="22" t="n">
        <v>13</v>
      </c>
      <c r="AB36" s="22" t="n">
        <v>4</v>
      </c>
      <c r="AC36" s="22" t="n">
        <v>1</v>
      </c>
      <c r="AD36" s="23" t="n">
        <v>0</v>
      </c>
      <c r="AE36" s="23" t="n">
        <v>0.0134545927808906</v>
      </c>
      <c r="AF36" s="24" t="n">
        <v>60.9</v>
      </c>
      <c r="AG36" s="25" t="n">
        <v>766924</v>
      </c>
      <c r="AH36" s="25" t="n">
        <v>1232534</v>
      </c>
      <c r="AI36" s="25" t="n">
        <v>1852732</v>
      </c>
      <c r="AJ36" s="25" t="n">
        <v>2827673</v>
      </c>
      <c r="AK36" s="25" t="n">
        <v>4517726</v>
      </c>
      <c r="AL36" s="25" t="n">
        <v>7544082</v>
      </c>
      <c r="AM36" s="25" t="n">
        <v>2683296.81</v>
      </c>
      <c r="AN36" s="25" t="n">
        <v>15791201.73</v>
      </c>
      <c r="AO36" s="25" t="n">
        <v>14758132.46</v>
      </c>
      <c r="AP36" s="25" t="n">
        <v>1579120.17</v>
      </c>
      <c r="AQ36" s="25" t="n">
        <v>1475813.25</v>
      </c>
      <c r="AR36" s="25" t="n">
        <v>1837521.66</v>
      </c>
      <c r="AS36" s="25" t="n">
        <v>590325.3</v>
      </c>
      <c r="AT36" s="25" t="n">
        <v>789560.09</v>
      </c>
      <c r="AU36" s="25" t="n">
        <v>737906.62</v>
      </c>
      <c r="AV36" s="25" t="n">
        <v>74948.52</v>
      </c>
      <c r="AW36" s="25" t="n">
        <v>79773.86</v>
      </c>
      <c r="AX36" s="25" t="n">
        <v>56905.36</v>
      </c>
      <c r="AY36" s="25" t="n">
        <v>53182.58</v>
      </c>
      <c r="AZ36" s="25" t="n">
        <v>979695.15</v>
      </c>
      <c r="BA36" s="25" t="n">
        <v>469246.51</v>
      </c>
      <c r="BB36" s="25" t="n">
        <v>2327.94</v>
      </c>
      <c r="BC36" s="25" t="n">
        <v>0</v>
      </c>
      <c r="BD36" s="25" t="n">
        <v>256.35</v>
      </c>
      <c r="BE36" s="25" t="n">
        <v>0</v>
      </c>
      <c r="BF36" s="25" t="n">
        <f aca="false">SUM(BE36,BC36,BA36,AY36,AW36,AU36,AS36,AQ36,AO36)</f>
        <v>18164380.58</v>
      </c>
      <c r="BG36" s="25" t="n">
        <v>105751.23</v>
      </c>
      <c r="BH36" s="25" t="n">
        <v>79419.31</v>
      </c>
      <c r="BI36" s="25" t="n">
        <v>52163.24</v>
      </c>
      <c r="BJ36" s="25" t="n">
        <v>48750.69</v>
      </c>
      <c r="BK36" s="25" t="n">
        <v>37936.9</v>
      </c>
      <c r="BL36" s="25" t="n">
        <v>35455.05</v>
      </c>
      <c r="BM36" s="25" t="n">
        <v>212446.66</v>
      </c>
      <c r="BN36" s="25" t="n">
        <v>198548.28</v>
      </c>
      <c r="BO36" s="25" t="n">
        <v>3919.1</v>
      </c>
      <c r="BP36" s="25" t="n">
        <v>0</v>
      </c>
      <c r="BQ36" s="25" t="n">
        <v>426790.17</v>
      </c>
      <c r="BR36" s="25" t="n">
        <v>398869.32</v>
      </c>
      <c r="BS36" s="25" t="n">
        <v>15807.04</v>
      </c>
      <c r="BT36" s="25" t="n">
        <v>15511.58</v>
      </c>
      <c r="BU36" s="25" t="n">
        <v>394780.04</v>
      </c>
      <c r="BV36" s="25" t="n">
        <v>368953.31</v>
      </c>
      <c r="BW36" s="25" t="n">
        <v>47800.5</v>
      </c>
      <c r="BX36" s="25" t="n">
        <v>31023.17</v>
      </c>
      <c r="BY36" s="25" t="n">
        <v>810374.27</v>
      </c>
      <c r="BZ36" s="25" t="n">
        <v>266259.07</v>
      </c>
      <c r="CA36" s="25" t="n">
        <v>66389.58</v>
      </c>
      <c r="CB36" s="25" t="n">
        <v>62046.34</v>
      </c>
      <c r="CC36" s="25" t="n">
        <v>248065.42</v>
      </c>
      <c r="CD36" s="25" t="n">
        <v>265646.38</v>
      </c>
      <c r="CE36" s="25" t="n">
        <v>50531.85</v>
      </c>
      <c r="CF36" s="25" t="n">
        <v>47226.02</v>
      </c>
      <c r="CG36" s="25" t="n">
        <f aca="false">SUM(CF36,CD36,CB36,BZ36,BX36,BV36,BT36,BR36,BP36,BN36,BL36,BJ36,BH36)</f>
        <v>1817708.52</v>
      </c>
      <c r="CH36" s="25" t="n">
        <f aca="false">CG36+BF36</f>
        <v>19982089.1</v>
      </c>
      <c r="CI36" s="25" t="n">
        <f aca="false">SUM(CE36,CC36,CA36,BY36,BW36,BU36,BS36,BQ36,BO36,BM36,BK36,BI36,BG36,BD36,BB36,AZ36,AX36,AV36,AT36,AR36,AP36,AN36)</f>
        <v>23584292.97</v>
      </c>
      <c r="CJ36" s="25" t="n">
        <f aca="false">CI36-CH36</f>
        <v>3602203.87</v>
      </c>
      <c r="CK36" s="25" t="n">
        <f aca="false">IF(CE36-CF36+CC36-CD36+CA36-CB36+BU36-BV36+BK36-BL36+BI36-BJ36 &gt; 0, CE36-CF36+CC36-CD36+CA36-CB36+BU36-BV36+BK36-BL36+BI36-BJ36, "-")</f>
        <v>21789.24</v>
      </c>
      <c r="CL36" s="26" t="str">
        <f aca="false">IF(CJ36&lt;0,"⚠ Over Budget","✓ Within Budget")</f>
        <v>✓ Within Budget</v>
      </c>
      <c r="CM36" s="27"/>
    </row>
    <row r="37" customFormat="false" ht="18.75" hidden="false" customHeight="true" outlineLevel="0" collapsed="false">
      <c r="A37" s="28" t="s">
        <v>104</v>
      </c>
      <c r="B37" s="28" t="n">
        <v>2024</v>
      </c>
      <c r="C37" s="28" t="n">
        <v>70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</v>
      </c>
      <c r="O37" s="28" t="n">
        <v>0</v>
      </c>
      <c r="P37" s="28" t="n">
        <v>0</v>
      </c>
      <c r="Q37" s="28" t="n">
        <v>0</v>
      </c>
      <c r="R37" s="28" t="n">
        <v>1</v>
      </c>
      <c r="S37" s="28" t="n">
        <v>69</v>
      </c>
      <c r="T37" s="28" t="n">
        <v>34</v>
      </c>
      <c r="U37" s="28" t="n">
        <v>35</v>
      </c>
      <c r="V37" s="28" t="n">
        <v>66</v>
      </c>
      <c r="W37" s="28" t="n">
        <v>3</v>
      </c>
      <c r="X37" s="28" t="n">
        <v>8</v>
      </c>
      <c r="Y37" s="28" t="n">
        <v>19</v>
      </c>
      <c r="Z37" s="28" t="n">
        <v>23</v>
      </c>
      <c r="AA37" s="28" t="n">
        <v>12</v>
      </c>
      <c r="AB37" s="28" t="n">
        <v>4</v>
      </c>
      <c r="AC37" s="28" t="n">
        <v>3</v>
      </c>
      <c r="AD37" s="29" t="n">
        <v>0</v>
      </c>
      <c r="AE37" s="29" t="n">
        <v>0</v>
      </c>
      <c r="AF37" s="30" t="n">
        <v>60.2</v>
      </c>
      <c r="AG37" s="31" t="n">
        <v>766924</v>
      </c>
      <c r="AH37" s="31" t="n">
        <v>1232534</v>
      </c>
      <c r="AI37" s="31" t="n">
        <v>1852732</v>
      </c>
      <c r="AJ37" s="31" t="n">
        <v>2827673</v>
      </c>
      <c r="AK37" s="31" t="n">
        <v>4517726</v>
      </c>
      <c r="AL37" s="31" t="n">
        <v>7544082</v>
      </c>
      <c r="AM37" s="31" t="n">
        <v>2683296.81</v>
      </c>
      <c r="AN37" s="31" t="n">
        <v>15791201.73</v>
      </c>
      <c r="AO37" s="31" t="n">
        <v>14758132.46</v>
      </c>
      <c r="AP37" s="31" t="n">
        <v>1579120.17</v>
      </c>
      <c r="AQ37" s="31" t="n">
        <v>1475813.25</v>
      </c>
      <c r="AR37" s="31" t="n">
        <v>186623.29</v>
      </c>
      <c r="AS37" s="31" t="n">
        <v>0</v>
      </c>
      <c r="AT37" s="31" t="n">
        <v>789560.09</v>
      </c>
      <c r="AU37" s="31" t="n">
        <v>737906.62</v>
      </c>
      <c r="AV37" s="31" t="n">
        <v>88827.87</v>
      </c>
      <c r="AW37" s="31" t="n">
        <v>106365.15</v>
      </c>
      <c r="AX37" s="31" t="n">
        <v>56905.36</v>
      </c>
      <c r="AY37" s="31" t="n">
        <v>53182.58</v>
      </c>
      <c r="AZ37" s="31" t="n">
        <v>77030.25</v>
      </c>
      <c r="BA37" s="31" t="n">
        <v>0</v>
      </c>
      <c r="BB37" s="31" t="n">
        <v>775.98</v>
      </c>
      <c r="BC37" s="31" t="n">
        <v>0</v>
      </c>
      <c r="BD37" s="31" t="n">
        <v>256.35</v>
      </c>
      <c r="BE37" s="31" t="n">
        <v>0</v>
      </c>
      <c r="BF37" s="31" t="n">
        <f aca="false">SUM(BE37,BC37,BA37,AY37,AW37,AU37,AS37,AQ37,AO37)</f>
        <v>17131400.06</v>
      </c>
      <c r="BG37" s="31" t="n">
        <v>138124.05</v>
      </c>
      <c r="BH37" s="31" t="n">
        <v>90764.93</v>
      </c>
      <c r="BI37" s="31" t="n">
        <v>52163.24</v>
      </c>
      <c r="BJ37" s="31" t="n">
        <v>48750.69</v>
      </c>
      <c r="BK37" s="31" t="n">
        <v>37936.9</v>
      </c>
      <c r="BL37" s="31" t="n">
        <v>35455.05</v>
      </c>
      <c r="BM37" s="31" t="n">
        <v>212446.66</v>
      </c>
      <c r="BN37" s="31" t="n">
        <v>198548.28</v>
      </c>
      <c r="BO37" s="31" t="n">
        <v>3919.1</v>
      </c>
      <c r="BP37" s="31" t="n">
        <v>0</v>
      </c>
      <c r="BQ37" s="31" t="n">
        <v>426790.17</v>
      </c>
      <c r="BR37" s="31" t="n">
        <v>398869.32</v>
      </c>
      <c r="BS37" s="31" t="n">
        <v>14226.34</v>
      </c>
      <c r="BT37" s="31" t="n">
        <v>15511.58</v>
      </c>
      <c r="BU37" s="31" t="n">
        <v>394780.04</v>
      </c>
      <c r="BV37" s="31" t="n">
        <v>368953.31</v>
      </c>
      <c r="BW37" s="31" t="n">
        <v>31867</v>
      </c>
      <c r="BX37" s="31" t="n">
        <v>31023.17</v>
      </c>
      <c r="BY37" s="31" t="n">
        <v>134984.92</v>
      </c>
      <c r="BZ37" s="31" t="n">
        <v>4434682.52</v>
      </c>
      <c r="CA37" s="31" t="n">
        <v>66389.58</v>
      </c>
      <c r="CB37" s="31" t="n">
        <v>62046.34</v>
      </c>
      <c r="CC37" s="31" t="n">
        <v>248065.42</v>
      </c>
      <c r="CD37" s="31" t="n">
        <v>265646.38</v>
      </c>
      <c r="CE37" s="31" t="n">
        <v>50531.85</v>
      </c>
      <c r="CF37" s="31" t="n">
        <v>47226.02</v>
      </c>
      <c r="CG37" s="31" t="n">
        <f aca="false">SUM(CF37,CD37,CB37,BZ37,BX37,BV37,BT37,BR37,BP37,BN37,BL37,BJ37,BH37)</f>
        <v>5997477.59</v>
      </c>
      <c r="CH37" s="31" t="n">
        <f aca="false">CG37+BF37</f>
        <v>23128877.65</v>
      </c>
      <c r="CI37" s="31" t="n">
        <f aca="false">SUM(CE37,CC37,CA37,BY37,BW37,BU37,BS37,BQ37,BO37,BM37,BK37,BI37,BG37,BD37,BB37,AZ37,AX37,AV37,AT37,AR37,AP37,AN37)</f>
        <v>20382526.36</v>
      </c>
      <c r="CJ37" s="31" t="n">
        <f aca="false">CI37-CH37</f>
        <v>-2746351.29</v>
      </c>
      <c r="CK37" s="31" t="n">
        <f aca="false">IF(CE37-CF37+CC37-CD37+CA37-CB37+BU37-BV37+BK37-BL37+BI37-BJ37 &gt; 0, CE37-CF37+CC37-CD37+CA37-CB37+BU37-BV37+BK37-BL37+BI37-BJ37, "-")</f>
        <v>21789.24</v>
      </c>
      <c r="CL37" s="32" t="str">
        <f aca="false">IF(CJ37&lt;0,"⚠ Over Budget","✓ Within Budget")</f>
        <v>⚠ Over Budget</v>
      </c>
      <c r="CM37" s="33" t="s">
        <v>109</v>
      </c>
    </row>
    <row r="38" customFormat="false" ht="14.25" hidden="false" customHeight="false" outlineLevel="0" collapsed="false">
      <c r="A38" s="22" t="s">
        <v>105</v>
      </c>
      <c r="B38" s="22" t="n">
        <v>2024</v>
      </c>
      <c r="C38" s="22" t="n">
        <v>69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69</v>
      </c>
      <c r="T38" s="22" t="n">
        <v>34</v>
      </c>
      <c r="U38" s="22" t="n">
        <v>35</v>
      </c>
      <c r="V38" s="22" t="n">
        <v>66</v>
      </c>
      <c r="W38" s="22" t="n">
        <v>3</v>
      </c>
      <c r="X38" s="22" t="n">
        <v>8</v>
      </c>
      <c r="Y38" s="22" t="n">
        <v>19</v>
      </c>
      <c r="Z38" s="22" t="n">
        <v>23</v>
      </c>
      <c r="AA38" s="22" t="n">
        <v>12</v>
      </c>
      <c r="AB38" s="22" t="n">
        <v>4</v>
      </c>
      <c r="AC38" s="22" t="n">
        <v>3</v>
      </c>
      <c r="AD38" s="23" t="n">
        <v>0</v>
      </c>
      <c r="AE38" s="23" t="n">
        <v>0</v>
      </c>
      <c r="AF38" s="24" t="n">
        <v>59.8</v>
      </c>
      <c r="AG38" s="25" t="n">
        <v>766924</v>
      </c>
      <c r="AH38" s="25" t="n">
        <v>1232534</v>
      </c>
      <c r="AI38" s="25" t="n">
        <v>1852732</v>
      </c>
      <c r="AJ38" s="25" t="n">
        <v>2827673</v>
      </c>
      <c r="AK38" s="25" t="n">
        <v>4517726</v>
      </c>
      <c r="AL38" s="25" t="n">
        <v>7544082</v>
      </c>
      <c r="AM38" s="25" t="n">
        <v>2683296.81</v>
      </c>
      <c r="AN38" s="25" t="n">
        <v>15791201.73</v>
      </c>
      <c r="AO38" s="25" t="n">
        <v>14758132.46</v>
      </c>
      <c r="AP38" s="25" t="n">
        <v>1579120.17</v>
      </c>
      <c r="AQ38" s="25" t="n">
        <v>1475813.25</v>
      </c>
      <c r="AR38" s="25" t="n">
        <v>6890706.21</v>
      </c>
      <c r="AS38" s="25" t="n">
        <v>1475813.25</v>
      </c>
      <c r="AT38" s="25" t="n">
        <v>789560.09</v>
      </c>
      <c r="AU38" s="25" t="n">
        <v>737906.62</v>
      </c>
      <c r="AV38" s="25" t="n">
        <v>77724.39</v>
      </c>
      <c r="AW38" s="25" t="n">
        <v>106365.15</v>
      </c>
      <c r="AX38" s="25" t="n">
        <v>56905.36</v>
      </c>
      <c r="AY38" s="25" t="n">
        <v>53182.58</v>
      </c>
      <c r="AZ38" s="25" t="n">
        <v>527920.5</v>
      </c>
      <c r="BA38" s="25" t="n">
        <v>337145.49</v>
      </c>
      <c r="BB38" s="25" t="n">
        <v>775.98</v>
      </c>
      <c r="BC38" s="25" t="n">
        <v>0</v>
      </c>
      <c r="BD38" s="25" t="n">
        <v>256.35</v>
      </c>
      <c r="BE38" s="25" t="n">
        <v>0</v>
      </c>
      <c r="BF38" s="25" t="n">
        <f aca="false">SUM(BE38,BC38,BA38,AY38,AW38,AU38,AS38,AQ38,AO38)</f>
        <v>18944358.8</v>
      </c>
      <c r="BG38" s="25" t="n">
        <v>22660.98</v>
      </c>
      <c r="BH38" s="25" t="n">
        <v>39709.66</v>
      </c>
      <c r="BI38" s="25" t="n">
        <v>52163.24</v>
      </c>
      <c r="BJ38" s="25" t="n">
        <v>48750.69</v>
      </c>
      <c r="BK38" s="25" t="n">
        <v>37936.9</v>
      </c>
      <c r="BL38" s="25" t="n">
        <v>35455.05</v>
      </c>
      <c r="BM38" s="25" t="n">
        <v>212446.66</v>
      </c>
      <c r="BN38" s="25" t="n">
        <v>198548.28</v>
      </c>
      <c r="BO38" s="25" t="n">
        <v>3919.1</v>
      </c>
      <c r="BP38" s="25" t="n">
        <v>0</v>
      </c>
      <c r="BQ38" s="25" t="n">
        <v>426790.17</v>
      </c>
      <c r="BR38" s="25" t="n">
        <v>398869.32</v>
      </c>
      <c r="BS38" s="25" t="n">
        <v>12645.63</v>
      </c>
      <c r="BT38" s="25" t="n">
        <v>15511.58</v>
      </c>
      <c r="BU38" s="25" t="n">
        <v>394780.04</v>
      </c>
      <c r="BV38" s="25" t="n">
        <v>368953.31</v>
      </c>
      <c r="BW38" s="25" t="n">
        <v>15933.5</v>
      </c>
      <c r="BX38" s="25" t="n">
        <v>31023.17</v>
      </c>
      <c r="BY38" s="25" t="n">
        <v>154764.26</v>
      </c>
      <c r="BZ38" s="25" t="n">
        <v>108479.62</v>
      </c>
      <c r="CA38" s="25" t="n">
        <v>66389.58</v>
      </c>
      <c r="CB38" s="25" t="n">
        <v>62046.34</v>
      </c>
      <c r="CC38" s="25" t="n">
        <v>155040.89</v>
      </c>
      <c r="CD38" s="25" t="n">
        <v>265646.38</v>
      </c>
      <c r="CE38" s="25" t="n">
        <v>50531.85</v>
      </c>
      <c r="CF38" s="25" t="n">
        <v>47226.02</v>
      </c>
      <c r="CG38" s="25" t="n">
        <f aca="false">SUM(CF38,CD38,CB38,BZ38,BX38,BV38,BT38,BR38,BP38,BN38,BL38,BJ38,BH38)</f>
        <v>1620219.42</v>
      </c>
      <c r="CH38" s="25" t="n">
        <f aca="false">CG38+BF38</f>
        <v>20564578.22</v>
      </c>
      <c r="CI38" s="25" t="n">
        <f aca="false">SUM(CE38,CC38,CA38,BY38,BW38,BU38,BS38,BQ38,BO38,BM38,BK38,BI38,BG38,BD38,BB38,AZ38,AX38,AV38,AT38,AR38,AP38,AN38)</f>
        <v>27320173.58</v>
      </c>
      <c r="CJ38" s="25" t="n">
        <f aca="false">CI38-CH38</f>
        <v>6755595.36</v>
      </c>
      <c r="CK38" s="25" t="str">
        <f aca="false">IF(CE38-CF38+CC38-CD38+CA38-CB38+BU38-BV38+BK38-BL38+BI38-BJ38 &gt; 0, CE38-CF38+CC38-CD38+CA38-CB38+BU38-BV38+BK38-BL38+BI38-BJ38, "-")</f>
        <v>-</v>
      </c>
      <c r="CL38" s="26" t="str">
        <f aca="false">IF(CJ38&lt;0,"⚠ Over Budget","✓ Within Budget")</f>
        <v>✓ Within Budget</v>
      </c>
      <c r="CM38" s="27"/>
    </row>
    <row r="39" customFormat="false" ht="14.25" hidden="false" customHeight="false" outlineLevel="0" collapsed="false">
      <c r="A39" s="28" t="s">
        <v>92</v>
      </c>
      <c r="B39" s="28" t="n">
        <v>2025</v>
      </c>
      <c r="C39" s="28" t="n">
        <v>69</v>
      </c>
      <c r="D39" s="28" t="n">
        <v>1</v>
      </c>
      <c r="E39" s="28" t="n">
        <v>1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2</v>
      </c>
      <c r="K39" s="28" t="n">
        <v>0</v>
      </c>
      <c r="L39" s="28" t="n">
        <v>1</v>
      </c>
      <c r="M39" s="28" t="n">
        <v>1</v>
      </c>
      <c r="N39" s="28" t="n">
        <v>0</v>
      </c>
      <c r="O39" s="28" t="n">
        <v>0</v>
      </c>
      <c r="P39" s="28" t="n">
        <v>0</v>
      </c>
      <c r="Q39" s="28" t="n">
        <v>2</v>
      </c>
      <c r="R39" s="28" t="n">
        <v>0</v>
      </c>
      <c r="S39" s="28" t="n">
        <v>69</v>
      </c>
      <c r="T39" s="28" t="n">
        <v>33</v>
      </c>
      <c r="U39" s="28" t="n">
        <v>36</v>
      </c>
      <c r="V39" s="28" t="n">
        <v>66</v>
      </c>
      <c r="W39" s="28" t="n">
        <v>3</v>
      </c>
      <c r="X39" s="28" t="n">
        <v>8</v>
      </c>
      <c r="Y39" s="28" t="n">
        <v>19</v>
      </c>
      <c r="Z39" s="28" t="n">
        <v>23</v>
      </c>
      <c r="AA39" s="28" t="n">
        <v>12</v>
      </c>
      <c r="AB39" s="28" t="n">
        <v>4</v>
      </c>
      <c r="AC39" s="28" t="n">
        <v>3</v>
      </c>
      <c r="AD39" s="29" t="n">
        <v>0.347826</v>
      </c>
      <c r="AE39" s="29" t="n">
        <v>0</v>
      </c>
      <c r="AF39" s="30" t="n">
        <v>59.4</v>
      </c>
      <c r="AG39" s="31" t="n">
        <v>766924</v>
      </c>
      <c r="AH39" s="31" t="n">
        <v>1232534</v>
      </c>
      <c r="AI39" s="31" t="n">
        <v>1852732</v>
      </c>
      <c r="AJ39" s="31" t="n">
        <v>2827673</v>
      </c>
      <c r="AK39" s="31" t="n">
        <v>4517726</v>
      </c>
      <c r="AL39" s="31" t="n">
        <v>7544082</v>
      </c>
      <c r="AM39" s="31" t="n">
        <v>2583832.19</v>
      </c>
      <c r="AN39" s="31" t="n">
        <v>15436244.14</v>
      </c>
      <c r="AO39" s="31" t="n">
        <v>15578088.91</v>
      </c>
      <c r="AP39" s="31" t="n">
        <v>1543624.41</v>
      </c>
      <c r="AQ39" s="31" t="n">
        <v>1442639.64</v>
      </c>
      <c r="AR39" s="31" t="n">
        <v>252593.09</v>
      </c>
      <c r="AS39" s="31" t="n">
        <v>865583.78</v>
      </c>
      <c r="AT39" s="31" t="n">
        <v>771812.21</v>
      </c>
      <c r="AU39" s="31" t="n">
        <v>721319.82</v>
      </c>
      <c r="AV39" s="31" t="n">
        <v>86831.18</v>
      </c>
      <c r="AW39" s="31" t="n">
        <v>103974.26</v>
      </c>
      <c r="AX39" s="31" t="n">
        <v>55626.23</v>
      </c>
      <c r="AY39" s="31" t="n">
        <v>51987.13</v>
      </c>
      <c r="AZ39" s="31" t="n">
        <v>37649.38</v>
      </c>
      <c r="BA39" s="31" t="n">
        <v>0</v>
      </c>
      <c r="BB39" s="31" t="n">
        <v>44832.98</v>
      </c>
      <c r="BC39" s="31" t="n">
        <v>2048679.14</v>
      </c>
      <c r="BD39" s="31" t="n">
        <v>592.44</v>
      </c>
      <c r="BE39" s="31" t="n">
        <v>0</v>
      </c>
      <c r="BF39" s="31" t="n">
        <f aca="false">SUM(BE39,BC39,BA39,AY39,AW39,AU39,AS39,AQ39,AO39)</f>
        <v>20812272.68</v>
      </c>
      <c r="BG39" s="31" t="n">
        <v>14767.73</v>
      </c>
      <c r="BH39" s="31" t="n">
        <v>38817.06</v>
      </c>
      <c r="BI39" s="31" t="n">
        <v>50990.71</v>
      </c>
      <c r="BJ39" s="31" t="n">
        <v>47654.87</v>
      </c>
      <c r="BK39" s="31" t="n">
        <v>37084.15</v>
      </c>
      <c r="BL39" s="31" t="n">
        <v>34658.09</v>
      </c>
      <c r="BM39" s="31" t="n">
        <v>207671.25</v>
      </c>
      <c r="BN39" s="31" t="n">
        <v>194085.28</v>
      </c>
      <c r="BO39" s="31" t="n">
        <v>158500.78</v>
      </c>
      <c r="BP39" s="31" t="n">
        <v>1039369.56</v>
      </c>
      <c r="BQ39" s="31" t="n">
        <v>435877.15</v>
      </c>
      <c r="BR39" s="31" t="n">
        <v>407361.82</v>
      </c>
      <c r="BS39" s="31" t="n">
        <v>14529.24</v>
      </c>
      <c r="BT39" s="31" t="n">
        <v>15841.85</v>
      </c>
      <c r="BU39" s="31" t="n">
        <v>385906.1</v>
      </c>
      <c r="BV39" s="31" t="n">
        <v>360659.91</v>
      </c>
      <c r="BW39" s="31" t="n">
        <v>15575.34</v>
      </c>
      <c r="BX39" s="31" t="n">
        <v>30325.82</v>
      </c>
      <c r="BY39" s="31" t="n">
        <v>16481.85</v>
      </c>
      <c r="BZ39" s="31" t="n">
        <v>34658.09</v>
      </c>
      <c r="CA39" s="31" t="n">
        <v>64897.26</v>
      </c>
      <c r="CB39" s="31" t="n">
        <v>60651.65</v>
      </c>
      <c r="CC39" s="31" t="n">
        <v>151555.85</v>
      </c>
      <c r="CD39" s="31" t="n">
        <v>259675.14</v>
      </c>
      <c r="CE39" s="31" t="n">
        <v>49395.98</v>
      </c>
      <c r="CF39" s="31" t="n">
        <v>46164.47</v>
      </c>
      <c r="CG39" s="31" t="n">
        <f aca="false">SUM(CF39,CD39,CB39,BZ39,BX39,BV39,BT39,BR39,BP39,BN39,BL39,BJ39,BH39)</f>
        <v>2569923.61</v>
      </c>
      <c r="CH39" s="31" t="n">
        <f aca="false">CG39+BF39</f>
        <v>23382196.29</v>
      </c>
      <c r="CI39" s="31" t="n">
        <f aca="false">SUM(CE39,CC39,CA39,BY39,BW39,BU39,BS39,BQ39,BO39,BM39,BK39,BI39,BG39,BD39,BB39,AZ39,AX39,AV39,AT39,AR39,AP39,AN39)</f>
        <v>19833039.45</v>
      </c>
      <c r="CJ39" s="31" t="n">
        <f aca="false">CI39-CH39</f>
        <v>-3549156.84</v>
      </c>
      <c r="CK39" s="31" t="str">
        <f aca="false">IF(CE39-CF39+CC39-CD39+CA39-CB39+BU39-BV39+BK39-BL39+BI39-BJ39 &gt; 0, CE39-CF39+CC39-CD39+CA39-CB39+BU39-BV39+BK39-BL39+BI39-BJ39, "-")</f>
        <v>-</v>
      </c>
      <c r="CL39" s="32" t="str">
        <f aca="false">IF(CJ39&lt;0,"⚠ Over Budget","✓ Within Budget")</f>
        <v>⚠ Over Budget</v>
      </c>
      <c r="CM39" s="33" t="s">
        <v>106</v>
      </c>
    </row>
    <row r="40" customFormat="false" ht="14.25" hidden="false" customHeight="false" outlineLevel="0" collapsed="false">
      <c r="A40" s="22" t="s">
        <v>93</v>
      </c>
      <c r="B40" s="22" t="n">
        <v>2025</v>
      </c>
      <c r="C40" s="22" t="n">
        <v>69</v>
      </c>
      <c r="D40" s="22" t="n">
        <v>1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1</v>
      </c>
      <c r="J40" s="22" t="n">
        <v>1</v>
      </c>
      <c r="K40" s="22" t="n">
        <v>1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1</v>
      </c>
      <c r="Q40" s="22" t="n">
        <v>1</v>
      </c>
      <c r="R40" s="22" t="n">
        <v>0</v>
      </c>
      <c r="S40" s="22" t="n">
        <v>69</v>
      </c>
      <c r="T40" s="22" t="n">
        <v>33</v>
      </c>
      <c r="U40" s="22" t="n">
        <v>36</v>
      </c>
      <c r="V40" s="22" t="n">
        <v>66</v>
      </c>
      <c r="W40" s="22" t="n">
        <v>3</v>
      </c>
      <c r="X40" s="22" t="n">
        <v>8</v>
      </c>
      <c r="Y40" s="22" t="n">
        <v>19</v>
      </c>
      <c r="Z40" s="22" t="n">
        <v>23</v>
      </c>
      <c r="AA40" s="22" t="n">
        <v>12</v>
      </c>
      <c r="AB40" s="22" t="n">
        <v>4</v>
      </c>
      <c r="AC40" s="22" t="n">
        <v>3</v>
      </c>
      <c r="AD40" s="23" t="n">
        <v>0.173913</v>
      </c>
      <c r="AE40" s="23" t="n">
        <v>0</v>
      </c>
      <c r="AF40" s="24" t="n">
        <v>58.9</v>
      </c>
      <c r="AG40" s="25" t="n">
        <v>766924</v>
      </c>
      <c r="AH40" s="25" t="n">
        <v>1232534</v>
      </c>
      <c r="AI40" s="25" t="n">
        <v>1852732</v>
      </c>
      <c r="AJ40" s="25" t="n">
        <v>2827673</v>
      </c>
      <c r="AK40" s="25" t="n">
        <v>4517726</v>
      </c>
      <c r="AL40" s="25" t="n">
        <v>7544082</v>
      </c>
      <c r="AM40" s="25" t="n">
        <v>2583832.19</v>
      </c>
      <c r="AN40" s="25" t="n">
        <v>16127419.25</v>
      </c>
      <c r="AO40" s="25" t="n">
        <v>15072354.44</v>
      </c>
      <c r="AP40" s="25" t="n">
        <v>1612741.92</v>
      </c>
      <c r="AQ40" s="25" t="n">
        <v>1507235.44</v>
      </c>
      <c r="AR40" s="25" t="n">
        <v>43983.87</v>
      </c>
      <c r="AS40" s="25" t="n">
        <v>0</v>
      </c>
      <c r="AT40" s="25" t="n">
        <v>806370.96</v>
      </c>
      <c r="AU40" s="25" t="n">
        <v>753617.72</v>
      </c>
      <c r="AV40" s="25" t="n">
        <v>90719.15</v>
      </c>
      <c r="AW40" s="25" t="n">
        <v>108629.82</v>
      </c>
      <c r="AX40" s="25" t="n">
        <v>58116.95</v>
      </c>
      <c r="AY40" s="25" t="n">
        <v>54314.91</v>
      </c>
      <c r="AZ40" s="25" t="n">
        <v>39335.17</v>
      </c>
      <c r="BA40" s="25" t="n">
        <v>0</v>
      </c>
      <c r="BB40" s="25" t="n">
        <v>112082.45</v>
      </c>
      <c r="BC40" s="25" t="n">
        <v>107659.67</v>
      </c>
      <c r="BD40" s="25" t="n">
        <v>740.54</v>
      </c>
      <c r="BE40" s="25" t="n">
        <v>0</v>
      </c>
      <c r="BF40" s="25" t="n">
        <f aca="false">SUM(BE40,BC40,BA40,AY40,AW40,AU40,AS40,AQ40,AO40)</f>
        <v>17603812</v>
      </c>
      <c r="BG40" s="25" t="n">
        <v>15428.97</v>
      </c>
      <c r="BH40" s="25" t="n">
        <v>40555.13</v>
      </c>
      <c r="BI40" s="25" t="n">
        <v>53273.87</v>
      </c>
      <c r="BJ40" s="25" t="n">
        <v>49788.67</v>
      </c>
      <c r="BK40" s="25" t="n">
        <v>38744.64</v>
      </c>
      <c r="BL40" s="25" t="n">
        <v>36209.94</v>
      </c>
      <c r="BM40" s="25" t="n">
        <v>216969.96</v>
      </c>
      <c r="BN40" s="25" t="n">
        <v>202775.66</v>
      </c>
      <c r="BO40" s="25" t="n">
        <v>132083.99</v>
      </c>
      <c r="BP40" s="25" t="n">
        <v>226312.12</v>
      </c>
      <c r="BQ40" s="25" t="n">
        <v>460784.42</v>
      </c>
      <c r="BR40" s="25" t="n">
        <v>430639.64</v>
      </c>
      <c r="BS40" s="25" t="n">
        <v>15359.48</v>
      </c>
      <c r="BT40" s="25" t="n">
        <v>16747.1</v>
      </c>
      <c r="BU40" s="25" t="n">
        <v>403185.48</v>
      </c>
      <c r="BV40" s="25" t="n">
        <v>376808.86</v>
      </c>
      <c r="BW40" s="25" t="n">
        <v>16272.75</v>
      </c>
      <c r="BX40" s="25" t="n">
        <v>31683.7</v>
      </c>
      <c r="BY40" s="25" t="n">
        <v>17219.84</v>
      </c>
      <c r="BZ40" s="25" t="n">
        <v>36209.94</v>
      </c>
      <c r="CA40" s="25" t="n">
        <v>67803.11</v>
      </c>
      <c r="CB40" s="25" t="n">
        <v>63367.39</v>
      </c>
      <c r="CC40" s="25" t="n">
        <v>158341.93</v>
      </c>
      <c r="CD40" s="25" t="n">
        <v>271302.38</v>
      </c>
      <c r="CE40" s="25" t="n">
        <v>51607.74</v>
      </c>
      <c r="CF40" s="25" t="n">
        <v>48231.53</v>
      </c>
      <c r="CG40" s="25" t="n">
        <f aca="false">SUM(CF40,CD40,CB40,BZ40,BX40,BV40,BT40,BR40,BP40,BN40,BL40,BJ40,BH40)</f>
        <v>1830632.06</v>
      </c>
      <c r="CH40" s="25" t="n">
        <f aca="false">CG40+BF40</f>
        <v>19434444.06</v>
      </c>
      <c r="CI40" s="25" t="n">
        <f aca="false">SUM(CE40,CC40,CA40,BY40,BW40,BU40,BS40,BQ40,BO40,BM40,BK40,BI40,BG40,BD40,BB40,AZ40,AX40,AV40,AT40,AR40,AP40,AN40)</f>
        <v>20538586.44</v>
      </c>
      <c r="CJ40" s="25" t="n">
        <f aca="false">CI40-CH40</f>
        <v>1104142.38</v>
      </c>
      <c r="CK40" s="25" t="str">
        <f aca="false">IF(CE40-CF40+CC40-CD40+CA40-CB40+BU40-BV40+BK40-BL40+BI40-BJ40 &gt; 0, CE40-CF40+CC40-CD40+CA40-CB40+BU40-BV40+BK40-BL40+BI40-BJ40, "-")</f>
        <v>-</v>
      </c>
      <c r="CL40" s="26" t="str">
        <f aca="false">IF(CJ40&lt;0,"⚠ Over Budget","✓ Within Budget")</f>
        <v>✓ Within Budget</v>
      </c>
      <c r="CM40" s="27"/>
    </row>
    <row r="41" customFormat="false" ht="14.25" hidden="false" customHeight="false" outlineLevel="0" collapsed="false">
      <c r="A41" s="16" t="s">
        <v>94</v>
      </c>
      <c r="B41" s="16" t="n">
        <v>2025</v>
      </c>
      <c r="C41" s="16" t="n">
        <v>69</v>
      </c>
      <c r="D41" s="16" t="n">
        <v>1</v>
      </c>
      <c r="E41" s="16" t="n">
        <v>1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2</v>
      </c>
      <c r="K41" s="16" t="n">
        <v>1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1</v>
      </c>
      <c r="Q41" s="16" t="n">
        <v>1</v>
      </c>
      <c r="R41" s="16" t="n">
        <v>0</v>
      </c>
      <c r="S41" s="16" t="n">
        <v>70</v>
      </c>
      <c r="T41" s="16" t="n">
        <v>33</v>
      </c>
      <c r="U41" s="16" t="n">
        <v>37</v>
      </c>
      <c r="V41" s="16" t="n">
        <v>66</v>
      </c>
      <c r="W41" s="16" t="n">
        <v>4</v>
      </c>
      <c r="X41" s="16" t="n">
        <v>8</v>
      </c>
      <c r="Y41" s="16" t="n">
        <v>20</v>
      </c>
      <c r="Z41" s="16" t="n">
        <v>24</v>
      </c>
      <c r="AA41" s="16" t="n">
        <v>13</v>
      </c>
      <c r="AB41" s="16" t="n">
        <v>4</v>
      </c>
      <c r="AC41" s="16" t="n">
        <v>1</v>
      </c>
      <c r="AD41" s="17" t="n">
        <v>0.173913</v>
      </c>
      <c r="AE41" s="17" t="n">
        <v>0</v>
      </c>
      <c r="AF41" s="18" t="n">
        <v>58.5</v>
      </c>
      <c r="AG41" s="19" t="n">
        <v>766924</v>
      </c>
      <c r="AH41" s="19" t="n">
        <v>1232534</v>
      </c>
      <c r="AI41" s="19" t="n">
        <v>1852732</v>
      </c>
      <c r="AJ41" s="19" t="n">
        <v>2827673</v>
      </c>
      <c r="AK41" s="19" t="n">
        <v>4517726</v>
      </c>
      <c r="AL41" s="19" t="n">
        <v>7544082</v>
      </c>
      <c r="AM41" s="19" t="n">
        <v>2583832.19</v>
      </c>
      <c r="AN41" s="19" t="n">
        <v>16127419.25</v>
      </c>
      <c r="AO41" s="19" t="n">
        <v>15072354.44</v>
      </c>
      <c r="AP41" s="19" t="n">
        <v>1612741.92</v>
      </c>
      <c r="AQ41" s="19" t="n">
        <v>1507235.44</v>
      </c>
      <c r="AR41" s="19" t="n">
        <v>73306.45</v>
      </c>
      <c r="AS41" s="19" t="n">
        <v>0</v>
      </c>
      <c r="AT41" s="19" t="n">
        <v>806370.96</v>
      </c>
      <c r="AU41" s="19" t="n">
        <v>753617.72</v>
      </c>
      <c r="AV41" s="19" t="n">
        <v>85049.2</v>
      </c>
      <c r="AW41" s="19" t="n">
        <v>81472.36</v>
      </c>
      <c r="AX41" s="19" t="n">
        <v>58116.95</v>
      </c>
      <c r="AY41" s="19" t="n">
        <v>54314.91</v>
      </c>
      <c r="AZ41" s="19" t="n">
        <v>752953.94</v>
      </c>
      <c r="BA41" s="19" t="n">
        <v>450804.78</v>
      </c>
      <c r="BB41" s="19" t="n">
        <v>3736.08</v>
      </c>
      <c r="BC41" s="19" t="n">
        <v>0</v>
      </c>
      <c r="BD41" s="19" t="n">
        <v>740.54</v>
      </c>
      <c r="BE41" s="19" t="n">
        <v>0</v>
      </c>
      <c r="BF41" s="19" t="n">
        <f aca="false">SUM(BE41,BC41,BA41,AY41,AW41,AU41,AS41,AQ41,AO41)</f>
        <v>17919799.65</v>
      </c>
      <c r="BG41" s="19" t="n">
        <v>15428.97</v>
      </c>
      <c r="BH41" s="19" t="n">
        <v>40555.13</v>
      </c>
      <c r="BI41" s="19" t="n">
        <v>53273.87</v>
      </c>
      <c r="BJ41" s="19" t="n">
        <v>49788.67</v>
      </c>
      <c r="BK41" s="19" t="n">
        <v>38744.64</v>
      </c>
      <c r="BL41" s="19" t="n">
        <v>36209.94</v>
      </c>
      <c r="BM41" s="19" t="n">
        <v>216969.96</v>
      </c>
      <c r="BN41" s="19" t="n">
        <v>202775.66</v>
      </c>
      <c r="BO41" s="19" t="n">
        <v>3773.83</v>
      </c>
      <c r="BP41" s="19" t="n">
        <v>0</v>
      </c>
      <c r="BQ41" s="19" t="n">
        <v>460784.42</v>
      </c>
      <c r="BR41" s="19" t="n">
        <v>430639.64</v>
      </c>
      <c r="BS41" s="19" t="n">
        <v>17066.09</v>
      </c>
      <c r="BT41" s="19" t="n">
        <v>16747.1</v>
      </c>
      <c r="BU41" s="19" t="n">
        <v>403185.48</v>
      </c>
      <c r="BV41" s="19" t="n">
        <v>376808.86</v>
      </c>
      <c r="BW41" s="19" t="n">
        <v>16272.75</v>
      </c>
      <c r="BX41" s="19" t="n">
        <v>31683.7</v>
      </c>
      <c r="BY41" s="19" t="n">
        <v>113524.37</v>
      </c>
      <c r="BZ41" s="19" t="n">
        <v>99466.45</v>
      </c>
      <c r="CA41" s="19" t="n">
        <v>67803.11</v>
      </c>
      <c r="CB41" s="19" t="n">
        <v>63367.39</v>
      </c>
      <c r="CC41" s="19" t="n">
        <v>2058982.23</v>
      </c>
      <c r="CD41" s="19" t="n">
        <v>705570.23</v>
      </c>
      <c r="CE41" s="19" t="n">
        <v>51607.74</v>
      </c>
      <c r="CF41" s="19" t="n">
        <v>48231.53</v>
      </c>
      <c r="CG41" s="19" t="n">
        <f aca="false">SUM(CF41,CD41,CB41,BZ41,BX41,BV41,BT41,BR41,BP41,BN41,BL41,BJ41,BH41)</f>
        <v>2101844.3</v>
      </c>
      <c r="CH41" s="19" t="n">
        <f aca="false">CG41+BF41</f>
        <v>20021643.95</v>
      </c>
      <c r="CI41" s="19" t="n">
        <f aca="false">SUM(CE41,CC41,CA41,BY41,BW41,BU41,BS41,BQ41,BO41,BM41,BK41,BI41,BG41,BD41,BB41,AZ41,AX41,AV41,AT41,AR41,AP41,AN41)</f>
        <v>23037852.75</v>
      </c>
      <c r="CJ41" s="19" t="n">
        <f aca="false">CI41-CH41</f>
        <v>3016208.8</v>
      </c>
      <c r="CK41" s="19" t="n">
        <f aca="false">IF(CE41-CF41+CC41-CD41+CA41-CB41+BU41-BV41+BK41-BL41+BI41-BJ41 &gt; 0, CE41-CF41+CC41-CD41+CA41-CB41+BU41-BV41+BK41-BL41+BI41-BJ41, "-")</f>
        <v>1393620.45</v>
      </c>
      <c r="CL41" s="20" t="str">
        <f aca="false">IF(CJ41&lt;0,"⚠ Over Budget","✓ Within Budget")</f>
        <v>✓ Within Budget</v>
      </c>
      <c r="CM41" s="21"/>
    </row>
    <row r="42" customFormat="false" ht="14.25" hidden="false" customHeight="false" outlineLevel="0" collapsed="false">
      <c r="A42" s="22" t="s">
        <v>96</v>
      </c>
      <c r="B42" s="22" t="n">
        <v>2025</v>
      </c>
      <c r="C42" s="22" t="n">
        <v>70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1</v>
      </c>
      <c r="S42" s="22" t="n">
        <v>69</v>
      </c>
      <c r="T42" s="22" t="n">
        <v>33</v>
      </c>
      <c r="U42" s="22" t="n">
        <v>36</v>
      </c>
      <c r="V42" s="22" t="n">
        <v>66</v>
      </c>
      <c r="W42" s="22" t="n">
        <v>3</v>
      </c>
      <c r="X42" s="22" t="n">
        <v>8</v>
      </c>
      <c r="Y42" s="22" t="n">
        <v>19</v>
      </c>
      <c r="Z42" s="22" t="n">
        <v>23</v>
      </c>
      <c r="AA42" s="22" t="n">
        <v>12</v>
      </c>
      <c r="AB42" s="22" t="n">
        <v>4</v>
      </c>
      <c r="AC42" s="22" t="n">
        <v>3</v>
      </c>
      <c r="AD42" s="23" t="n">
        <v>0</v>
      </c>
      <c r="AE42" s="23" t="n">
        <v>0.0946897031968216</v>
      </c>
      <c r="AF42" s="24" t="n">
        <v>58</v>
      </c>
      <c r="AG42" s="25" t="n">
        <v>860034</v>
      </c>
      <c r="AH42" s="25" t="n">
        <v>1356465</v>
      </c>
      <c r="AI42" s="25" t="n">
        <v>2021925</v>
      </c>
      <c r="AJ42" s="25" t="n">
        <v>3064592</v>
      </c>
      <c r="AK42" s="25" t="n">
        <v>4841822</v>
      </c>
      <c r="AL42" s="25" t="n">
        <v>8121869</v>
      </c>
      <c r="AM42" s="25" t="n">
        <v>2812790.77</v>
      </c>
      <c r="AN42" s="25" t="n">
        <v>17305695.21</v>
      </c>
      <c r="AO42" s="25" t="n">
        <v>16173546.92</v>
      </c>
      <c r="AP42" s="25" t="n">
        <v>1730569.52</v>
      </c>
      <c r="AQ42" s="25" t="n">
        <v>1617354.69</v>
      </c>
      <c r="AR42" s="25" t="n">
        <v>881017.21</v>
      </c>
      <c r="AS42" s="25" t="n">
        <v>1132148.28</v>
      </c>
      <c r="AT42" s="25" t="n">
        <v>865284.76</v>
      </c>
      <c r="AU42" s="25" t="n">
        <v>808677.35</v>
      </c>
      <c r="AV42" s="25" t="n">
        <v>100601.05</v>
      </c>
      <c r="AW42" s="25" t="n">
        <v>80308.47</v>
      </c>
      <c r="AX42" s="25" t="n">
        <v>57286.71</v>
      </c>
      <c r="AY42" s="25" t="n">
        <v>53538.98</v>
      </c>
      <c r="AZ42" s="25" t="n">
        <v>1041781.64</v>
      </c>
      <c r="BA42" s="25" t="n">
        <v>498984.2</v>
      </c>
      <c r="BB42" s="25" t="n">
        <v>4067.14</v>
      </c>
      <c r="BC42" s="25" t="n">
        <v>0</v>
      </c>
      <c r="BD42" s="25" t="n">
        <v>80616.59</v>
      </c>
      <c r="BE42" s="25" t="n">
        <v>140639.54</v>
      </c>
      <c r="BF42" s="25" t="n">
        <f aca="false">SUM(BE42,BC42,BA42,AY42,AW42,AU42,AS42,AQ42,AO42)</f>
        <v>20505198.43</v>
      </c>
      <c r="BG42" s="25" t="n">
        <v>262890.84</v>
      </c>
      <c r="BH42" s="25" t="n">
        <v>125638.15</v>
      </c>
      <c r="BI42" s="25" t="n">
        <v>52512.82</v>
      </c>
      <c r="BJ42" s="25" t="n">
        <v>49077.4</v>
      </c>
      <c r="BK42" s="25" t="n">
        <v>38191.14</v>
      </c>
      <c r="BL42" s="25" t="n">
        <v>35692.66</v>
      </c>
      <c r="BM42" s="25" t="n">
        <v>213870.39</v>
      </c>
      <c r="BN42" s="25" t="n">
        <v>199878.87</v>
      </c>
      <c r="BO42" s="25" t="n">
        <v>18869.14</v>
      </c>
      <c r="BP42" s="25" t="n">
        <v>0</v>
      </c>
      <c r="BQ42" s="25" t="n">
        <v>448330.78</v>
      </c>
      <c r="BR42" s="25" t="n">
        <v>419000.73</v>
      </c>
      <c r="BS42" s="25" t="n">
        <v>16604.84</v>
      </c>
      <c r="BT42" s="25" t="n">
        <v>16294.47</v>
      </c>
      <c r="BU42" s="25" t="n">
        <v>432642.38</v>
      </c>
      <c r="BV42" s="25" t="n">
        <v>404338.67</v>
      </c>
      <c r="BW42" s="25" t="n">
        <v>64161.12</v>
      </c>
      <c r="BX42" s="25" t="n">
        <v>31231.07</v>
      </c>
      <c r="BY42" s="25" t="n">
        <v>16973.84</v>
      </c>
      <c r="BZ42" s="25" t="n">
        <v>35692.66</v>
      </c>
      <c r="CA42" s="25" t="n">
        <v>66834.5</v>
      </c>
      <c r="CB42" s="25" t="n">
        <v>62462.15</v>
      </c>
      <c r="CC42" s="25" t="n">
        <v>2225717.76</v>
      </c>
      <c r="CD42" s="25" t="n">
        <v>762707.02</v>
      </c>
      <c r="CE42" s="25" t="n">
        <v>55378.22</v>
      </c>
      <c r="CF42" s="25" t="n">
        <v>51755.35</v>
      </c>
      <c r="CG42" s="25" t="n">
        <f aca="false">SUM(CF42,CD42,CB42,BZ42,BX42,BV42,BT42,BR42,BP42,BN42,BL42,BJ42,BH42)</f>
        <v>2193769.2</v>
      </c>
      <c r="CH42" s="25" t="n">
        <f aca="false">CG42+BF42</f>
        <v>22698967.63</v>
      </c>
      <c r="CI42" s="25" t="n">
        <f aca="false">SUM(CE42,CC42,CA42,BY42,BW42,BU42,BS42,BQ42,BO42,BM42,BK42,BI42,BG42,BD42,BB42,AZ42,AX42,AV42,AT42,AR42,AP42,AN42)</f>
        <v>25979897.6</v>
      </c>
      <c r="CJ42" s="25" t="n">
        <f aca="false">CI42-CH42</f>
        <v>3280929.97</v>
      </c>
      <c r="CK42" s="25" t="n">
        <f aca="false">IF(CE42-CF42+CC42-CD42+CA42-CB42+BU42-BV42+BK42-BL42+BI42-BJ42 &gt; 0, CE42-CF42+CC42-CD42+CA42-CB42+BU42-BV42+BK42-BL42+BI42-BJ42, "-")</f>
        <v>1505243.57</v>
      </c>
      <c r="CL42" s="26" t="str">
        <f aca="false">IF(CJ42&lt;0,"⚠ Over Budget","✓ Within Budget")</f>
        <v>✓ Within Budget</v>
      </c>
      <c r="CM42" s="27"/>
    </row>
    <row r="43" customFormat="false" ht="14.25" hidden="false" customHeight="false" outlineLevel="0" collapsed="false">
      <c r="A43" s="16" t="s">
        <v>98</v>
      </c>
      <c r="B43" s="16" t="n">
        <v>2025</v>
      </c>
      <c r="C43" s="16" t="n">
        <v>69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69</v>
      </c>
      <c r="T43" s="16" t="n">
        <v>33</v>
      </c>
      <c r="U43" s="16" t="n">
        <v>36</v>
      </c>
      <c r="V43" s="16" t="n">
        <v>66</v>
      </c>
      <c r="W43" s="16" t="n">
        <v>3</v>
      </c>
      <c r="X43" s="16" t="n">
        <v>8</v>
      </c>
      <c r="Y43" s="16" t="n">
        <v>19</v>
      </c>
      <c r="Z43" s="16" t="n">
        <v>23</v>
      </c>
      <c r="AA43" s="16" t="n">
        <v>12</v>
      </c>
      <c r="AB43" s="16" t="n">
        <v>4</v>
      </c>
      <c r="AC43" s="16" t="n">
        <v>3</v>
      </c>
      <c r="AD43" s="17" t="n">
        <v>0</v>
      </c>
      <c r="AE43" s="17" t="n">
        <v>0</v>
      </c>
      <c r="AF43" s="18" t="n">
        <v>57.6</v>
      </c>
      <c r="AG43" s="19" t="n">
        <v>860034</v>
      </c>
      <c r="AH43" s="19" t="n">
        <v>1356465</v>
      </c>
      <c r="AI43" s="19" t="n">
        <v>2021925</v>
      </c>
      <c r="AJ43" s="19" t="n">
        <v>3064592</v>
      </c>
      <c r="AK43" s="19" t="n">
        <v>4841822</v>
      </c>
      <c r="AL43" s="19" t="n">
        <v>8121869</v>
      </c>
      <c r="AM43" s="19" t="n">
        <v>2812790.77</v>
      </c>
      <c r="AN43" s="19" t="n">
        <v>17305695.21</v>
      </c>
      <c r="AO43" s="19" t="n">
        <v>16173546.92</v>
      </c>
      <c r="AP43" s="19" t="n">
        <v>1730569.52</v>
      </c>
      <c r="AQ43" s="19" t="n">
        <v>1617354.69</v>
      </c>
      <c r="AR43" s="19" t="n">
        <v>62929.8</v>
      </c>
      <c r="AS43" s="19" t="n">
        <v>0</v>
      </c>
      <c r="AT43" s="19" t="n">
        <v>865284.76</v>
      </c>
      <c r="AU43" s="19" t="n">
        <v>808677.35</v>
      </c>
      <c r="AV43" s="19" t="n">
        <v>108984.48</v>
      </c>
      <c r="AW43" s="19" t="n">
        <v>80308.47</v>
      </c>
      <c r="AX43" s="19" t="n">
        <v>57286.71</v>
      </c>
      <c r="AY43" s="19" t="n">
        <v>53538.98</v>
      </c>
      <c r="AZ43" s="19" t="n">
        <v>50650.82</v>
      </c>
      <c r="BA43" s="19" t="n">
        <v>0</v>
      </c>
      <c r="BB43" s="19" t="n">
        <v>1626.86</v>
      </c>
      <c r="BC43" s="19" t="n">
        <v>0</v>
      </c>
      <c r="BD43" s="19" t="n">
        <v>268.72</v>
      </c>
      <c r="BE43" s="19" t="n">
        <v>0</v>
      </c>
      <c r="BF43" s="19" t="n">
        <f aca="false">SUM(BE43,BC43,BA43,AY43,AW43,AU43,AS43,AQ43,AO43)</f>
        <v>18733426.41</v>
      </c>
      <c r="BG43" s="19" t="n">
        <v>175984.78</v>
      </c>
      <c r="BH43" s="19" t="n">
        <v>102794.85</v>
      </c>
      <c r="BI43" s="19" t="n">
        <v>52512.82</v>
      </c>
      <c r="BJ43" s="19" t="n">
        <v>49077.4</v>
      </c>
      <c r="BK43" s="19" t="n">
        <v>38191.14</v>
      </c>
      <c r="BL43" s="19" t="n">
        <v>35692.66</v>
      </c>
      <c r="BM43" s="19" t="n">
        <v>213870.39</v>
      </c>
      <c r="BN43" s="19" t="n">
        <v>199878.87</v>
      </c>
      <c r="BO43" s="19" t="n">
        <v>7547.66</v>
      </c>
      <c r="BP43" s="19" t="n">
        <v>0</v>
      </c>
      <c r="BQ43" s="19" t="n">
        <v>448330.78</v>
      </c>
      <c r="BR43" s="19" t="n">
        <v>419000.73</v>
      </c>
      <c r="BS43" s="19" t="n">
        <v>18265.33</v>
      </c>
      <c r="BT43" s="19" t="n">
        <v>16294.47</v>
      </c>
      <c r="BU43" s="19" t="n">
        <v>432642.38</v>
      </c>
      <c r="BV43" s="19" t="n">
        <v>404338.67</v>
      </c>
      <c r="BW43" s="19" t="n">
        <v>48120.84</v>
      </c>
      <c r="BX43" s="19" t="n">
        <v>31231.07</v>
      </c>
      <c r="BY43" s="19" t="n">
        <v>16973.84</v>
      </c>
      <c r="BZ43" s="19" t="n">
        <v>35692.66</v>
      </c>
      <c r="CA43" s="19" t="n">
        <v>66834.5</v>
      </c>
      <c r="CB43" s="19" t="n">
        <v>62462.15</v>
      </c>
      <c r="CC43" s="19" t="n">
        <v>271856.74</v>
      </c>
      <c r="CD43" s="19" t="n">
        <v>291123.84</v>
      </c>
      <c r="CE43" s="19" t="n">
        <v>55378.22</v>
      </c>
      <c r="CF43" s="19" t="n">
        <v>51755.35</v>
      </c>
      <c r="CG43" s="19" t="n">
        <f aca="false">SUM(CF43,CD43,CB43,BZ43,BX43,BV43,BT43,BR43,BP43,BN43,BL43,BJ43,BH43)</f>
        <v>1699342.72</v>
      </c>
      <c r="CH43" s="19" t="n">
        <f aca="false">CG43+BF43</f>
        <v>20432769.13</v>
      </c>
      <c r="CI43" s="19" t="n">
        <f aca="false">SUM(CE43,CC43,CA43,BY43,BW43,BU43,BS43,BQ43,BO43,BM43,BK43,BI43,BG43,BD43,BB43,AZ43,AX43,AV43,AT43,AR43,AP43,AN43)</f>
        <v>22029806.3</v>
      </c>
      <c r="CJ43" s="19" t="n">
        <f aca="false">CI43-CH43</f>
        <v>1597037.17</v>
      </c>
      <c r="CK43" s="19" t="n">
        <f aca="false">IF(CE43-CF43+CC43-CD43+CA43-CB43+BU43-BV43+BK43-BL43+BI43-BJ43 &gt; 0, CE43-CF43+CC43-CD43+CA43-CB43+BU43-BV43+BK43-BL43+BI43-BJ43, "-")</f>
        <v>22965.7299999999</v>
      </c>
      <c r="CL43" s="20" t="str">
        <f aca="false">IF(CJ43&lt;0,"⚠ Over Budget","✓ Within Budget")</f>
        <v>✓ Within Budget</v>
      </c>
      <c r="CM43" s="21"/>
    </row>
    <row r="44" customFormat="false" ht="14.25" hidden="false" customHeight="false" outlineLevel="0" collapsed="false">
      <c r="A44" s="22" t="s">
        <v>99</v>
      </c>
      <c r="B44" s="22" t="n">
        <v>2025</v>
      </c>
      <c r="C44" s="22" t="n">
        <v>69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1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1</v>
      </c>
      <c r="Q44" s="22" t="n">
        <v>1</v>
      </c>
      <c r="R44" s="22" t="n">
        <v>1</v>
      </c>
      <c r="S44" s="22" t="n">
        <v>67</v>
      </c>
      <c r="T44" s="22" t="n">
        <v>34</v>
      </c>
      <c r="U44" s="22" t="n">
        <v>33</v>
      </c>
      <c r="V44" s="22" t="n">
        <v>64</v>
      </c>
      <c r="W44" s="22" t="n">
        <v>3</v>
      </c>
      <c r="X44" s="22" t="n">
        <v>8</v>
      </c>
      <c r="Y44" s="22" t="n">
        <v>19</v>
      </c>
      <c r="Z44" s="22" t="n">
        <v>23</v>
      </c>
      <c r="AA44" s="22" t="n">
        <v>12</v>
      </c>
      <c r="AB44" s="22" t="n">
        <v>4</v>
      </c>
      <c r="AC44" s="22" t="n">
        <v>1</v>
      </c>
      <c r="AD44" s="23" t="n">
        <v>0.173913</v>
      </c>
      <c r="AE44" s="23" t="n">
        <v>0</v>
      </c>
      <c r="AF44" s="24" t="n">
        <v>57.9</v>
      </c>
      <c r="AG44" s="25" t="n">
        <v>860034</v>
      </c>
      <c r="AH44" s="25" t="n">
        <v>1356465</v>
      </c>
      <c r="AI44" s="25" t="n">
        <v>2021925</v>
      </c>
      <c r="AJ44" s="25" t="n">
        <v>3064592</v>
      </c>
      <c r="AK44" s="25" t="n">
        <v>4841822</v>
      </c>
      <c r="AL44" s="25" t="n">
        <v>8121869</v>
      </c>
      <c r="AM44" s="25" t="n">
        <v>2812790.77</v>
      </c>
      <c r="AN44" s="25" t="n">
        <v>16804080.85</v>
      </c>
      <c r="AO44" s="25" t="n">
        <v>15704748.46</v>
      </c>
      <c r="AP44" s="25" t="n">
        <v>1680408.09</v>
      </c>
      <c r="AQ44" s="25" t="n">
        <v>1570474.85</v>
      </c>
      <c r="AR44" s="25" t="n">
        <v>61105.75</v>
      </c>
      <c r="AS44" s="25" t="n">
        <v>0</v>
      </c>
      <c r="AT44" s="25" t="n">
        <v>840204.04</v>
      </c>
      <c r="AU44" s="25" t="n">
        <v>785237.42</v>
      </c>
      <c r="AV44" s="25" t="n">
        <v>122106.35</v>
      </c>
      <c r="AW44" s="25" t="n">
        <v>77980.69</v>
      </c>
      <c r="AX44" s="25" t="n">
        <v>55626.23</v>
      </c>
      <c r="AY44" s="25" t="n">
        <v>51987.13</v>
      </c>
      <c r="AZ44" s="25" t="n">
        <v>49182.68</v>
      </c>
      <c r="BA44" s="25" t="n">
        <v>0</v>
      </c>
      <c r="BB44" s="25" t="n">
        <v>2440.29</v>
      </c>
      <c r="BC44" s="25" t="n">
        <v>0</v>
      </c>
      <c r="BD44" s="25" t="n">
        <v>537.44</v>
      </c>
      <c r="BE44" s="25" t="n">
        <v>0</v>
      </c>
      <c r="BF44" s="25" t="n">
        <f aca="false">SUM(BE44,BC44,BA44,AY44,AW44,AU44,AS44,AQ44,AO44)</f>
        <v>18190428.55</v>
      </c>
      <c r="BG44" s="25" t="n">
        <v>29535.47</v>
      </c>
      <c r="BH44" s="25" t="n">
        <v>38817.06</v>
      </c>
      <c r="BI44" s="25" t="n">
        <v>50990.71</v>
      </c>
      <c r="BJ44" s="25" t="n">
        <v>47654.87</v>
      </c>
      <c r="BK44" s="25" t="n">
        <v>37084.15</v>
      </c>
      <c r="BL44" s="25" t="n">
        <v>34658.09</v>
      </c>
      <c r="BM44" s="25" t="n">
        <v>207671.25</v>
      </c>
      <c r="BN44" s="25" t="n">
        <v>194085.28</v>
      </c>
      <c r="BO44" s="25" t="n">
        <v>3773.83</v>
      </c>
      <c r="BP44" s="25" t="n">
        <v>0</v>
      </c>
      <c r="BQ44" s="25" t="n">
        <v>410969.89</v>
      </c>
      <c r="BR44" s="25" t="n">
        <v>384084.01</v>
      </c>
      <c r="BS44" s="25" t="n">
        <v>19787.44</v>
      </c>
      <c r="BT44" s="25" t="n">
        <v>14936.6</v>
      </c>
      <c r="BU44" s="25" t="n">
        <v>420102.02</v>
      </c>
      <c r="BV44" s="25" t="n">
        <v>392618.71</v>
      </c>
      <c r="BW44" s="25" t="n">
        <v>31150.69</v>
      </c>
      <c r="BX44" s="25" t="n">
        <v>30325.82</v>
      </c>
      <c r="BY44" s="25" t="n">
        <v>571885.44</v>
      </c>
      <c r="BZ44" s="25" t="n">
        <v>240512.57</v>
      </c>
      <c r="CA44" s="25" t="n">
        <v>64897.26</v>
      </c>
      <c r="CB44" s="25" t="n">
        <v>60651.65</v>
      </c>
      <c r="CC44" s="25" t="n">
        <v>164985.52</v>
      </c>
      <c r="CD44" s="25" t="n">
        <v>282685.47</v>
      </c>
      <c r="CE44" s="25" t="n">
        <v>53773.06</v>
      </c>
      <c r="CF44" s="25" t="n">
        <v>50255.2</v>
      </c>
      <c r="CG44" s="25" t="n">
        <f aca="false">SUM(CF44,CD44,CB44,BZ44,BX44,BV44,BT44,BR44,BP44,BN44,BL44,BJ44,BH44)</f>
        <v>1771285.33</v>
      </c>
      <c r="CH44" s="25" t="n">
        <f aca="false">CG44+BF44</f>
        <v>19961713.88</v>
      </c>
      <c r="CI44" s="25" t="n">
        <f aca="false">SUM(CE44,CC44,CA44,BY44,BW44,BU44,BS44,BQ44,BO44,BM44,BK44,BI44,BG44,BD44,BB44,AZ44,AX44,AV44,AT44,AR44,AP44,AN44)</f>
        <v>21682298.45</v>
      </c>
      <c r="CJ44" s="25" t="n">
        <f aca="false">CI44-CH44</f>
        <v>1720584.57</v>
      </c>
      <c r="CK44" s="25" t="str">
        <f aca="false">IF(CE44-CF44+CC44-CD44+CA44-CB44+BU44-BV44+BK44-BL44+BI44-BJ44 &gt; 0, CE44-CF44+CC44-CD44+CA44-CB44+BU44-BV44+BK44-BL44+BI44-BJ44, "-")</f>
        <v>-</v>
      </c>
      <c r="CL44" s="26" t="str">
        <f aca="false">IF(CJ44&lt;0,"⚠ Over Budget","✓ Within Budget")</f>
        <v>✓ Within Budget</v>
      </c>
      <c r="CM44" s="27"/>
    </row>
    <row r="45" customFormat="false" ht="18.75" hidden="false" customHeight="true" outlineLevel="0" collapsed="false">
      <c r="A45" s="28" t="s">
        <v>100</v>
      </c>
      <c r="B45" s="28" t="n">
        <v>2025</v>
      </c>
      <c r="C45" s="28" t="n">
        <v>67</v>
      </c>
      <c r="D45" s="28" t="n">
        <v>1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1</v>
      </c>
      <c r="J45" s="28" t="n">
        <v>1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68</v>
      </c>
      <c r="T45" s="28" t="n">
        <v>34</v>
      </c>
      <c r="U45" s="28" t="n">
        <v>34</v>
      </c>
      <c r="V45" s="28" t="n">
        <v>65</v>
      </c>
      <c r="W45" s="28" t="n">
        <v>3</v>
      </c>
      <c r="X45" s="28" t="n">
        <v>8</v>
      </c>
      <c r="Y45" s="28" t="n">
        <v>19</v>
      </c>
      <c r="Z45" s="28" t="n">
        <v>23</v>
      </c>
      <c r="AA45" s="28" t="n">
        <v>12</v>
      </c>
      <c r="AB45" s="28" t="n">
        <v>4</v>
      </c>
      <c r="AC45" s="28" t="n">
        <v>2</v>
      </c>
      <c r="AD45" s="29" t="n">
        <v>0</v>
      </c>
      <c r="AE45" s="29" t="n">
        <v>0</v>
      </c>
      <c r="AF45" s="30" t="n">
        <v>58.4</v>
      </c>
      <c r="AG45" s="31" t="n">
        <v>860034</v>
      </c>
      <c r="AH45" s="31" t="n">
        <v>1356465</v>
      </c>
      <c r="AI45" s="31" t="n">
        <v>2021925</v>
      </c>
      <c r="AJ45" s="31" t="n">
        <v>3064592</v>
      </c>
      <c r="AK45" s="31" t="n">
        <v>4841822</v>
      </c>
      <c r="AL45" s="31" t="n">
        <v>8121869</v>
      </c>
      <c r="AM45" s="31" t="n">
        <v>2812790.77</v>
      </c>
      <c r="AN45" s="31" t="n">
        <v>17556502.38</v>
      </c>
      <c r="AO45" s="31" t="n">
        <v>17700737.39</v>
      </c>
      <c r="AP45" s="31" t="n">
        <v>1755650.24</v>
      </c>
      <c r="AQ45" s="31" t="n">
        <v>1640794.62</v>
      </c>
      <c r="AR45" s="31" t="n">
        <v>63841.83</v>
      </c>
      <c r="AS45" s="31" t="n">
        <v>0</v>
      </c>
      <c r="AT45" s="31" t="n">
        <v>877825.12</v>
      </c>
      <c r="AU45" s="31" t="n">
        <v>820397.31</v>
      </c>
      <c r="AV45" s="31" t="n">
        <v>102059.04</v>
      </c>
      <c r="AW45" s="31" t="n">
        <v>81472.36</v>
      </c>
      <c r="AX45" s="31" t="n">
        <v>58116.95</v>
      </c>
      <c r="AY45" s="31" t="n">
        <v>54314.91</v>
      </c>
      <c r="AZ45" s="31" t="n">
        <v>42820.74</v>
      </c>
      <c r="BA45" s="31" t="n">
        <v>0</v>
      </c>
      <c r="BB45" s="31" t="n">
        <v>162685.74</v>
      </c>
      <c r="BC45" s="31" t="n">
        <v>2248411.75</v>
      </c>
      <c r="BD45" s="31" t="n">
        <v>241849.78</v>
      </c>
      <c r="BE45" s="31" t="n">
        <v>140639.54</v>
      </c>
      <c r="BF45" s="31" t="n">
        <f aca="false">SUM(BE45,BC45,BA45,AY45,AW45,AU45,AS45,AQ45,AO45)</f>
        <v>22686767.88</v>
      </c>
      <c r="BG45" s="31" t="n">
        <v>23143.46</v>
      </c>
      <c r="BH45" s="31" t="n">
        <v>40555.13</v>
      </c>
      <c r="BI45" s="31" t="n">
        <v>53273.87</v>
      </c>
      <c r="BJ45" s="31" t="n">
        <v>49788.67</v>
      </c>
      <c r="BK45" s="31" t="n">
        <v>38744.64</v>
      </c>
      <c r="BL45" s="31" t="n">
        <v>36209.94</v>
      </c>
      <c r="BM45" s="31" t="n">
        <v>216969.96</v>
      </c>
      <c r="BN45" s="31" t="n">
        <v>202775.66</v>
      </c>
      <c r="BO45" s="31" t="n">
        <v>528335.94</v>
      </c>
      <c r="BP45" s="31" t="n">
        <v>1042910.52</v>
      </c>
      <c r="BQ45" s="31" t="n">
        <v>435877.15</v>
      </c>
      <c r="BR45" s="31" t="n">
        <v>407361.82</v>
      </c>
      <c r="BS45" s="31" t="n">
        <v>20986.68</v>
      </c>
      <c r="BT45" s="31" t="n">
        <v>15841.85</v>
      </c>
      <c r="BU45" s="31" t="n">
        <v>438912.56</v>
      </c>
      <c r="BV45" s="31" t="n">
        <v>410198.65</v>
      </c>
      <c r="BW45" s="31" t="n">
        <v>16272.75</v>
      </c>
      <c r="BX45" s="31" t="n">
        <v>31683.7</v>
      </c>
      <c r="BY45" s="31" t="n">
        <v>17219.84</v>
      </c>
      <c r="BZ45" s="31" t="n">
        <v>36209.94</v>
      </c>
      <c r="CA45" s="31" t="n">
        <v>67803.11</v>
      </c>
      <c r="CB45" s="31" t="n">
        <v>63367.39</v>
      </c>
      <c r="CC45" s="31" t="n">
        <v>172372.93</v>
      </c>
      <c r="CD45" s="31" t="n">
        <v>295343.03</v>
      </c>
      <c r="CE45" s="31" t="n">
        <v>56180.81</v>
      </c>
      <c r="CF45" s="31" t="n">
        <v>52505.43</v>
      </c>
      <c r="CG45" s="31" t="n">
        <f aca="false">SUM(CF45,CD45,CB45,BZ45,BX45,BV45,BT45,BR45,BP45,BN45,BL45,BJ45,BH45)</f>
        <v>2684751.73</v>
      </c>
      <c r="CH45" s="31" t="n">
        <f aca="false">CG45+BF45</f>
        <v>25371519.61</v>
      </c>
      <c r="CI45" s="31" t="n">
        <f aca="false">SUM(CE45,CC45,CA45,BY45,BW45,BU45,BS45,BQ45,BO45,BM45,BK45,BI45,BG45,BD45,BB45,AZ45,AX45,AV45,AT45,AR45,AP45,AN45)</f>
        <v>22947445.52</v>
      </c>
      <c r="CJ45" s="31" t="n">
        <f aca="false">CI45-CH45</f>
        <v>-2424074.09</v>
      </c>
      <c r="CK45" s="31" t="str">
        <f aca="false">IF(CE45-CF45+CC45-CD45+CA45-CB45+BU45-BV45+BK45-BL45+BI45-BJ45 &gt; 0, CE45-CF45+CC45-CD45+CA45-CB45+BU45-BV45+BK45-BL45+BI45-BJ45, "-")</f>
        <v>-</v>
      </c>
      <c r="CL45" s="32" t="str">
        <f aca="false">IF(CJ45&lt;0,"⚠ Over Budget","✓ Within Budget")</f>
        <v>⚠ Over Budget</v>
      </c>
      <c r="CM45" s="33" t="s">
        <v>110</v>
      </c>
    </row>
    <row r="46" customFormat="false" ht="14.25" hidden="false" customHeight="false" outlineLevel="0" collapsed="false">
      <c r="A46" s="22" t="s">
        <v>101</v>
      </c>
      <c r="B46" s="22" t="n">
        <v>2025</v>
      </c>
      <c r="C46" s="22" t="n">
        <v>68</v>
      </c>
      <c r="D46" s="22" t="n">
        <v>1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1</v>
      </c>
      <c r="J46" s="22" t="n">
        <v>1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69</v>
      </c>
      <c r="T46" s="22" t="n">
        <v>35</v>
      </c>
      <c r="U46" s="22" t="n">
        <v>34</v>
      </c>
      <c r="V46" s="22" t="n">
        <v>66</v>
      </c>
      <c r="W46" s="22" t="n">
        <v>3</v>
      </c>
      <c r="X46" s="22" t="n">
        <v>8</v>
      </c>
      <c r="Y46" s="22" t="n">
        <v>19</v>
      </c>
      <c r="Z46" s="22" t="n">
        <v>23</v>
      </c>
      <c r="AA46" s="22" t="n">
        <v>12</v>
      </c>
      <c r="AB46" s="22" t="n">
        <v>4</v>
      </c>
      <c r="AC46" s="22" t="n">
        <v>3</v>
      </c>
      <c r="AD46" s="23" t="n">
        <v>0</v>
      </c>
      <c r="AE46" s="23" t="n">
        <v>0</v>
      </c>
      <c r="AF46" s="24" t="n">
        <v>58.8</v>
      </c>
      <c r="AG46" s="25" t="n">
        <v>860034</v>
      </c>
      <c r="AH46" s="25" t="n">
        <v>1356465</v>
      </c>
      <c r="AI46" s="25" t="n">
        <v>2021925</v>
      </c>
      <c r="AJ46" s="25" t="n">
        <v>3064592</v>
      </c>
      <c r="AK46" s="25" t="n">
        <v>4841822</v>
      </c>
      <c r="AL46" s="25" t="n">
        <v>8121869</v>
      </c>
      <c r="AM46" s="25" t="n">
        <v>2812790.77</v>
      </c>
      <c r="AN46" s="25" t="n">
        <v>18308923.91</v>
      </c>
      <c r="AO46" s="25" t="n">
        <v>17111143.84</v>
      </c>
      <c r="AP46" s="25" t="n">
        <v>1830892.39</v>
      </c>
      <c r="AQ46" s="25" t="n">
        <v>1711114.38</v>
      </c>
      <c r="AR46" s="25" t="n">
        <v>66577.91</v>
      </c>
      <c r="AS46" s="25" t="n">
        <v>0</v>
      </c>
      <c r="AT46" s="25" t="n">
        <v>915446.2</v>
      </c>
      <c r="AU46" s="25" t="n">
        <v>855557.19</v>
      </c>
      <c r="AV46" s="25" t="n">
        <v>88694.17</v>
      </c>
      <c r="AW46" s="25" t="n">
        <v>84964.04</v>
      </c>
      <c r="AX46" s="25" t="n">
        <v>60607.68</v>
      </c>
      <c r="AY46" s="25" t="n">
        <v>56642.69</v>
      </c>
      <c r="AZ46" s="25" t="n">
        <v>44655.91</v>
      </c>
      <c r="BA46" s="25" t="n">
        <v>0</v>
      </c>
      <c r="BB46" s="25" t="n">
        <v>122014.3</v>
      </c>
      <c r="BC46" s="25" t="n">
        <v>70319.77</v>
      </c>
      <c r="BD46" s="25" t="n">
        <v>806.17</v>
      </c>
      <c r="BE46" s="25" t="n">
        <v>0</v>
      </c>
      <c r="BF46" s="25" t="n">
        <f aca="false">SUM(BE46,BC46,BA46,AY46,AW46,AU46,AS46,AQ46,AO46)</f>
        <v>19889741.91</v>
      </c>
      <c r="BG46" s="25" t="n">
        <v>129296.38</v>
      </c>
      <c r="BH46" s="25" t="n">
        <v>90628.31</v>
      </c>
      <c r="BI46" s="25" t="n">
        <v>55557.04</v>
      </c>
      <c r="BJ46" s="25" t="n">
        <v>51922.47</v>
      </c>
      <c r="BK46" s="25" t="n">
        <v>40405.12</v>
      </c>
      <c r="BL46" s="25" t="n">
        <v>37761.79</v>
      </c>
      <c r="BM46" s="25" t="n">
        <v>226268.67</v>
      </c>
      <c r="BN46" s="25" t="n">
        <v>211466.05</v>
      </c>
      <c r="BO46" s="25" t="n">
        <v>158500.78</v>
      </c>
      <c r="BP46" s="25" t="n">
        <v>135787.27</v>
      </c>
      <c r="BQ46" s="25" t="n">
        <v>448330.78</v>
      </c>
      <c r="BR46" s="25" t="n">
        <v>419000.73</v>
      </c>
      <c r="BS46" s="25" t="n">
        <v>21586.3</v>
      </c>
      <c r="BT46" s="25" t="n">
        <v>16294.47</v>
      </c>
      <c r="BU46" s="25" t="n">
        <v>457723.1</v>
      </c>
      <c r="BV46" s="25" t="n">
        <v>427778.6</v>
      </c>
      <c r="BW46" s="25" t="n">
        <v>33940.3</v>
      </c>
      <c r="BX46" s="25" t="n">
        <v>33041.57</v>
      </c>
      <c r="BY46" s="25" t="n">
        <v>47398.61</v>
      </c>
      <c r="BZ46" s="25" t="n">
        <v>83058.32</v>
      </c>
      <c r="CA46" s="25" t="n">
        <v>70708.96</v>
      </c>
      <c r="CB46" s="25" t="n">
        <v>66083.14</v>
      </c>
      <c r="CC46" s="25" t="n">
        <v>179760.34</v>
      </c>
      <c r="CD46" s="25" t="n">
        <v>308000.59</v>
      </c>
      <c r="CE46" s="25" t="n">
        <v>58588.56</v>
      </c>
      <c r="CF46" s="25" t="n">
        <v>54755.66</v>
      </c>
      <c r="CG46" s="25" t="n">
        <f aca="false">SUM(CF46,CD46,CB46,BZ46,BX46,BV46,BT46,BR46,BP46,BN46,BL46,BJ46,BH46)</f>
        <v>1935578.97</v>
      </c>
      <c r="CH46" s="25" t="n">
        <f aca="false">CG46+BF46</f>
        <v>21825320.88</v>
      </c>
      <c r="CI46" s="25" t="n">
        <f aca="false">SUM(CE46,CC46,CA46,BY46,BW46,BU46,BS46,BQ46,BO46,BM46,BK46,BI46,BG46,BD46,BB46,AZ46,AX46,AV46,AT46,AR46,AP46,AN46)</f>
        <v>23366683.58</v>
      </c>
      <c r="CJ46" s="25" t="n">
        <f aca="false">CI46-CH46</f>
        <v>1541362.7</v>
      </c>
      <c r="CK46" s="25" t="str">
        <f aca="false">IF(CE46-CF46+CC46-CD46+CA46-CB46+BU46-BV46+BK46-BL46+BI46-BJ46 &gt; 0, CE46-CF46+CC46-CD46+CA46-CB46+BU46-BV46+BK46-BL46+BI46-BJ46, "-")</f>
        <v>-</v>
      </c>
      <c r="CL46" s="26" t="str">
        <f aca="false">IF(CJ46&lt;0,"⚠ Over Budget","✓ Within Budget")</f>
        <v>✓ Within Budget</v>
      </c>
      <c r="CM46" s="27"/>
    </row>
    <row r="47" customFormat="false" ht="14.25" hidden="false" customHeight="false" outlineLevel="0" collapsed="false">
      <c r="A47" s="16" t="s">
        <v>102</v>
      </c>
      <c r="B47" s="16" t="n">
        <v>2025</v>
      </c>
      <c r="C47" s="16" t="n">
        <v>69</v>
      </c>
      <c r="D47" s="16" t="n">
        <v>1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1</v>
      </c>
      <c r="J47" s="16" t="n">
        <v>1</v>
      </c>
      <c r="K47" s="16" t="n">
        <v>1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1</v>
      </c>
      <c r="Q47" s="16" t="n">
        <v>1</v>
      </c>
      <c r="R47" s="16" t="n">
        <v>0</v>
      </c>
      <c r="S47" s="16" t="n">
        <v>69</v>
      </c>
      <c r="T47" s="16" t="n">
        <v>33</v>
      </c>
      <c r="U47" s="16" t="n">
        <v>36</v>
      </c>
      <c r="V47" s="16" t="n">
        <v>66</v>
      </c>
      <c r="W47" s="16" t="n">
        <v>3</v>
      </c>
      <c r="X47" s="16" t="n">
        <v>8</v>
      </c>
      <c r="Y47" s="16" t="n">
        <v>19</v>
      </c>
      <c r="Z47" s="16" t="n">
        <v>23</v>
      </c>
      <c r="AA47" s="16" t="n">
        <v>12</v>
      </c>
      <c r="AB47" s="16" t="n">
        <v>4</v>
      </c>
      <c r="AC47" s="16" t="n">
        <v>3</v>
      </c>
      <c r="AD47" s="17" t="n">
        <v>0.173913</v>
      </c>
      <c r="AE47" s="17" t="n">
        <v>0</v>
      </c>
      <c r="AF47" s="18" t="n">
        <v>59.1</v>
      </c>
      <c r="AG47" s="19" t="n">
        <v>860034</v>
      </c>
      <c r="AH47" s="19" t="n">
        <v>1356465</v>
      </c>
      <c r="AI47" s="19" t="n">
        <v>2021925</v>
      </c>
      <c r="AJ47" s="19" t="n">
        <v>3064592</v>
      </c>
      <c r="AK47" s="19" t="n">
        <v>4841822</v>
      </c>
      <c r="AL47" s="19" t="n">
        <v>8121869</v>
      </c>
      <c r="AM47" s="19" t="n">
        <v>2812790.77</v>
      </c>
      <c r="AN47" s="19" t="n">
        <v>18810538.27</v>
      </c>
      <c r="AO47" s="19" t="n">
        <v>17579942.31</v>
      </c>
      <c r="AP47" s="19" t="n">
        <v>1881053.83</v>
      </c>
      <c r="AQ47" s="19" t="n">
        <v>1757994.23</v>
      </c>
      <c r="AR47" s="19" t="n">
        <v>68401.96</v>
      </c>
      <c r="AS47" s="19" t="n">
        <v>0</v>
      </c>
      <c r="AT47" s="19" t="n">
        <v>940526.91</v>
      </c>
      <c r="AU47" s="19" t="n">
        <v>878997.12</v>
      </c>
      <c r="AV47" s="19" t="n">
        <v>100236.56</v>
      </c>
      <c r="AW47" s="19" t="n">
        <v>87291.82</v>
      </c>
      <c r="AX47" s="19" t="n">
        <v>62268.16</v>
      </c>
      <c r="AY47" s="19" t="n">
        <v>58194.55</v>
      </c>
      <c r="AZ47" s="19" t="n">
        <v>674417.78</v>
      </c>
      <c r="BA47" s="19" t="n">
        <v>646054.41</v>
      </c>
      <c r="BB47" s="19" t="n">
        <v>48805.72</v>
      </c>
      <c r="BC47" s="19" t="n">
        <v>46879.85</v>
      </c>
      <c r="BD47" s="19" t="n">
        <v>268.72</v>
      </c>
      <c r="BE47" s="19" t="n">
        <v>0</v>
      </c>
      <c r="BF47" s="19" t="n">
        <f aca="false">SUM(BE47,BC47,BA47,AY47,AW47,AU47,AS47,AQ47,AO47)</f>
        <v>21055354.29</v>
      </c>
      <c r="BG47" s="19" t="n">
        <v>191287.8</v>
      </c>
      <c r="BH47" s="19" t="n">
        <v>111733.53</v>
      </c>
      <c r="BI47" s="19" t="n">
        <v>57079.15</v>
      </c>
      <c r="BJ47" s="19" t="n">
        <v>53345</v>
      </c>
      <c r="BK47" s="19" t="n">
        <v>41512.11</v>
      </c>
      <c r="BL47" s="19" t="n">
        <v>38796.36</v>
      </c>
      <c r="BM47" s="19" t="n">
        <v>232467.81</v>
      </c>
      <c r="BN47" s="19" t="n">
        <v>217259.64</v>
      </c>
      <c r="BO47" s="19" t="n">
        <v>52833.59</v>
      </c>
      <c r="BP47" s="19" t="n">
        <v>90524.85</v>
      </c>
      <c r="BQ47" s="19" t="n">
        <v>485691.68</v>
      </c>
      <c r="BR47" s="19" t="n">
        <v>453917.46</v>
      </c>
      <c r="BS47" s="19" t="n">
        <v>19787.44</v>
      </c>
      <c r="BT47" s="19" t="n">
        <v>17652.35</v>
      </c>
      <c r="BU47" s="19" t="n">
        <v>470263.46</v>
      </c>
      <c r="BV47" s="19" t="n">
        <v>439498.56</v>
      </c>
      <c r="BW47" s="19" t="n">
        <v>69740.34</v>
      </c>
      <c r="BX47" s="19" t="n">
        <v>33946.82</v>
      </c>
      <c r="BY47" s="19" t="n">
        <v>18449.83</v>
      </c>
      <c r="BZ47" s="19" t="n">
        <v>38796.36</v>
      </c>
      <c r="CA47" s="19" t="n">
        <v>72646.19</v>
      </c>
      <c r="CB47" s="19" t="n">
        <v>67893.64</v>
      </c>
      <c r="CC47" s="19" t="n">
        <v>221622.34</v>
      </c>
      <c r="CD47" s="19" t="n">
        <v>316438.96</v>
      </c>
      <c r="CE47" s="19" t="n">
        <v>60193.72</v>
      </c>
      <c r="CF47" s="19" t="n">
        <v>56255.82</v>
      </c>
      <c r="CG47" s="19" t="n">
        <f aca="false">SUM(CF47,CD47,CB47,BZ47,BX47,BV47,BT47,BR47,BP47,BN47,BL47,BJ47,BH47)</f>
        <v>1936059.35</v>
      </c>
      <c r="CH47" s="19" t="n">
        <f aca="false">CG47+BF47</f>
        <v>22991413.64</v>
      </c>
      <c r="CI47" s="19" t="n">
        <f aca="false">SUM(CE47,CC47,CA47,BY47,BW47,BU47,BS47,BQ47,BO47,BM47,BK47,BI47,BG47,BD47,BB47,AZ47,AX47,AV47,AT47,AR47,AP47,AN47)</f>
        <v>24580093.37</v>
      </c>
      <c r="CJ47" s="19" t="n">
        <f aca="false">CI47-CH47</f>
        <v>1588679.73</v>
      </c>
      <c r="CK47" s="19" t="str">
        <f aca="false">IF(CE47-CF47+CC47-CD47+CA47-CB47+BU47-BV47+BK47-BL47+BI47-BJ47 &gt; 0, CE47-CF47+CC47-CD47+CA47-CB47+BU47-BV47+BK47-BL47+BI47-BJ47, "-")</f>
        <v>-</v>
      </c>
      <c r="CL47" s="20" t="str">
        <f aca="false">IF(CJ47&lt;0,"⚠ Over Budget","✓ Within Budget")</f>
        <v>✓ Within Budget</v>
      </c>
      <c r="CM47" s="21"/>
    </row>
    <row r="48" customFormat="false" ht="14.25" hidden="false" customHeight="false" outlineLevel="0" collapsed="false">
      <c r="A48" s="28" t="s">
        <v>103</v>
      </c>
      <c r="B48" s="28" t="n">
        <v>2025</v>
      </c>
      <c r="C48" s="28" t="n">
        <v>69</v>
      </c>
      <c r="D48" s="28" t="n">
        <v>1</v>
      </c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1</v>
      </c>
      <c r="J48" s="28" t="n">
        <v>1</v>
      </c>
      <c r="K48" s="28" t="n">
        <v>1</v>
      </c>
      <c r="L48" s="28" t="n">
        <v>0</v>
      </c>
      <c r="M48" s="28" t="n">
        <v>0</v>
      </c>
      <c r="N48" s="28" t="n">
        <v>0</v>
      </c>
      <c r="O48" s="28" t="n">
        <v>0</v>
      </c>
      <c r="P48" s="28" t="n">
        <v>1</v>
      </c>
      <c r="Q48" s="28" t="n">
        <v>1</v>
      </c>
      <c r="R48" s="28" t="n">
        <v>1</v>
      </c>
      <c r="S48" s="28" t="n">
        <v>68</v>
      </c>
      <c r="T48" s="28" t="n">
        <v>32</v>
      </c>
      <c r="U48" s="28" t="n">
        <v>36</v>
      </c>
      <c r="V48" s="28" t="n">
        <v>65</v>
      </c>
      <c r="W48" s="28" t="n">
        <v>3</v>
      </c>
      <c r="X48" s="28" t="n">
        <v>8</v>
      </c>
      <c r="Y48" s="28" t="n">
        <v>19</v>
      </c>
      <c r="Z48" s="28" t="n">
        <v>23</v>
      </c>
      <c r="AA48" s="28" t="n">
        <v>12</v>
      </c>
      <c r="AB48" s="28" t="n">
        <v>4</v>
      </c>
      <c r="AC48" s="28" t="n">
        <v>2</v>
      </c>
      <c r="AD48" s="29" t="n">
        <v>0.173913</v>
      </c>
      <c r="AE48" s="29" t="n">
        <v>0.0152161253138309</v>
      </c>
      <c r="AF48" s="30" t="n">
        <v>59.5</v>
      </c>
      <c r="AG48" s="31" t="n">
        <v>875428</v>
      </c>
      <c r="AH48" s="31" t="n">
        <v>1381287</v>
      </c>
      <c r="AI48" s="31" t="n">
        <v>2050891</v>
      </c>
      <c r="AJ48" s="31" t="n">
        <v>3102080</v>
      </c>
      <c r="AK48" s="31" t="n">
        <v>4894930</v>
      </c>
      <c r="AL48" s="31" t="n">
        <v>8208487</v>
      </c>
      <c r="AM48" s="31" t="n">
        <v>2851991.34</v>
      </c>
      <c r="AN48" s="31" t="n">
        <v>20852810.01</v>
      </c>
      <c r="AO48" s="31" t="n">
        <v>19488607.49</v>
      </c>
      <c r="AP48" s="31" t="n">
        <v>2085281</v>
      </c>
      <c r="AQ48" s="31" t="n">
        <v>1948860.75</v>
      </c>
      <c r="AR48" s="31" t="n">
        <v>2426508.8</v>
      </c>
      <c r="AS48" s="31" t="n">
        <v>5607268.13</v>
      </c>
      <c r="AT48" s="31" t="n">
        <v>1042640.5</v>
      </c>
      <c r="AU48" s="31" t="n">
        <v>974430.37</v>
      </c>
      <c r="AV48" s="31" t="n">
        <v>89666.16</v>
      </c>
      <c r="AW48" s="31" t="n">
        <v>95439.06</v>
      </c>
      <c r="AX48" s="31" t="n">
        <v>68079.86</v>
      </c>
      <c r="AY48" s="31" t="n">
        <v>63626.04</v>
      </c>
      <c r="AZ48" s="31" t="n">
        <v>1557088.61</v>
      </c>
      <c r="BA48" s="31" t="n">
        <v>2814826.29</v>
      </c>
      <c r="BB48" s="31" t="n">
        <v>173200.66</v>
      </c>
      <c r="BC48" s="31" t="n">
        <v>166366.16</v>
      </c>
      <c r="BD48" s="31" t="n">
        <v>272.47</v>
      </c>
      <c r="BE48" s="31" t="n">
        <v>0</v>
      </c>
      <c r="BF48" s="31" t="n">
        <f aca="false">SUM(BE48,BC48,BA48,AY48,AW48,AU48,AS48,AQ48,AO48)</f>
        <v>31159424.29</v>
      </c>
      <c r="BG48" s="31" t="n">
        <v>126517.59</v>
      </c>
      <c r="BH48" s="31" t="n">
        <v>95014.88</v>
      </c>
      <c r="BI48" s="31" t="n">
        <v>62406.54</v>
      </c>
      <c r="BJ48" s="31" t="n">
        <v>58323.87</v>
      </c>
      <c r="BK48" s="31" t="n">
        <v>45386.57</v>
      </c>
      <c r="BL48" s="31" t="n">
        <v>42417.36</v>
      </c>
      <c r="BM48" s="31" t="n">
        <v>254164.81</v>
      </c>
      <c r="BN48" s="31" t="n">
        <v>237537.21</v>
      </c>
      <c r="BO48" s="31" t="n">
        <v>184917.58</v>
      </c>
      <c r="BP48" s="31" t="n">
        <v>316836.97</v>
      </c>
      <c r="BQ48" s="31" t="n">
        <v>535506.21</v>
      </c>
      <c r="BR48" s="31" t="n">
        <v>500473.1</v>
      </c>
      <c r="BS48" s="31" t="n">
        <v>19833.56</v>
      </c>
      <c r="BT48" s="31" t="n">
        <v>19462.84</v>
      </c>
      <c r="BU48" s="31" t="n">
        <v>521320.25</v>
      </c>
      <c r="BV48" s="31" t="n">
        <v>487215.19</v>
      </c>
      <c r="BW48" s="31" t="n">
        <v>57187.08</v>
      </c>
      <c r="BX48" s="31" t="n">
        <v>37115.19</v>
      </c>
      <c r="BY48" s="31" t="n">
        <v>833089.68</v>
      </c>
      <c r="BZ48" s="31" t="n">
        <v>273722.52</v>
      </c>
      <c r="CA48" s="31" t="n">
        <v>79426.5</v>
      </c>
      <c r="CB48" s="31" t="n">
        <v>74230.38</v>
      </c>
      <c r="CC48" s="31" t="n">
        <v>327578.69</v>
      </c>
      <c r="CD48" s="31" t="n">
        <v>350794.93</v>
      </c>
      <c r="CE48" s="31" t="n">
        <v>66728.99</v>
      </c>
      <c r="CF48" s="31" t="n">
        <v>62363.54</v>
      </c>
      <c r="CG48" s="31" t="n">
        <f aca="false">SUM(CF48,CD48,CB48,BZ48,BX48,BV48,BT48,BR48,BP48,BN48,BL48,BJ48,BH48)</f>
        <v>2555507.98</v>
      </c>
      <c r="CH48" s="31" t="n">
        <f aca="false">CG48+BF48</f>
        <v>33714932.27</v>
      </c>
      <c r="CI48" s="31" t="n">
        <f aca="false">SUM(CE48,CC48,CA48,BY48,BW48,BU48,BS48,BQ48,BO48,BM48,BK48,BI48,BG48,BD48,BB48,AZ48,AX48,AV48,AT48,AR48,AP48,AN48)</f>
        <v>31409612.12</v>
      </c>
      <c r="CJ48" s="31" t="n">
        <f aca="false">CI48-CH48</f>
        <v>-2305320.15</v>
      </c>
      <c r="CK48" s="31" t="n">
        <f aca="false">IF(CE48-CF48+CC48-CD48+CA48-CB48+BU48-BV48+BK48-BL48+BI48-BJ48 &gt; 0, CE48-CF48+CC48-CD48+CA48-CB48+BU48-BV48+BK48-BL48+BI48-BJ48, "-")</f>
        <v>27502.27</v>
      </c>
      <c r="CL48" s="32" t="str">
        <f aca="false">IF(CJ48&lt;0,"⚠ Over Budget","✓ Within Budget")</f>
        <v>⚠ Over Budget</v>
      </c>
      <c r="CM48" s="33" t="s">
        <v>111</v>
      </c>
    </row>
    <row r="49" customFormat="false" ht="18.75" hidden="false" customHeight="true" outlineLevel="0" collapsed="false">
      <c r="A49" s="28" t="s">
        <v>104</v>
      </c>
      <c r="B49" s="28" t="n">
        <v>2025</v>
      </c>
      <c r="C49" s="28" t="n">
        <v>68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1</v>
      </c>
      <c r="S49" s="28" t="n">
        <v>67</v>
      </c>
      <c r="T49" s="28" t="n">
        <v>32</v>
      </c>
      <c r="U49" s="28" t="n">
        <v>35</v>
      </c>
      <c r="V49" s="28" t="n">
        <v>64</v>
      </c>
      <c r="W49" s="28" t="n">
        <v>3</v>
      </c>
      <c r="X49" s="28" t="n">
        <v>8</v>
      </c>
      <c r="Y49" s="28" t="n">
        <v>19</v>
      </c>
      <c r="Z49" s="28" t="n">
        <v>23</v>
      </c>
      <c r="AA49" s="28" t="n">
        <v>12</v>
      </c>
      <c r="AB49" s="28" t="n">
        <v>4</v>
      </c>
      <c r="AC49" s="28" t="n">
        <v>1</v>
      </c>
      <c r="AD49" s="29" t="n">
        <v>0</v>
      </c>
      <c r="AE49" s="29" t="n">
        <v>0</v>
      </c>
      <c r="AF49" s="30" t="n">
        <v>59.8</v>
      </c>
      <c r="AG49" s="31" t="n">
        <v>875428</v>
      </c>
      <c r="AH49" s="31" t="n">
        <v>1381287</v>
      </c>
      <c r="AI49" s="31" t="n">
        <v>2050891</v>
      </c>
      <c r="AJ49" s="31" t="n">
        <v>3102080</v>
      </c>
      <c r="AK49" s="31" t="n">
        <v>4894930</v>
      </c>
      <c r="AL49" s="31" t="n">
        <v>8208487</v>
      </c>
      <c r="AM49" s="31" t="n">
        <v>2851991.34</v>
      </c>
      <c r="AN49" s="31" t="n">
        <v>20598507.45</v>
      </c>
      <c r="AO49" s="31" t="n">
        <v>19250941.54</v>
      </c>
      <c r="AP49" s="31" t="n">
        <v>2059850.74</v>
      </c>
      <c r="AQ49" s="31" t="n">
        <v>1925094.15</v>
      </c>
      <c r="AR49" s="31" t="n">
        <v>243436.91</v>
      </c>
      <c r="AS49" s="31" t="n">
        <v>0</v>
      </c>
      <c r="AT49" s="31" t="n">
        <v>1029925.37</v>
      </c>
      <c r="AU49" s="31" t="n">
        <v>962547.08</v>
      </c>
      <c r="AV49" s="31" t="n">
        <v>104975.01</v>
      </c>
      <c r="AW49" s="31" t="n">
        <v>125700.22</v>
      </c>
      <c r="AX49" s="31" t="n">
        <v>67249.62</v>
      </c>
      <c r="AY49" s="31" t="n">
        <v>62850.11</v>
      </c>
      <c r="AZ49" s="31" t="n">
        <v>100480.52</v>
      </c>
      <c r="BA49" s="31" t="n">
        <v>0</v>
      </c>
      <c r="BB49" s="31" t="n">
        <v>824.77</v>
      </c>
      <c r="BC49" s="31" t="n">
        <v>0</v>
      </c>
      <c r="BD49" s="31" t="n">
        <v>81740.11</v>
      </c>
      <c r="BE49" s="31" t="n">
        <v>142599.57</v>
      </c>
      <c r="BF49" s="31" t="n">
        <f aca="false">SUM(BE49,BC49,BA49,AY49,AW49,AU49,AS49,AQ49,AO49)</f>
        <v>22469732.67</v>
      </c>
      <c r="BG49" s="31" t="n">
        <v>163232.26</v>
      </c>
      <c r="BH49" s="31" t="n">
        <v>107264.19</v>
      </c>
      <c r="BI49" s="31" t="n">
        <v>61645.48</v>
      </c>
      <c r="BJ49" s="31" t="n">
        <v>57612.6</v>
      </c>
      <c r="BK49" s="31" t="n">
        <v>44833.08</v>
      </c>
      <c r="BL49" s="31" t="n">
        <v>41900.07</v>
      </c>
      <c r="BM49" s="31" t="n">
        <v>251065.24</v>
      </c>
      <c r="BN49" s="31" t="n">
        <v>234640.41</v>
      </c>
      <c r="BO49" s="31" t="n">
        <v>3773.83</v>
      </c>
      <c r="BP49" s="31" t="n">
        <v>0</v>
      </c>
      <c r="BQ49" s="31" t="n">
        <v>523052.58</v>
      </c>
      <c r="BR49" s="31" t="n">
        <v>488834.19</v>
      </c>
      <c r="BS49" s="31" t="n">
        <v>17435.09</v>
      </c>
      <c r="BT49" s="31" t="n">
        <v>19010.22</v>
      </c>
      <c r="BU49" s="31" t="n">
        <v>514962.69</v>
      </c>
      <c r="BV49" s="31" t="n">
        <v>481273.54</v>
      </c>
      <c r="BW49" s="31" t="n">
        <v>37659.79</v>
      </c>
      <c r="BX49" s="31" t="n">
        <v>36662.56</v>
      </c>
      <c r="BY49" s="31" t="n">
        <v>151103.3</v>
      </c>
      <c r="BZ49" s="31" t="n">
        <v>4539888.7</v>
      </c>
      <c r="CA49" s="31" t="n">
        <v>78457.89</v>
      </c>
      <c r="CB49" s="31" t="n">
        <v>73325.13</v>
      </c>
      <c r="CC49" s="31" t="n">
        <v>323583.83</v>
      </c>
      <c r="CD49" s="31" t="n">
        <v>346516.95</v>
      </c>
      <c r="CE49" s="31" t="n">
        <v>65915.22</v>
      </c>
      <c r="CF49" s="31" t="n">
        <v>61603.01</v>
      </c>
      <c r="CG49" s="31" t="n">
        <f aca="false">SUM(CF49,CD49,CB49,BZ49,BX49,BV49,BT49,BR49,BP49,BN49,BL49,BJ49,BH49)</f>
        <v>6488531.57</v>
      </c>
      <c r="CH49" s="31" t="n">
        <f aca="false">CG49+BF49</f>
        <v>28958264.24</v>
      </c>
      <c r="CI49" s="31" t="n">
        <f aca="false">SUM(CE49,CC49,CA49,BY49,BW49,BU49,BS49,BQ49,BO49,BM49,BK49,BI49,BG49,BD49,BB49,AZ49,AX49,AV49,AT49,AR49,AP49,AN49)</f>
        <v>26523710.78</v>
      </c>
      <c r="CJ49" s="31" t="n">
        <f aca="false">CI49-CH49</f>
        <v>-2434553.46</v>
      </c>
      <c r="CK49" s="31" t="n">
        <f aca="false">IF(CE49-CF49+CC49-CD49+CA49-CB49+BU49-BV49+BK49-BL49+BI49-BJ49 &gt; 0, CE49-CF49+CC49-CD49+CA49-CB49+BU49-BV49+BK49-BL49+BI49-BJ49, "-")</f>
        <v>27166.8900000001</v>
      </c>
      <c r="CL49" s="32" t="str">
        <f aca="false">IF(CJ49&lt;0,"⚠ Over Budget","✓ Within Budget")</f>
        <v>⚠ Over Budget</v>
      </c>
      <c r="CM49" s="33" t="s">
        <v>109</v>
      </c>
    </row>
    <row r="50" customFormat="false" ht="14.25" hidden="false" customHeight="false" outlineLevel="0" collapsed="false">
      <c r="A50" s="22" t="s">
        <v>105</v>
      </c>
      <c r="B50" s="22" t="n">
        <v>2025</v>
      </c>
      <c r="C50" s="22" t="n">
        <v>67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67</v>
      </c>
      <c r="T50" s="22" t="n">
        <v>32</v>
      </c>
      <c r="U50" s="22" t="n">
        <v>35</v>
      </c>
      <c r="V50" s="22" t="n">
        <v>64</v>
      </c>
      <c r="W50" s="22" t="n">
        <v>3</v>
      </c>
      <c r="X50" s="22" t="n">
        <v>8</v>
      </c>
      <c r="Y50" s="22" t="n">
        <v>19</v>
      </c>
      <c r="Z50" s="22" t="n">
        <v>23</v>
      </c>
      <c r="AA50" s="22" t="n">
        <v>12</v>
      </c>
      <c r="AB50" s="22" t="n">
        <v>4</v>
      </c>
      <c r="AC50" s="22" t="n">
        <v>1</v>
      </c>
      <c r="AD50" s="23" t="n">
        <v>0</v>
      </c>
      <c r="AE50" s="23" t="n">
        <v>0</v>
      </c>
      <c r="AF50" s="24" t="n">
        <v>60.1</v>
      </c>
      <c r="AG50" s="25" t="n">
        <v>875428</v>
      </c>
      <c r="AH50" s="25" t="n">
        <v>1381287</v>
      </c>
      <c r="AI50" s="25" t="n">
        <v>2050891</v>
      </c>
      <c r="AJ50" s="25" t="n">
        <v>3102080</v>
      </c>
      <c r="AK50" s="25" t="n">
        <v>4894930</v>
      </c>
      <c r="AL50" s="25" t="n">
        <v>8208487</v>
      </c>
      <c r="AM50" s="25" t="n">
        <v>2851991.34</v>
      </c>
      <c r="AN50" s="25" t="n">
        <v>20598507.45</v>
      </c>
      <c r="AO50" s="25" t="n">
        <v>19250941.54</v>
      </c>
      <c r="AP50" s="25" t="n">
        <v>2059850.74</v>
      </c>
      <c r="AQ50" s="25" t="n">
        <v>1925094.15</v>
      </c>
      <c r="AR50" s="25" t="n">
        <v>8988439.61</v>
      </c>
      <c r="AS50" s="25" t="n">
        <v>1925094.15</v>
      </c>
      <c r="AT50" s="25" t="n">
        <v>1029925.37</v>
      </c>
      <c r="AU50" s="25" t="n">
        <v>962547.08</v>
      </c>
      <c r="AV50" s="25" t="n">
        <v>91853.14</v>
      </c>
      <c r="AW50" s="25" t="n">
        <v>125700.22</v>
      </c>
      <c r="AX50" s="25" t="n">
        <v>67249.62</v>
      </c>
      <c r="AY50" s="25" t="n">
        <v>62850.11</v>
      </c>
      <c r="AZ50" s="25" t="n">
        <v>1127210.8</v>
      </c>
      <c r="BA50" s="25" t="n">
        <v>719869.83</v>
      </c>
      <c r="BB50" s="25" t="n">
        <v>824.77</v>
      </c>
      <c r="BC50" s="25" t="n">
        <v>0</v>
      </c>
      <c r="BD50" s="25" t="n">
        <v>272.47</v>
      </c>
      <c r="BE50" s="25" t="n">
        <v>0</v>
      </c>
      <c r="BF50" s="25" t="n">
        <f aca="false">SUM(BE50,BC50,BA50,AY50,AW50,AU50,AS50,AQ50,AO50)</f>
        <v>24972097.08</v>
      </c>
      <c r="BG50" s="25" t="n">
        <v>26780.29</v>
      </c>
      <c r="BH50" s="25" t="n">
        <v>46928.08</v>
      </c>
      <c r="BI50" s="25" t="n">
        <v>61645.48</v>
      </c>
      <c r="BJ50" s="25" t="n">
        <v>57612.6</v>
      </c>
      <c r="BK50" s="25" t="n">
        <v>44833.08</v>
      </c>
      <c r="BL50" s="25" t="n">
        <v>41900.07</v>
      </c>
      <c r="BM50" s="25" t="n">
        <v>251065.24</v>
      </c>
      <c r="BN50" s="25" t="n">
        <v>234640.41</v>
      </c>
      <c r="BO50" s="25" t="n">
        <v>3773.83</v>
      </c>
      <c r="BP50" s="25" t="n">
        <v>0</v>
      </c>
      <c r="BQ50" s="25" t="n">
        <v>523052.58</v>
      </c>
      <c r="BR50" s="25" t="n">
        <v>488834.19</v>
      </c>
      <c r="BS50" s="25" t="n">
        <v>15497.85</v>
      </c>
      <c r="BT50" s="25" t="n">
        <v>19010.22</v>
      </c>
      <c r="BU50" s="25" t="n">
        <v>514962.69</v>
      </c>
      <c r="BV50" s="25" t="n">
        <v>481273.54</v>
      </c>
      <c r="BW50" s="25" t="n">
        <v>18829.89</v>
      </c>
      <c r="BX50" s="25" t="n">
        <v>36662.56</v>
      </c>
      <c r="BY50" s="25" t="n">
        <v>231589.17</v>
      </c>
      <c r="BZ50" s="25" t="n">
        <v>162328.86</v>
      </c>
      <c r="CA50" s="25" t="n">
        <v>78457.89</v>
      </c>
      <c r="CB50" s="25" t="n">
        <v>73325.13</v>
      </c>
      <c r="CC50" s="25" t="n">
        <v>202239.89</v>
      </c>
      <c r="CD50" s="25" t="n">
        <v>346516.95</v>
      </c>
      <c r="CE50" s="25" t="n">
        <v>65915.22</v>
      </c>
      <c r="CF50" s="25" t="n">
        <v>61603.01</v>
      </c>
      <c r="CG50" s="25" t="n">
        <f aca="false">SUM(CF50,CD50,CB50,BZ50,BX50,BV50,BT50,BR50,BP50,BN50,BL50,BJ50,BH50)</f>
        <v>2050635.62</v>
      </c>
      <c r="CH50" s="25" t="n">
        <f aca="false">CG50+BF50</f>
        <v>27022732.7</v>
      </c>
      <c r="CI50" s="25" t="n">
        <f aca="false">SUM(CE50,CC50,CA50,BY50,BW50,BU50,BS50,BQ50,BO50,BM50,BK50,BI50,BG50,BD50,BB50,AZ50,AX50,AV50,AT50,AR50,AP50,AN50)</f>
        <v>36002777.07</v>
      </c>
      <c r="CJ50" s="25" t="n">
        <f aca="false">CI50-CH50</f>
        <v>8980044.37</v>
      </c>
      <c r="CK50" s="25" t="str">
        <f aca="false">IF(CE50-CF50+CC50-CD50+CA50-CB50+BU50-BV50+BK50-BL50+BI50-BJ50 &gt; 0, CE50-CF50+CC50-CD50+CA50-CB50+BU50-BV50+BK50-BL50+BI50-BJ50, "-")</f>
        <v>-</v>
      </c>
      <c r="CL50" s="26" t="str">
        <f aca="false">IF(CJ50&lt;0,"⚠ Over Budget","✓ Within Budget")</f>
        <v>✓ Within Budget</v>
      </c>
      <c r="CM50" s="27"/>
    </row>
    <row r="51" customFormat="false" ht="14.25" hidden="false" customHeight="false" outlineLevel="0" collapsed="false">
      <c r="A51" s="16" t="s">
        <v>92</v>
      </c>
      <c r="B51" s="16" t="n">
        <v>2026</v>
      </c>
      <c r="C51" s="16" t="n">
        <v>67</v>
      </c>
      <c r="D51" s="16" t="n">
        <v>1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1</v>
      </c>
      <c r="J51" s="16" t="n">
        <v>1</v>
      </c>
      <c r="K51" s="16" t="n">
        <v>0</v>
      </c>
      <c r="L51" s="16" t="n">
        <v>1</v>
      </c>
      <c r="M51" s="16" t="n">
        <v>1</v>
      </c>
      <c r="N51" s="16" t="n">
        <v>0</v>
      </c>
      <c r="O51" s="16" t="n">
        <v>0</v>
      </c>
      <c r="P51" s="16" t="n">
        <v>0</v>
      </c>
      <c r="Q51" s="16" t="n">
        <v>2</v>
      </c>
      <c r="R51" s="16" t="n">
        <v>0</v>
      </c>
      <c r="S51" s="16" t="n">
        <v>66</v>
      </c>
      <c r="T51" s="16" t="n">
        <v>31</v>
      </c>
      <c r="U51" s="16" t="n">
        <v>35</v>
      </c>
      <c r="V51" s="16" t="n">
        <v>63</v>
      </c>
      <c r="W51" s="16" t="n">
        <v>3</v>
      </c>
      <c r="X51" s="16" t="n">
        <v>8</v>
      </c>
      <c r="Y51" s="16" t="n">
        <v>18</v>
      </c>
      <c r="Z51" s="16" t="n">
        <v>22</v>
      </c>
      <c r="AA51" s="16" t="n">
        <v>12</v>
      </c>
      <c r="AB51" s="16" t="n">
        <v>4</v>
      </c>
      <c r="AC51" s="16" t="n">
        <v>2</v>
      </c>
      <c r="AD51" s="17" t="n">
        <v>0.358209</v>
      </c>
      <c r="AE51" s="17" t="n">
        <v>0</v>
      </c>
      <c r="AF51" s="18" t="n">
        <v>60.5</v>
      </c>
      <c r="AG51" s="19" t="n">
        <v>875428</v>
      </c>
      <c r="AH51" s="19" t="n">
        <v>1381287</v>
      </c>
      <c r="AI51" s="19" t="n">
        <v>2050891</v>
      </c>
      <c r="AJ51" s="19" t="n">
        <v>3102080</v>
      </c>
      <c r="AK51" s="19" t="n">
        <v>4894930</v>
      </c>
      <c r="AL51" s="19" t="n">
        <v>8208487</v>
      </c>
      <c r="AM51" s="19" t="n">
        <v>2754975.68</v>
      </c>
      <c r="AN51" s="19" t="n">
        <v>19652159.88</v>
      </c>
      <c r="AO51" s="19" t="n">
        <v>18366504.56</v>
      </c>
      <c r="AP51" s="19" t="n">
        <v>1965215.99</v>
      </c>
      <c r="AQ51" s="19" t="n">
        <v>1836650.46</v>
      </c>
      <c r="AR51" s="19" t="n">
        <v>321580.8</v>
      </c>
      <c r="AS51" s="19" t="n">
        <v>1101990.27</v>
      </c>
      <c r="AT51" s="19" t="n">
        <v>982607.99</v>
      </c>
      <c r="AU51" s="19" t="n">
        <v>918325.23</v>
      </c>
      <c r="AV51" s="19" t="n">
        <v>100152.2</v>
      </c>
      <c r="AW51" s="19" t="n">
        <v>119925.23</v>
      </c>
      <c r="AX51" s="19" t="n">
        <v>64160</v>
      </c>
      <c r="AY51" s="19" t="n">
        <v>59962.62</v>
      </c>
      <c r="AZ51" s="19" t="n">
        <v>47932.1</v>
      </c>
      <c r="BA51" s="19" t="n">
        <v>0</v>
      </c>
      <c r="BB51" s="19" t="n">
        <v>15934.18</v>
      </c>
      <c r="BC51" s="19" t="n">
        <v>45916.26</v>
      </c>
      <c r="BD51" s="19" t="n">
        <v>631.68</v>
      </c>
      <c r="BE51" s="19" t="n">
        <v>0</v>
      </c>
      <c r="BF51" s="19" t="n">
        <f aca="false">SUM(BE51,BC51,BA51,AY51,AW51,AU51,AS51,AQ51,AO51)</f>
        <v>22449274.63</v>
      </c>
      <c r="BG51" s="19" t="n">
        <v>17033.29</v>
      </c>
      <c r="BH51" s="19" t="n">
        <v>44772.09</v>
      </c>
      <c r="BI51" s="19" t="n">
        <v>58813.33</v>
      </c>
      <c r="BJ51" s="19" t="n">
        <v>54965.73</v>
      </c>
      <c r="BK51" s="19" t="n">
        <v>42773.33</v>
      </c>
      <c r="BL51" s="19" t="n">
        <v>39975.08</v>
      </c>
      <c r="BM51" s="19" t="n">
        <v>239530.67</v>
      </c>
      <c r="BN51" s="19" t="n">
        <v>223860.44</v>
      </c>
      <c r="BO51" s="19" t="n">
        <v>51036.36</v>
      </c>
      <c r="BP51" s="19" t="n">
        <v>87445.48</v>
      </c>
      <c r="BQ51" s="19" t="n">
        <v>517290</v>
      </c>
      <c r="BR51" s="19" t="n">
        <v>483448.6</v>
      </c>
      <c r="BS51" s="19" t="n">
        <v>17243</v>
      </c>
      <c r="BT51" s="19" t="n">
        <v>18800.78</v>
      </c>
      <c r="BU51" s="19" t="n">
        <v>491304</v>
      </c>
      <c r="BV51" s="19" t="n">
        <v>459162.61</v>
      </c>
      <c r="BW51" s="19" t="n">
        <v>17964.8</v>
      </c>
      <c r="BX51" s="19" t="n">
        <v>34978.19</v>
      </c>
      <c r="BY51" s="19" t="n">
        <v>19010.37</v>
      </c>
      <c r="BZ51" s="19" t="n">
        <v>39975.08</v>
      </c>
      <c r="CA51" s="19" t="n">
        <v>74853.33</v>
      </c>
      <c r="CB51" s="19" t="n">
        <v>69956.39</v>
      </c>
      <c r="CC51" s="19" t="n">
        <v>192948.48</v>
      </c>
      <c r="CD51" s="19" t="n">
        <v>330597.08</v>
      </c>
      <c r="CE51" s="19" t="n">
        <v>62886.91</v>
      </c>
      <c r="CF51" s="19" t="n">
        <v>58772.81</v>
      </c>
      <c r="CG51" s="19" t="n">
        <f aca="false">SUM(CF51,CD51,CB51,BZ51,BX51,BV51,BT51,BR51,BP51,BN51,BL51,BJ51,BH51)</f>
        <v>1946710.36</v>
      </c>
      <c r="CH51" s="19" t="n">
        <f aca="false">CG51+BF51</f>
        <v>24395984.99</v>
      </c>
      <c r="CI51" s="19" t="n">
        <f aca="false">SUM(CE51,CC51,CA51,BY51,BW51,BU51,BS51,BQ51,BO51,BM51,BK51,BI51,BG51,BD51,BB51,AZ51,AX51,AV51,AT51,AR51,AP51,AN51)</f>
        <v>24953062.69</v>
      </c>
      <c r="CJ51" s="19" t="n">
        <f aca="false">CI51-CH51</f>
        <v>557077.699999999</v>
      </c>
      <c r="CK51" s="19" t="str">
        <f aca="false">IF(CE51-CF51+CC51-CD51+CA51-CB51+BU51-BV51+BK51-BL51+BI51-BJ51 &gt; 0, CE51-CF51+CC51-CD51+CA51-CB51+BU51-BV51+BK51-BL51+BI51-BJ51, "-")</f>
        <v>-</v>
      </c>
      <c r="CL51" s="20" t="str">
        <f aca="false">IF(CJ51&lt;0,"⚠ Over Budget","✓ Within Budget")</f>
        <v>✓ Within Budget</v>
      </c>
      <c r="CM51" s="21"/>
    </row>
    <row r="52" customFormat="false" ht="14.25" hidden="false" customHeight="false" outlineLevel="0" collapsed="false">
      <c r="A52" s="22" t="s">
        <v>93</v>
      </c>
      <c r="B52" s="22" t="n">
        <v>2026</v>
      </c>
      <c r="C52" s="22" t="n">
        <v>66</v>
      </c>
      <c r="D52" s="22" t="n">
        <v>1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1</v>
      </c>
      <c r="J52" s="22" t="n">
        <v>1</v>
      </c>
      <c r="K52" s="22" t="n">
        <v>0</v>
      </c>
      <c r="L52" s="22" t="n">
        <v>1</v>
      </c>
      <c r="M52" s="22" t="n">
        <v>1</v>
      </c>
      <c r="N52" s="22" t="n">
        <v>0</v>
      </c>
      <c r="O52" s="22" t="n">
        <v>0</v>
      </c>
      <c r="P52" s="22" t="n">
        <v>0</v>
      </c>
      <c r="Q52" s="22" t="n">
        <v>2</v>
      </c>
      <c r="R52" s="22" t="n">
        <v>0</v>
      </c>
      <c r="S52" s="22" t="n">
        <v>65</v>
      </c>
      <c r="T52" s="22" t="n">
        <v>30</v>
      </c>
      <c r="U52" s="22" t="n">
        <v>35</v>
      </c>
      <c r="V52" s="22" t="n">
        <v>62</v>
      </c>
      <c r="W52" s="22" t="n">
        <v>3</v>
      </c>
      <c r="X52" s="22" t="n">
        <v>8</v>
      </c>
      <c r="Y52" s="22" t="n">
        <v>18</v>
      </c>
      <c r="Z52" s="22" t="n">
        <v>22</v>
      </c>
      <c r="AA52" s="22" t="n">
        <v>12</v>
      </c>
      <c r="AB52" s="22" t="n">
        <v>4</v>
      </c>
      <c r="AC52" s="22" t="n">
        <v>1</v>
      </c>
      <c r="AD52" s="23" t="n">
        <v>0.363636</v>
      </c>
      <c r="AE52" s="23" t="n">
        <v>0</v>
      </c>
      <c r="AF52" s="24" t="n">
        <v>60.8</v>
      </c>
      <c r="AG52" s="25" t="n">
        <v>875428</v>
      </c>
      <c r="AH52" s="25" t="n">
        <v>1381287</v>
      </c>
      <c r="AI52" s="25" t="n">
        <v>2050891</v>
      </c>
      <c r="AJ52" s="25" t="n">
        <v>3102080</v>
      </c>
      <c r="AK52" s="25" t="n">
        <v>4894930</v>
      </c>
      <c r="AL52" s="25" t="n">
        <v>8208487</v>
      </c>
      <c r="AM52" s="25" t="n">
        <v>2754975.68</v>
      </c>
      <c r="AN52" s="25" t="n">
        <v>20143463.88</v>
      </c>
      <c r="AO52" s="25" t="n">
        <v>18825667.17</v>
      </c>
      <c r="AP52" s="25" t="n">
        <v>2014346.39</v>
      </c>
      <c r="AQ52" s="25" t="n">
        <v>1882566.72</v>
      </c>
      <c r="AR52" s="25" t="n">
        <v>54936.72</v>
      </c>
      <c r="AS52" s="25" t="n">
        <v>0</v>
      </c>
      <c r="AT52" s="25" t="n">
        <v>1007173.19</v>
      </c>
      <c r="AU52" s="25" t="n">
        <v>941283.36</v>
      </c>
      <c r="AV52" s="25" t="n">
        <v>102656</v>
      </c>
      <c r="AW52" s="25" t="n">
        <v>122923.36</v>
      </c>
      <c r="AX52" s="25" t="n">
        <v>65764</v>
      </c>
      <c r="AY52" s="25" t="n">
        <v>61461.68</v>
      </c>
      <c r="AZ52" s="25" t="n">
        <v>49130.4</v>
      </c>
      <c r="BA52" s="25" t="n">
        <v>0</v>
      </c>
      <c r="BB52" s="25" t="n">
        <v>71703.83</v>
      </c>
      <c r="BC52" s="25" t="n">
        <v>68874.39</v>
      </c>
      <c r="BD52" s="25" t="n">
        <v>789.6</v>
      </c>
      <c r="BE52" s="25" t="n">
        <v>0</v>
      </c>
      <c r="BF52" s="25" t="n">
        <f aca="false">SUM(BE52,BC52,BA52,AY52,AW52,AU52,AS52,AQ52,AO52)</f>
        <v>21902776.68</v>
      </c>
      <c r="BG52" s="25" t="n">
        <v>17459.12</v>
      </c>
      <c r="BH52" s="25" t="n">
        <v>45891.39</v>
      </c>
      <c r="BI52" s="25" t="n">
        <v>60283.67</v>
      </c>
      <c r="BJ52" s="25" t="n">
        <v>56339.88</v>
      </c>
      <c r="BK52" s="25" t="n">
        <v>43842.67</v>
      </c>
      <c r="BL52" s="25" t="n">
        <v>40974.45</v>
      </c>
      <c r="BM52" s="25" t="n">
        <v>245518.93</v>
      </c>
      <c r="BN52" s="25" t="n">
        <v>229456.95</v>
      </c>
      <c r="BO52" s="25" t="n">
        <v>76554.55</v>
      </c>
      <c r="BP52" s="25" t="n">
        <v>131168.22</v>
      </c>
      <c r="BQ52" s="25" t="n">
        <v>529320</v>
      </c>
      <c r="BR52" s="25" t="n">
        <v>494691.59</v>
      </c>
      <c r="BS52" s="25" t="n">
        <v>17644</v>
      </c>
      <c r="BT52" s="25" t="n">
        <v>19238.01</v>
      </c>
      <c r="BU52" s="25" t="n">
        <v>503586.6</v>
      </c>
      <c r="BV52" s="25" t="n">
        <v>470641.68</v>
      </c>
      <c r="BW52" s="25" t="n">
        <v>18413.92</v>
      </c>
      <c r="BX52" s="25" t="n">
        <v>35852.65</v>
      </c>
      <c r="BY52" s="25" t="n">
        <v>19485.63</v>
      </c>
      <c r="BZ52" s="25" t="n">
        <v>40974.45</v>
      </c>
      <c r="CA52" s="25" t="n">
        <v>76724.67</v>
      </c>
      <c r="CB52" s="25" t="n">
        <v>71705.3</v>
      </c>
      <c r="CC52" s="25" t="n">
        <v>197772.19</v>
      </c>
      <c r="CD52" s="25" t="n">
        <v>338862.01</v>
      </c>
      <c r="CE52" s="25" t="n">
        <v>64459.08</v>
      </c>
      <c r="CF52" s="25" t="n">
        <v>60242.13</v>
      </c>
      <c r="CG52" s="25" t="n">
        <f aca="false">SUM(CF52,CD52,CB52,BZ52,BX52,BV52,BT52,BR52,BP52,BN52,BL52,BJ52,BH52)</f>
        <v>2036038.71</v>
      </c>
      <c r="CH52" s="25" t="n">
        <f aca="false">CG52+BF52</f>
        <v>23938815.39</v>
      </c>
      <c r="CI52" s="25" t="n">
        <f aca="false">SUM(CE52,CC52,CA52,BY52,BW52,BU52,BS52,BQ52,BO52,BM52,BK52,BI52,BG52,BD52,BB52,AZ52,AX52,AV52,AT52,AR52,AP52,AN52)</f>
        <v>25381029.04</v>
      </c>
      <c r="CJ52" s="25" t="n">
        <f aca="false">CI52-CH52</f>
        <v>1442213.64999999</v>
      </c>
      <c r="CK52" s="25" t="str">
        <f aca="false">IF(CE52-CF52+CC52-CD52+CA52-CB52+BU52-BV52+BK52-BL52+BI52-BJ52 &gt; 0, CE52-CF52+CC52-CD52+CA52-CB52+BU52-BV52+BK52-BL52+BI52-BJ52, "-")</f>
        <v>-</v>
      </c>
      <c r="CL52" s="26" t="str">
        <f aca="false">IF(CJ52&lt;0,"⚠ Over Budget","✓ Within Budget")</f>
        <v>✓ Within Budget</v>
      </c>
      <c r="CM52" s="27"/>
    </row>
    <row r="53" customFormat="false" ht="18.75" hidden="false" customHeight="true" outlineLevel="0" collapsed="false">
      <c r="A53" s="28" t="s">
        <v>94</v>
      </c>
      <c r="B53" s="28" t="n">
        <v>2026</v>
      </c>
      <c r="C53" s="28" t="n">
        <v>65</v>
      </c>
      <c r="D53" s="28" t="n">
        <v>1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1</v>
      </c>
      <c r="J53" s="28" t="n">
        <v>1</v>
      </c>
      <c r="K53" s="28" t="n">
        <v>1</v>
      </c>
      <c r="L53" s="28" t="n">
        <v>0</v>
      </c>
      <c r="M53" s="28" t="n">
        <v>0</v>
      </c>
      <c r="N53" s="28" t="n">
        <v>0</v>
      </c>
      <c r="O53" s="28" t="n">
        <v>0</v>
      </c>
      <c r="P53" s="28" t="n">
        <v>1</v>
      </c>
      <c r="Q53" s="28" t="n">
        <v>1</v>
      </c>
      <c r="R53" s="28" t="n">
        <v>0</v>
      </c>
      <c r="S53" s="28" t="n">
        <v>65</v>
      </c>
      <c r="T53" s="28" t="n">
        <v>30</v>
      </c>
      <c r="U53" s="28" t="n">
        <v>35</v>
      </c>
      <c r="V53" s="28" t="n">
        <v>62</v>
      </c>
      <c r="W53" s="28" t="n">
        <v>3</v>
      </c>
      <c r="X53" s="28" t="n">
        <v>8</v>
      </c>
      <c r="Y53" s="28" t="n">
        <v>18</v>
      </c>
      <c r="Z53" s="28" t="n">
        <v>22</v>
      </c>
      <c r="AA53" s="28" t="n">
        <v>12</v>
      </c>
      <c r="AB53" s="28" t="n">
        <v>4</v>
      </c>
      <c r="AC53" s="28" t="n">
        <v>1</v>
      </c>
      <c r="AD53" s="29" t="n">
        <v>0.184615</v>
      </c>
      <c r="AE53" s="29" t="n">
        <v>0</v>
      </c>
      <c r="AF53" s="30" t="n">
        <v>61.2</v>
      </c>
      <c r="AG53" s="31" t="n">
        <v>875428</v>
      </c>
      <c r="AH53" s="31" t="n">
        <v>1381287</v>
      </c>
      <c r="AI53" s="31" t="n">
        <v>2050891</v>
      </c>
      <c r="AJ53" s="31" t="n">
        <v>3102080</v>
      </c>
      <c r="AK53" s="31" t="n">
        <v>4894930</v>
      </c>
      <c r="AL53" s="31" t="n">
        <v>8208487</v>
      </c>
      <c r="AM53" s="31" t="n">
        <v>2754975.68</v>
      </c>
      <c r="AN53" s="31" t="n">
        <v>19897811.88</v>
      </c>
      <c r="AO53" s="31" t="n">
        <v>20752090.77</v>
      </c>
      <c r="AP53" s="31" t="n">
        <v>1989781.19</v>
      </c>
      <c r="AQ53" s="31" t="n">
        <v>1859608.59</v>
      </c>
      <c r="AR53" s="31" t="n">
        <v>90444.6</v>
      </c>
      <c r="AS53" s="31" t="n">
        <v>2156004.9</v>
      </c>
      <c r="AT53" s="31" t="n">
        <v>994890.59</v>
      </c>
      <c r="AU53" s="31" t="n">
        <v>929804.29</v>
      </c>
      <c r="AV53" s="31" t="n">
        <v>95066.34</v>
      </c>
      <c r="AW53" s="31" t="n">
        <v>91068.22</v>
      </c>
      <c r="AX53" s="31" t="n">
        <v>64962</v>
      </c>
      <c r="AY53" s="31" t="n">
        <v>60712.15</v>
      </c>
      <c r="AZ53" s="31" t="n">
        <v>670255.12</v>
      </c>
      <c r="BA53" s="31" t="n">
        <v>401291.76</v>
      </c>
      <c r="BB53" s="31" t="n">
        <v>3983.55</v>
      </c>
      <c r="BC53" s="31" t="n">
        <v>0</v>
      </c>
      <c r="BD53" s="31" t="n">
        <v>789.6</v>
      </c>
      <c r="BE53" s="31" t="n">
        <v>0</v>
      </c>
      <c r="BF53" s="31" t="n">
        <f aca="false">SUM(BE53,BC53,BA53,AY53,AW53,AU53,AS53,AQ53,AO53)</f>
        <v>26250580.68</v>
      </c>
      <c r="BG53" s="31" t="n">
        <v>17246.21</v>
      </c>
      <c r="BH53" s="31" t="n">
        <v>45331.74</v>
      </c>
      <c r="BI53" s="31" t="n">
        <v>59548.5</v>
      </c>
      <c r="BJ53" s="31" t="n">
        <v>55652.8</v>
      </c>
      <c r="BK53" s="31" t="n">
        <v>43308</v>
      </c>
      <c r="BL53" s="31" t="n">
        <v>40474.77</v>
      </c>
      <c r="BM53" s="31" t="n">
        <v>242524.8</v>
      </c>
      <c r="BN53" s="31" t="n">
        <v>226658.69</v>
      </c>
      <c r="BO53" s="31" t="n">
        <v>3645.45</v>
      </c>
      <c r="BP53" s="31" t="n">
        <v>0</v>
      </c>
      <c r="BQ53" s="31" t="n">
        <v>517290</v>
      </c>
      <c r="BR53" s="31" t="n">
        <v>483448.6</v>
      </c>
      <c r="BS53" s="31" t="n">
        <v>19158.89</v>
      </c>
      <c r="BT53" s="31" t="n">
        <v>18800.78</v>
      </c>
      <c r="BU53" s="31" t="n">
        <v>497445.3</v>
      </c>
      <c r="BV53" s="31" t="n">
        <v>464902.15</v>
      </c>
      <c r="BW53" s="31" t="n">
        <v>18189.36</v>
      </c>
      <c r="BX53" s="31" t="n">
        <v>35415.42</v>
      </c>
      <c r="BY53" s="31" t="n">
        <v>134110.66</v>
      </c>
      <c r="BZ53" s="31" t="n">
        <v>117503.5</v>
      </c>
      <c r="CA53" s="31" t="n">
        <v>75789</v>
      </c>
      <c r="CB53" s="31" t="n">
        <v>70830.84</v>
      </c>
      <c r="CC53" s="31" t="n">
        <v>2861604.54</v>
      </c>
      <c r="CD53" s="31" t="n">
        <v>3855285.35</v>
      </c>
      <c r="CE53" s="31" t="n">
        <v>63673</v>
      </c>
      <c r="CF53" s="31" t="n">
        <v>59507.47</v>
      </c>
      <c r="CG53" s="31" t="n">
        <f aca="false">SUM(CF53,CD53,CB53,BZ53,BX53,BV53,BT53,BR53,BP53,BN53,BL53,BJ53,BH53)</f>
        <v>5473812.11</v>
      </c>
      <c r="CH53" s="31" t="n">
        <f aca="false">CG53+BF53</f>
        <v>31724392.79</v>
      </c>
      <c r="CI53" s="31" t="n">
        <f aca="false">SUM(CE53,CC53,CA53,BY53,BW53,BU53,BS53,BQ53,BO53,BM53,BK53,BI53,BG53,BD53,BB53,AZ53,AX53,AV53,AT53,AR53,AP53,AN53)</f>
        <v>28361518.58</v>
      </c>
      <c r="CJ53" s="31" t="n">
        <f aca="false">CI53-CH53</f>
        <v>-3362874.21</v>
      </c>
      <c r="CK53" s="31" t="str">
        <f aca="false">IF(CE53-CF53+CC53-CD53+CA53-CB53+BU53-BV53+BK53-BL53+BI53-BJ53 &gt; 0, CE53-CF53+CC53-CD53+CA53-CB53+BU53-BV53+BK53-BL53+BI53-BJ53, "-")</f>
        <v>-</v>
      </c>
      <c r="CL53" s="32" t="str">
        <f aca="false">IF(CJ53&lt;0,"⚠ Over Budget","✓ Within Budget")</f>
        <v>⚠ Over Budget</v>
      </c>
      <c r="CM53" s="33" t="s">
        <v>112</v>
      </c>
    </row>
    <row r="54" customFormat="false" ht="14.25" hidden="false" customHeight="false" outlineLevel="0" collapsed="false">
      <c r="A54" s="22" t="s">
        <v>96</v>
      </c>
      <c r="B54" s="22" t="n">
        <v>2026</v>
      </c>
      <c r="C54" s="22" t="n">
        <v>65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1</v>
      </c>
      <c r="S54" s="22" t="n">
        <v>64</v>
      </c>
      <c r="T54" s="22" t="n">
        <v>30</v>
      </c>
      <c r="U54" s="22" t="n">
        <v>34</v>
      </c>
      <c r="V54" s="22" t="n">
        <v>61</v>
      </c>
      <c r="W54" s="22" t="n">
        <v>3</v>
      </c>
      <c r="X54" s="22" t="n">
        <v>8</v>
      </c>
      <c r="Y54" s="22" t="n">
        <v>18</v>
      </c>
      <c r="Z54" s="22" t="n">
        <v>22</v>
      </c>
      <c r="AA54" s="22" t="n">
        <v>12</v>
      </c>
      <c r="AB54" s="22" t="n">
        <v>4</v>
      </c>
      <c r="AC54" s="22" t="n">
        <v>1</v>
      </c>
      <c r="AD54" s="23" t="n">
        <v>0</v>
      </c>
      <c r="AE54" s="23" t="n">
        <v>0.0982475582492741</v>
      </c>
      <c r="AF54" s="24" t="n">
        <v>61.5</v>
      </c>
      <c r="AG54" s="25" t="n">
        <v>974887</v>
      </c>
      <c r="AH54" s="25" t="n">
        <v>1538328</v>
      </c>
      <c r="AI54" s="25" t="n">
        <v>2239873</v>
      </c>
      <c r="AJ54" s="25" t="n">
        <v>3371704</v>
      </c>
      <c r="AK54" s="25" t="n">
        <v>5256223</v>
      </c>
      <c r="AL54" s="25" t="n">
        <v>8773476</v>
      </c>
      <c r="AM54" s="25" t="n">
        <v>3006906.27</v>
      </c>
      <c r="AN54" s="25" t="n">
        <v>21717380.54</v>
      </c>
      <c r="AO54" s="25" t="n">
        <v>20296617.32</v>
      </c>
      <c r="AP54" s="25" t="n">
        <v>2171738.05</v>
      </c>
      <c r="AQ54" s="25" t="n">
        <v>2029661.73</v>
      </c>
      <c r="AR54" s="25" t="n">
        <v>1105612.1</v>
      </c>
      <c r="AS54" s="25" t="n">
        <v>1420763.21</v>
      </c>
      <c r="AT54" s="25" t="n">
        <v>1085869.03</v>
      </c>
      <c r="AU54" s="25" t="n">
        <v>1014830.87</v>
      </c>
      <c r="AV54" s="25" t="n">
        <v>114079.61</v>
      </c>
      <c r="AW54" s="25" t="n">
        <v>91068.22</v>
      </c>
      <c r="AX54" s="25" t="n">
        <v>64962</v>
      </c>
      <c r="AY54" s="25" t="n">
        <v>60712.15</v>
      </c>
      <c r="AZ54" s="25" t="n">
        <v>1611289.31</v>
      </c>
      <c r="BA54" s="25" t="n">
        <v>771762.4</v>
      </c>
      <c r="BB54" s="25" t="n">
        <v>4347.82</v>
      </c>
      <c r="BC54" s="25" t="n">
        <v>0</v>
      </c>
      <c r="BD54" s="25" t="n">
        <v>287.27</v>
      </c>
      <c r="BE54" s="25" t="n">
        <v>0</v>
      </c>
      <c r="BF54" s="25" t="n">
        <f aca="false">SUM(BE54,BC54,BA54,AY54,AW54,AU54,AS54,AQ54,AO54)</f>
        <v>25685415.9</v>
      </c>
      <c r="BG54" s="25" t="n">
        <v>298113.02</v>
      </c>
      <c r="BH54" s="25" t="n">
        <v>142471.18</v>
      </c>
      <c r="BI54" s="25" t="n">
        <v>59548.5</v>
      </c>
      <c r="BJ54" s="25" t="n">
        <v>55652.8</v>
      </c>
      <c r="BK54" s="25" t="n">
        <v>43308</v>
      </c>
      <c r="BL54" s="25" t="n">
        <v>40474.77</v>
      </c>
      <c r="BM54" s="25" t="n">
        <v>242524.8</v>
      </c>
      <c r="BN54" s="25" t="n">
        <v>226658.69</v>
      </c>
      <c r="BO54" s="25" t="n">
        <v>18227.27</v>
      </c>
      <c r="BP54" s="25" t="n">
        <v>0</v>
      </c>
      <c r="BQ54" s="25" t="n">
        <v>517290</v>
      </c>
      <c r="BR54" s="25" t="n">
        <v>483448.6</v>
      </c>
      <c r="BS54" s="25" t="n">
        <v>19158.89</v>
      </c>
      <c r="BT54" s="25" t="n">
        <v>18800.78</v>
      </c>
      <c r="BU54" s="25" t="n">
        <v>542934.51</v>
      </c>
      <c r="BV54" s="25" t="n">
        <v>507415.43</v>
      </c>
      <c r="BW54" s="25" t="n">
        <v>72757.44</v>
      </c>
      <c r="BX54" s="25" t="n">
        <v>35415.42</v>
      </c>
      <c r="BY54" s="25" t="n">
        <v>19248</v>
      </c>
      <c r="BZ54" s="25" t="n">
        <v>40474.77</v>
      </c>
      <c r="CA54" s="25" t="n">
        <v>75789</v>
      </c>
      <c r="CB54" s="25" t="n">
        <v>70830.84</v>
      </c>
      <c r="CC54" s="25" t="n">
        <v>3215879.73</v>
      </c>
      <c r="CD54" s="25" t="n">
        <v>1102014.86</v>
      </c>
      <c r="CE54" s="25" t="n">
        <v>69495.62</v>
      </c>
      <c r="CF54" s="25" t="n">
        <v>64949.18</v>
      </c>
      <c r="CG54" s="25" t="n">
        <f aca="false">SUM(CF54,CD54,CB54,BZ54,BX54,BV54,BT54,BR54,BP54,BN54,BL54,BJ54,BH54)</f>
        <v>2788607.32</v>
      </c>
      <c r="CH54" s="25" t="n">
        <f aca="false">CG54+BF54</f>
        <v>28474023.22</v>
      </c>
      <c r="CI54" s="25" t="n">
        <f aca="false">SUM(CE54,CC54,CA54,BY54,BW54,BU54,BS54,BQ54,BO54,BM54,BK54,BI54,BG54,BD54,BB54,AZ54,AX54,AV54,AT54,AR54,AP54,AN54)</f>
        <v>33069840.51</v>
      </c>
      <c r="CJ54" s="25" t="n">
        <f aca="false">CI54-CH54</f>
        <v>4595817.29</v>
      </c>
      <c r="CK54" s="25" t="n">
        <f aca="false">IF(CE54-CF54+CC54-CD54+CA54-CB54+BU54-BV54+BK54-BL54+BI54-BJ54 &gt; 0, CE54-CF54+CC54-CD54+CA54-CB54+BU54-BV54+BK54-BL54+BI54-BJ54, "-")</f>
        <v>2165617.48</v>
      </c>
      <c r="CL54" s="26" t="str">
        <f aca="false">IF(CJ54&lt;0,"⚠ Over Budget","✓ Within Budget")</f>
        <v>✓ Within Budget</v>
      </c>
      <c r="CM54" s="27"/>
    </row>
    <row r="55" customFormat="false" ht="14.25" hidden="false" customHeight="false" outlineLevel="0" collapsed="false">
      <c r="A55" s="16" t="s">
        <v>98</v>
      </c>
      <c r="B55" s="16" t="n">
        <v>2026</v>
      </c>
      <c r="C55" s="16" t="n">
        <v>64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64</v>
      </c>
      <c r="T55" s="16" t="n">
        <v>30</v>
      </c>
      <c r="U55" s="16" t="n">
        <v>34</v>
      </c>
      <c r="V55" s="16" t="n">
        <v>61</v>
      </c>
      <c r="W55" s="16" t="n">
        <v>3</v>
      </c>
      <c r="X55" s="16" t="n">
        <v>8</v>
      </c>
      <c r="Y55" s="16" t="n">
        <v>18</v>
      </c>
      <c r="Z55" s="16" t="n">
        <v>22</v>
      </c>
      <c r="AA55" s="16" t="n">
        <v>12</v>
      </c>
      <c r="AB55" s="16" t="n">
        <v>4</v>
      </c>
      <c r="AC55" s="16" t="n">
        <v>1</v>
      </c>
      <c r="AD55" s="17" t="n">
        <v>0</v>
      </c>
      <c r="AE55" s="17" t="n">
        <v>0</v>
      </c>
      <c r="AF55" s="18" t="n">
        <v>61.8</v>
      </c>
      <c r="AG55" s="19" t="n">
        <v>974887</v>
      </c>
      <c r="AH55" s="19" t="n">
        <v>1538328</v>
      </c>
      <c r="AI55" s="19" t="n">
        <v>2239873</v>
      </c>
      <c r="AJ55" s="19" t="n">
        <v>3371704</v>
      </c>
      <c r="AK55" s="19" t="n">
        <v>5256223</v>
      </c>
      <c r="AL55" s="19" t="n">
        <v>8773476</v>
      </c>
      <c r="AM55" s="19" t="n">
        <v>3006906.27</v>
      </c>
      <c r="AN55" s="19" t="n">
        <v>21717380.54</v>
      </c>
      <c r="AO55" s="19" t="n">
        <v>20296617.32</v>
      </c>
      <c r="AP55" s="19" t="n">
        <v>2171738.05</v>
      </c>
      <c r="AQ55" s="19" t="n">
        <v>2029661.73</v>
      </c>
      <c r="AR55" s="19" t="n">
        <v>78972.29</v>
      </c>
      <c r="AS55" s="19" t="n">
        <v>0</v>
      </c>
      <c r="AT55" s="19" t="n">
        <v>1085869.03</v>
      </c>
      <c r="AU55" s="19" t="n">
        <v>1014830.87</v>
      </c>
      <c r="AV55" s="19" t="n">
        <v>123586.24</v>
      </c>
      <c r="AW55" s="19" t="n">
        <v>91068.22</v>
      </c>
      <c r="AX55" s="19" t="n">
        <v>64962</v>
      </c>
      <c r="AY55" s="19" t="n">
        <v>60712.15</v>
      </c>
      <c r="AZ55" s="19" t="n">
        <v>63563.06</v>
      </c>
      <c r="BA55" s="19" t="n">
        <v>0</v>
      </c>
      <c r="BB55" s="19" t="n">
        <v>1739.13</v>
      </c>
      <c r="BC55" s="19" t="n">
        <v>0</v>
      </c>
      <c r="BD55" s="19" t="n">
        <v>287.27</v>
      </c>
      <c r="BE55" s="19" t="n">
        <v>0</v>
      </c>
      <c r="BF55" s="19" t="n">
        <f aca="false">SUM(BE55,BC55,BA55,AY55,AW55,AU55,AS55,AQ55,AO55)</f>
        <v>23492890.29</v>
      </c>
      <c r="BG55" s="19" t="n">
        <v>199563.26</v>
      </c>
      <c r="BH55" s="19" t="n">
        <v>116567.33</v>
      </c>
      <c r="BI55" s="19" t="n">
        <v>59548.5</v>
      </c>
      <c r="BJ55" s="19" t="n">
        <v>55652.8</v>
      </c>
      <c r="BK55" s="19" t="n">
        <v>43308</v>
      </c>
      <c r="BL55" s="19" t="n">
        <v>40474.77</v>
      </c>
      <c r="BM55" s="19" t="n">
        <v>242524.8</v>
      </c>
      <c r="BN55" s="19" t="n">
        <v>226658.69</v>
      </c>
      <c r="BO55" s="19" t="n">
        <v>7290.91</v>
      </c>
      <c r="BP55" s="19" t="n">
        <v>0</v>
      </c>
      <c r="BQ55" s="19" t="n">
        <v>517290</v>
      </c>
      <c r="BR55" s="19" t="n">
        <v>483448.6</v>
      </c>
      <c r="BS55" s="19" t="n">
        <v>21074.78</v>
      </c>
      <c r="BT55" s="19" t="n">
        <v>18800.78</v>
      </c>
      <c r="BU55" s="19" t="n">
        <v>542934.51</v>
      </c>
      <c r="BV55" s="19" t="n">
        <v>507415.43</v>
      </c>
      <c r="BW55" s="19" t="n">
        <v>54568.08</v>
      </c>
      <c r="BX55" s="19" t="n">
        <v>35415.42</v>
      </c>
      <c r="BY55" s="19" t="n">
        <v>19248</v>
      </c>
      <c r="BZ55" s="19" t="n">
        <v>40474.77</v>
      </c>
      <c r="CA55" s="19" t="n">
        <v>75789</v>
      </c>
      <c r="CB55" s="19" t="n">
        <v>70830.84</v>
      </c>
      <c r="CC55" s="19" t="n">
        <v>341160.31</v>
      </c>
      <c r="CD55" s="19" t="n">
        <v>365339.11</v>
      </c>
      <c r="CE55" s="19" t="n">
        <v>69495.62</v>
      </c>
      <c r="CF55" s="19" t="n">
        <v>64949.18</v>
      </c>
      <c r="CG55" s="19" t="n">
        <f aca="false">SUM(CF55,CD55,CB55,BZ55,BX55,BV55,BT55,BR55,BP55,BN55,BL55,BJ55,BH55)</f>
        <v>2026027.72</v>
      </c>
      <c r="CH55" s="19" t="n">
        <f aca="false">CG55+BF55</f>
        <v>25518918.01</v>
      </c>
      <c r="CI55" s="19" t="n">
        <f aca="false">SUM(CE55,CC55,CA55,BY55,BW55,BU55,BS55,BQ55,BO55,BM55,BK55,BI55,BG55,BD55,BB55,AZ55,AX55,AV55,AT55,AR55,AP55,AN55)</f>
        <v>27501893.38</v>
      </c>
      <c r="CJ55" s="19" t="n">
        <f aca="false">CI55-CH55</f>
        <v>1982975.37</v>
      </c>
      <c r="CK55" s="19" t="n">
        <f aca="false">IF(CE55-CF55+CC55-CD55+CA55-CB55+BU55-BV55+BK55-BL55+BI55-BJ55 &gt; 0, CE55-CF55+CC55-CD55+CA55-CB55+BU55-BV55+BK55-BL55+BI55-BJ55, "-")</f>
        <v>27573.8100000001</v>
      </c>
      <c r="CL55" s="20" t="str">
        <f aca="false">IF(CJ55&lt;0,"⚠ Over Budget","✓ Within Budget")</f>
        <v>✓ Within Budget</v>
      </c>
      <c r="CM55" s="21"/>
    </row>
    <row r="56" customFormat="false" ht="18.75" hidden="false" customHeight="true" outlineLevel="0" collapsed="false">
      <c r="A56" s="28" t="s">
        <v>99</v>
      </c>
      <c r="B56" s="28" t="n">
        <v>2026</v>
      </c>
      <c r="C56" s="28" t="n">
        <v>64</v>
      </c>
      <c r="D56" s="28" t="n">
        <v>0</v>
      </c>
      <c r="E56" s="28" t="n">
        <v>0</v>
      </c>
      <c r="F56" s="28" t="n">
        <v>0</v>
      </c>
      <c r="G56" s="28" t="n">
        <v>0</v>
      </c>
      <c r="H56" s="28" t="n">
        <v>0</v>
      </c>
      <c r="I56" s="28" t="n">
        <v>0</v>
      </c>
      <c r="J56" s="28" t="n">
        <v>0</v>
      </c>
      <c r="K56" s="28" t="n">
        <v>0</v>
      </c>
      <c r="L56" s="28" t="n">
        <v>1</v>
      </c>
      <c r="M56" s="28" t="n">
        <v>1</v>
      </c>
      <c r="N56" s="28" t="n">
        <v>0</v>
      </c>
      <c r="O56" s="28" t="n">
        <v>0</v>
      </c>
      <c r="P56" s="28" t="n">
        <v>0</v>
      </c>
      <c r="Q56" s="28" t="n">
        <v>2</v>
      </c>
      <c r="R56" s="28" t="n">
        <v>1</v>
      </c>
      <c r="S56" s="28" t="n">
        <v>61</v>
      </c>
      <c r="T56" s="28" t="n">
        <v>20</v>
      </c>
      <c r="U56" s="28" t="n">
        <v>41</v>
      </c>
      <c r="V56" s="28" t="n">
        <v>58</v>
      </c>
      <c r="W56" s="28" t="n">
        <v>3</v>
      </c>
      <c r="X56" s="28" t="n">
        <v>7</v>
      </c>
      <c r="Y56" s="28" t="n">
        <v>17</v>
      </c>
      <c r="Z56" s="28" t="n">
        <v>21</v>
      </c>
      <c r="AA56" s="28" t="n">
        <v>11</v>
      </c>
      <c r="AB56" s="28" t="n">
        <v>4</v>
      </c>
      <c r="AC56" s="28" t="n">
        <v>1</v>
      </c>
      <c r="AD56" s="29" t="n">
        <v>0.375</v>
      </c>
      <c r="AE56" s="29" t="n">
        <v>0</v>
      </c>
      <c r="AF56" s="30" t="n">
        <v>62.1</v>
      </c>
      <c r="AG56" s="31" t="n">
        <v>974887</v>
      </c>
      <c r="AH56" s="31" t="n">
        <v>1538328</v>
      </c>
      <c r="AI56" s="31" t="n">
        <v>2239873</v>
      </c>
      <c r="AJ56" s="31" t="n">
        <v>3371704</v>
      </c>
      <c r="AK56" s="31" t="n">
        <v>5256223</v>
      </c>
      <c r="AL56" s="31" t="n">
        <v>8773476</v>
      </c>
      <c r="AM56" s="31" t="n">
        <v>3006906.27</v>
      </c>
      <c r="AN56" s="31" t="n">
        <v>21717380.54</v>
      </c>
      <c r="AO56" s="31" t="n">
        <v>20296617.32</v>
      </c>
      <c r="AP56" s="31" t="n">
        <v>2171738.05</v>
      </c>
      <c r="AQ56" s="31" t="n">
        <v>2029661.73</v>
      </c>
      <c r="AR56" s="31" t="n">
        <v>78972.29</v>
      </c>
      <c r="AS56" s="31" t="n">
        <v>0</v>
      </c>
      <c r="AT56" s="31" t="n">
        <v>1085869.03</v>
      </c>
      <c r="AU56" s="31" t="n">
        <v>1014830.87</v>
      </c>
      <c r="AV56" s="31" t="n">
        <v>142599.51</v>
      </c>
      <c r="AW56" s="31" t="n">
        <v>91068.22</v>
      </c>
      <c r="AX56" s="31" t="n">
        <v>64962</v>
      </c>
      <c r="AY56" s="31" t="n">
        <v>60712.15</v>
      </c>
      <c r="AZ56" s="31" t="n">
        <v>63563.06</v>
      </c>
      <c r="BA56" s="31" t="n">
        <v>0</v>
      </c>
      <c r="BB56" s="31" t="n">
        <v>2608.69</v>
      </c>
      <c r="BC56" s="31" t="n">
        <v>0</v>
      </c>
      <c r="BD56" s="31" t="n">
        <v>574.53</v>
      </c>
      <c r="BE56" s="31" t="n">
        <v>0</v>
      </c>
      <c r="BF56" s="31" t="n">
        <f aca="false">SUM(BE56,BC56,BA56,AY56,AW56,AU56,AS56,AQ56,AO56)</f>
        <v>23492890.29</v>
      </c>
      <c r="BG56" s="31" t="n">
        <v>34492.42</v>
      </c>
      <c r="BH56" s="31" t="n">
        <v>45331.74</v>
      </c>
      <c r="BI56" s="31" t="n">
        <v>59548.5</v>
      </c>
      <c r="BJ56" s="31" t="n">
        <v>55652.8</v>
      </c>
      <c r="BK56" s="31" t="n">
        <v>43308</v>
      </c>
      <c r="BL56" s="31" t="n">
        <v>40474.77</v>
      </c>
      <c r="BM56" s="31" t="n">
        <v>242524.8</v>
      </c>
      <c r="BN56" s="31" t="n">
        <v>226658.69</v>
      </c>
      <c r="BO56" s="31" t="n">
        <v>3645.45</v>
      </c>
      <c r="BP56" s="31" t="n">
        <v>0</v>
      </c>
      <c r="BQ56" s="31" t="n">
        <v>649620</v>
      </c>
      <c r="BR56" s="31" t="n">
        <v>4229545.81</v>
      </c>
      <c r="BS56" s="31" t="n">
        <v>31278</v>
      </c>
      <c r="BT56" s="31" t="n">
        <v>1576077.84</v>
      </c>
      <c r="BU56" s="31" t="n">
        <v>542934.51</v>
      </c>
      <c r="BV56" s="31" t="n">
        <v>507415.43</v>
      </c>
      <c r="BW56" s="31" t="n">
        <v>36378.72</v>
      </c>
      <c r="BX56" s="31" t="n">
        <v>35415.42</v>
      </c>
      <c r="BY56" s="31" t="n">
        <v>549019.86</v>
      </c>
      <c r="BZ56" s="31" t="n">
        <v>230896.2</v>
      </c>
      <c r="CA56" s="31" t="n">
        <v>75789</v>
      </c>
      <c r="CB56" s="31" t="n">
        <v>70830.84</v>
      </c>
      <c r="CC56" s="31" t="n">
        <v>213225.19</v>
      </c>
      <c r="CD56" s="31" t="n">
        <v>365339.11</v>
      </c>
      <c r="CE56" s="31" t="n">
        <v>69495.62</v>
      </c>
      <c r="CF56" s="31" t="n">
        <v>64949.18</v>
      </c>
      <c r="CG56" s="31" t="n">
        <f aca="false">SUM(CF56,CD56,CB56,BZ56,BX56,BV56,BT56,BR56,BP56,BN56,BL56,BJ56,BH56)</f>
        <v>7448587.83</v>
      </c>
      <c r="CH56" s="31" t="n">
        <f aca="false">CG56+BF56</f>
        <v>30941478.12</v>
      </c>
      <c r="CI56" s="31" t="n">
        <f aca="false">SUM(CE56,CC56,CA56,BY56,BW56,BU56,BS56,BQ56,BO56,BM56,BK56,BI56,BG56,BD56,BB56,AZ56,AX56,AV56,AT56,AR56,AP56,AN56)</f>
        <v>27879527.77</v>
      </c>
      <c r="CJ56" s="31" t="n">
        <f aca="false">CI56-CH56</f>
        <v>-3061950.35</v>
      </c>
      <c r="CK56" s="31" t="str">
        <f aca="false">IF(CE56-CF56+CC56-CD56+CA56-CB56+BU56-BV56+BK56-BL56+BI56-BJ56 &gt; 0, CE56-CF56+CC56-CD56+CA56-CB56+BU56-BV56+BK56-BL56+BI56-BJ56, "-")</f>
        <v>-</v>
      </c>
      <c r="CL56" s="32" t="str">
        <f aca="false">IF(CJ56&lt;0,"⚠ Over Budget","✓ Within Budget")</f>
        <v>⚠ Over Budget</v>
      </c>
      <c r="CM56" s="33" t="s">
        <v>108</v>
      </c>
    </row>
    <row r="57" customFormat="false" ht="14.25" hidden="false" customHeight="false" outlineLevel="0" collapsed="false">
      <c r="A57" s="16" t="s">
        <v>100</v>
      </c>
      <c r="B57" s="16" t="n">
        <v>2026</v>
      </c>
      <c r="C57" s="16" t="n">
        <v>61</v>
      </c>
      <c r="D57" s="16" t="n">
        <v>1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1</v>
      </c>
      <c r="J57" s="16" t="n">
        <v>1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62</v>
      </c>
      <c r="T57" s="16" t="n">
        <v>31</v>
      </c>
      <c r="U57" s="16" t="n">
        <v>31</v>
      </c>
      <c r="V57" s="16" t="n">
        <v>59</v>
      </c>
      <c r="W57" s="16" t="n">
        <v>3</v>
      </c>
      <c r="X57" s="16" t="n">
        <v>7</v>
      </c>
      <c r="Y57" s="16" t="n">
        <v>17</v>
      </c>
      <c r="Z57" s="16" t="n">
        <v>21</v>
      </c>
      <c r="AA57" s="16" t="n">
        <v>11</v>
      </c>
      <c r="AB57" s="16" t="n">
        <v>4</v>
      </c>
      <c r="AC57" s="16" t="n">
        <v>2</v>
      </c>
      <c r="AD57" s="17" t="n">
        <v>0</v>
      </c>
      <c r="AE57" s="17" t="n">
        <v>0</v>
      </c>
      <c r="AF57" s="18" t="n">
        <v>62.3</v>
      </c>
      <c r="AG57" s="19" t="n">
        <v>974887</v>
      </c>
      <c r="AH57" s="19" t="n">
        <v>1538328</v>
      </c>
      <c r="AI57" s="19" t="n">
        <v>2239873</v>
      </c>
      <c r="AJ57" s="19" t="n">
        <v>3371704</v>
      </c>
      <c r="AK57" s="19" t="n">
        <v>5256223</v>
      </c>
      <c r="AL57" s="19" t="n">
        <v>8773476</v>
      </c>
      <c r="AM57" s="19" t="n">
        <v>3006906.27</v>
      </c>
      <c r="AN57" s="19" t="n">
        <v>21449264.73</v>
      </c>
      <c r="AO57" s="19" t="n">
        <v>20046041.8</v>
      </c>
      <c r="AP57" s="19" t="n">
        <v>2144926.47</v>
      </c>
      <c r="AQ57" s="19" t="n">
        <v>2004604.18</v>
      </c>
      <c r="AR57" s="19" t="n">
        <v>77997.33</v>
      </c>
      <c r="AS57" s="19" t="n">
        <v>0</v>
      </c>
      <c r="AT57" s="19" t="n">
        <v>1072463.24</v>
      </c>
      <c r="AU57" s="19" t="n">
        <v>1002302.09</v>
      </c>
      <c r="AV57" s="19" t="n">
        <v>112671.22</v>
      </c>
      <c r="AW57" s="19" t="n">
        <v>89943.93</v>
      </c>
      <c r="AX57" s="19" t="n">
        <v>64160</v>
      </c>
      <c r="AY57" s="19" t="n">
        <v>59962.62</v>
      </c>
      <c r="AZ57" s="19" t="n">
        <v>52315.28</v>
      </c>
      <c r="BA57" s="19" t="n">
        <v>0</v>
      </c>
      <c r="BB57" s="19" t="n">
        <v>4347.82</v>
      </c>
      <c r="BC57" s="19" t="n">
        <v>0</v>
      </c>
      <c r="BD57" s="19" t="n">
        <v>258540.24</v>
      </c>
      <c r="BE57" s="19" t="n">
        <v>150345.31</v>
      </c>
      <c r="BF57" s="19" t="n">
        <f aca="false">SUM(BE57,BC57,BA57,AY57,AW57,AU57,AS57,AQ57,AO57)</f>
        <v>23353199.93</v>
      </c>
      <c r="BG57" s="19" t="n">
        <v>25549.94</v>
      </c>
      <c r="BH57" s="19" t="n">
        <v>44772.09</v>
      </c>
      <c r="BI57" s="19" t="n">
        <v>58813.33</v>
      </c>
      <c r="BJ57" s="19" t="n">
        <v>54965.73</v>
      </c>
      <c r="BK57" s="19" t="n">
        <v>42773.33</v>
      </c>
      <c r="BL57" s="19" t="n">
        <v>39975.08</v>
      </c>
      <c r="BM57" s="19" t="n">
        <v>239530.67</v>
      </c>
      <c r="BN57" s="19" t="n">
        <v>223860.44</v>
      </c>
      <c r="BO57" s="19" t="n">
        <v>18227.27</v>
      </c>
      <c r="BP57" s="19" t="n">
        <v>0</v>
      </c>
      <c r="BQ57" s="19" t="n">
        <v>481200</v>
      </c>
      <c r="BR57" s="19" t="n">
        <v>449719.63</v>
      </c>
      <c r="BS57" s="19" t="n">
        <v>23168.89</v>
      </c>
      <c r="BT57" s="19" t="n">
        <v>17489.1</v>
      </c>
      <c r="BU57" s="19" t="n">
        <v>536231.62</v>
      </c>
      <c r="BV57" s="19" t="n">
        <v>501151.05</v>
      </c>
      <c r="BW57" s="19" t="n">
        <v>17964.8</v>
      </c>
      <c r="BX57" s="19" t="n">
        <v>34978.19</v>
      </c>
      <c r="BY57" s="19" t="n">
        <v>19010.37</v>
      </c>
      <c r="BZ57" s="19" t="n">
        <v>39975.08</v>
      </c>
      <c r="CA57" s="19" t="n">
        <v>74853.33</v>
      </c>
      <c r="CB57" s="19" t="n">
        <v>69956.39</v>
      </c>
      <c r="CC57" s="19" t="n">
        <v>210592.78</v>
      </c>
      <c r="CD57" s="19" t="n">
        <v>360828.75</v>
      </c>
      <c r="CE57" s="19" t="n">
        <v>68637.65</v>
      </c>
      <c r="CF57" s="19" t="n">
        <v>64147.33</v>
      </c>
      <c r="CG57" s="19" t="n">
        <f aca="false">SUM(CF57,CD57,CB57,BZ57,BX57,BV57,BT57,BR57,BP57,BN57,BL57,BJ57,BH57)</f>
        <v>1901818.86</v>
      </c>
      <c r="CH57" s="19" t="n">
        <f aca="false">CG57+BF57</f>
        <v>25255018.79</v>
      </c>
      <c r="CI57" s="19" t="n">
        <f aca="false">SUM(CE57,CC57,CA57,BY57,BW57,BU57,BS57,BQ57,BO57,BM57,BK57,BI57,BG57,BD57,BB57,AZ57,AX57,AV57,AT57,AR57,AP57,AN57)</f>
        <v>27053240.31</v>
      </c>
      <c r="CJ57" s="19" t="n">
        <f aca="false">CI57-CH57</f>
        <v>1798221.52</v>
      </c>
      <c r="CK57" s="19" t="str">
        <f aca="false">IF(CE57-CF57+CC57-CD57+CA57-CB57+BU57-BV57+BK57-BL57+BI57-BJ57 &gt; 0, CE57-CF57+CC57-CD57+CA57-CB57+BU57-BV57+BK57-BL57+BI57-BJ57, "-")</f>
        <v>-</v>
      </c>
      <c r="CL57" s="20" t="str">
        <f aca="false">IF(CJ57&lt;0,"⚠ Over Budget","✓ Within Budget")</f>
        <v>✓ Within Budget</v>
      </c>
      <c r="CM57" s="21"/>
    </row>
    <row r="58" customFormat="false" ht="14.25" hidden="false" customHeight="false" outlineLevel="0" collapsed="false">
      <c r="A58" s="22" t="s">
        <v>101</v>
      </c>
      <c r="B58" s="22" t="n">
        <v>2026</v>
      </c>
      <c r="C58" s="22" t="n">
        <v>62</v>
      </c>
      <c r="D58" s="22" t="n">
        <v>1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1</v>
      </c>
      <c r="J58" s="22" t="n">
        <v>1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63</v>
      </c>
      <c r="T58" s="22" t="n">
        <v>32</v>
      </c>
      <c r="U58" s="22" t="n">
        <v>31</v>
      </c>
      <c r="V58" s="22" t="n">
        <v>60</v>
      </c>
      <c r="W58" s="22" t="n">
        <v>3</v>
      </c>
      <c r="X58" s="22" t="n">
        <v>8</v>
      </c>
      <c r="Y58" s="22" t="n">
        <v>18</v>
      </c>
      <c r="Z58" s="22" t="n">
        <v>21</v>
      </c>
      <c r="AA58" s="22" t="n">
        <v>11</v>
      </c>
      <c r="AB58" s="22" t="n">
        <v>4</v>
      </c>
      <c r="AC58" s="22" t="n">
        <v>1</v>
      </c>
      <c r="AD58" s="23" t="n">
        <v>0</v>
      </c>
      <c r="AE58" s="23" t="n">
        <v>0</v>
      </c>
      <c r="AF58" s="24" t="n">
        <v>62.5</v>
      </c>
      <c r="AG58" s="25" t="n">
        <v>974887</v>
      </c>
      <c r="AH58" s="25" t="n">
        <v>1538328</v>
      </c>
      <c r="AI58" s="25" t="n">
        <v>2239873</v>
      </c>
      <c r="AJ58" s="25" t="n">
        <v>3371704</v>
      </c>
      <c r="AK58" s="25" t="n">
        <v>5256223</v>
      </c>
      <c r="AL58" s="25" t="n">
        <v>8773476</v>
      </c>
      <c r="AM58" s="25" t="n">
        <v>3006906.27</v>
      </c>
      <c r="AN58" s="25" t="n">
        <v>21449264.73</v>
      </c>
      <c r="AO58" s="25" t="n">
        <v>20046041.8</v>
      </c>
      <c r="AP58" s="25" t="n">
        <v>2144926.47</v>
      </c>
      <c r="AQ58" s="25" t="n">
        <v>2004604.18</v>
      </c>
      <c r="AR58" s="25" t="n">
        <v>77997.33</v>
      </c>
      <c r="AS58" s="25" t="n">
        <v>0</v>
      </c>
      <c r="AT58" s="25" t="n">
        <v>1072463.24</v>
      </c>
      <c r="AU58" s="25" t="n">
        <v>1002302.09</v>
      </c>
      <c r="AV58" s="25" t="n">
        <v>93892.68</v>
      </c>
      <c r="AW58" s="25" t="n">
        <v>89943.93</v>
      </c>
      <c r="AX58" s="25" t="n">
        <v>64160</v>
      </c>
      <c r="AY58" s="25" t="n">
        <v>59962.62</v>
      </c>
      <c r="AZ58" s="25" t="n">
        <v>52315.28</v>
      </c>
      <c r="BA58" s="25" t="n">
        <v>0</v>
      </c>
      <c r="BB58" s="25" t="n">
        <v>4347.82</v>
      </c>
      <c r="BC58" s="25" t="n">
        <v>0</v>
      </c>
      <c r="BD58" s="25" t="n">
        <v>861.8</v>
      </c>
      <c r="BE58" s="25" t="n">
        <v>0</v>
      </c>
      <c r="BF58" s="25" t="n">
        <f aca="false">SUM(BE58,BC58,BA58,AY58,AW58,AU58,AS58,AQ58,AO58)</f>
        <v>23202854.62</v>
      </c>
      <c r="BG58" s="25" t="n">
        <v>136874.67</v>
      </c>
      <c r="BH58" s="25" t="n">
        <v>95940.19</v>
      </c>
      <c r="BI58" s="25" t="n">
        <v>58813.33</v>
      </c>
      <c r="BJ58" s="25" t="n">
        <v>54965.73</v>
      </c>
      <c r="BK58" s="25" t="n">
        <v>42773.33</v>
      </c>
      <c r="BL58" s="25" t="n">
        <v>39975.08</v>
      </c>
      <c r="BM58" s="25" t="n">
        <v>239530.67</v>
      </c>
      <c r="BN58" s="25" t="n">
        <v>223860.44</v>
      </c>
      <c r="BO58" s="25" t="n">
        <v>7290.91</v>
      </c>
      <c r="BP58" s="25" t="n">
        <v>0</v>
      </c>
      <c r="BQ58" s="25" t="n">
        <v>481200</v>
      </c>
      <c r="BR58" s="25" t="n">
        <v>449719.63</v>
      </c>
      <c r="BS58" s="25" t="n">
        <v>23168.89</v>
      </c>
      <c r="BT58" s="25" t="n">
        <v>17489.1</v>
      </c>
      <c r="BU58" s="25" t="n">
        <v>536231.62</v>
      </c>
      <c r="BV58" s="25" t="n">
        <v>501151.05</v>
      </c>
      <c r="BW58" s="25" t="n">
        <v>35929.6</v>
      </c>
      <c r="BX58" s="25" t="n">
        <v>34978.19</v>
      </c>
      <c r="BY58" s="25" t="n">
        <v>46693.75</v>
      </c>
      <c r="BZ58" s="25" t="n">
        <v>81823.16</v>
      </c>
      <c r="CA58" s="25" t="n">
        <v>74853.33</v>
      </c>
      <c r="CB58" s="25" t="n">
        <v>69956.39</v>
      </c>
      <c r="CC58" s="25" t="n">
        <v>210592.78</v>
      </c>
      <c r="CD58" s="25" t="n">
        <v>360828.75</v>
      </c>
      <c r="CE58" s="25" t="n">
        <v>68637.65</v>
      </c>
      <c r="CF58" s="25" t="n">
        <v>64147.33</v>
      </c>
      <c r="CG58" s="25" t="n">
        <f aca="false">SUM(CF58,CD58,CB58,BZ58,BX58,BV58,BT58,BR58,BP58,BN58,BL58,BJ58,BH58)</f>
        <v>1994835.04</v>
      </c>
      <c r="CH58" s="25" t="n">
        <f aca="false">CG58+BF58</f>
        <v>25197689.66</v>
      </c>
      <c r="CI58" s="25" t="n">
        <f aca="false">SUM(CE58,CC58,CA58,BY58,BW58,BU58,BS58,BQ58,BO58,BM58,BK58,BI58,BG58,BD58,BB58,AZ58,AX58,AV58,AT58,AR58,AP58,AN58)</f>
        <v>26922819.88</v>
      </c>
      <c r="CJ58" s="25" t="n">
        <f aca="false">CI58-CH58</f>
        <v>1725130.22</v>
      </c>
      <c r="CK58" s="25" t="str">
        <f aca="false">IF(CE58-CF58+CC58-CD58+CA58-CB58+BU58-BV58+BK58-BL58+BI58-BJ58 &gt; 0, CE58-CF58+CC58-CD58+CA58-CB58+BU58-BV58+BK58-BL58+BI58-BJ58, "-")</f>
        <v>-</v>
      </c>
      <c r="CL58" s="26" t="str">
        <f aca="false">IF(CJ58&lt;0,"⚠ Over Budget","✓ Within Budget")</f>
        <v>✓ Within Budget</v>
      </c>
      <c r="CM58" s="27"/>
    </row>
    <row r="59" customFormat="false" ht="14.25" hidden="false" customHeight="false" outlineLevel="0" collapsed="false">
      <c r="A59" s="16" t="s">
        <v>102</v>
      </c>
      <c r="B59" s="16" t="n">
        <v>2026</v>
      </c>
      <c r="C59" s="16" t="n">
        <v>63</v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1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1</v>
      </c>
      <c r="Q59" s="16" t="n">
        <v>1</v>
      </c>
      <c r="R59" s="16" t="n">
        <v>0</v>
      </c>
      <c r="S59" s="16" t="n">
        <v>62</v>
      </c>
      <c r="T59" s="16" t="n">
        <v>29</v>
      </c>
      <c r="U59" s="16" t="n">
        <v>33</v>
      </c>
      <c r="V59" s="16" t="n">
        <v>59</v>
      </c>
      <c r="W59" s="16" t="n">
        <v>3</v>
      </c>
      <c r="X59" s="16" t="n">
        <v>7</v>
      </c>
      <c r="Y59" s="16" t="n">
        <v>17</v>
      </c>
      <c r="Z59" s="16" t="n">
        <v>21</v>
      </c>
      <c r="AA59" s="16" t="n">
        <v>11</v>
      </c>
      <c r="AB59" s="16" t="n">
        <v>4</v>
      </c>
      <c r="AC59" s="16" t="n">
        <v>2</v>
      </c>
      <c r="AD59" s="17" t="n">
        <v>0.190476</v>
      </c>
      <c r="AE59" s="17" t="n">
        <v>0</v>
      </c>
      <c r="AF59" s="18" t="n">
        <v>62.7</v>
      </c>
      <c r="AG59" s="19" t="n">
        <v>974887</v>
      </c>
      <c r="AH59" s="19" t="n">
        <v>1538328</v>
      </c>
      <c r="AI59" s="19" t="n">
        <v>2239873</v>
      </c>
      <c r="AJ59" s="19" t="n">
        <v>3371704</v>
      </c>
      <c r="AK59" s="19" t="n">
        <v>5256223</v>
      </c>
      <c r="AL59" s="19" t="n">
        <v>8773476</v>
      </c>
      <c r="AM59" s="19" t="n">
        <v>3006906.27</v>
      </c>
      <c r="AN59" s="19" t="n">
        <v>20644917.3</v>
      </c>
      <c r="AO59" s="19" t="n">
        <v>19294315.23</v>
      </c>
      <c r="AP59" s="19" t="n">
        <v>2064491.73</v>
      </c>
      <c r="AQ59" s="19" t="n">
        <v>1929431.52</v>
      </c>
      <c r="AR59" s="19" t="n">
        <v>75072.43</v>
      </c>
      <c r="AS59" s="19" t="n">
        <v>0</v>
      </c>
      <c r="AT59" s="19" t="n">
        <v>1032245.86</v>
      </c>
      <c r="AU59" s="19" t="n">
        <v>964715.76</v>
      </c>
      <c r="AV59" s="19" t="n">
        <v>99408.88</v>
      </c>
      <c r="AW59" s="19" t="n">
        <v>86571.03</v>
      </c>
      <c r="AX59" s="19" t="n">
        <v>61754</v>
      </c>
      <c r="AY59" s="19" t="n">
        <v>57714.02</v>
      </c>
      <c r="AZ59" s="19" t="n">
        <v>491048.74</v>
      </c>
      <c r="BA59" s="19" t="n">
        <v>470397.16</v>
      </c>
      <c r="BB59" s="19" t="n">
        <v>2608.69</v>
      </c>
      <c r="BC59" s="19" t="n">
        <v>0</v>
      </c>
      <c r="BD59" s="19" t="n">
        <v>287.27</v>
      </c>
      <c r="BE59" s="19" t="n">
        <v>0</v>
      </c>
      <c r="BF59" s="19" t="n">
        <f aca="false">SUM(BE59,BC59,BA59,AY59,AW59,AU59,AS59,AQ59,AO59)</f>
        <v>22803144.72</v>
      </c>
      <c r="BG59" s="19" t="n">
        <v>189708.29</v>
      </c>
      <c r="BH59" s="19" t="n">
        <v>110810.92</v>
      </c>
      <c r="BI59" s="19" t="n">
        <v>56607.83</v>
      </c>
      <c r="BJ59" s="19" t="n">
        <v>52904.52</v>
      </c>
      <c r="BK59" s="19" t="n">
        <v>41169.33</v>
      </c>
      <c r="BL59" s="19" t="n">
        <v>38476.01</v>
      </c>
      <c r="BM59" s="19" t="n">
        <v>230548.27</v>
      </c>
      <c r="BN59" s="19" t="n">
        <v>215465.67</v>
      </c>
      <c r="BO59" s="19" t="n">
        <v>3645.45</v>
      </c>
      <c r="BP59" s="19" t="n">
        <v>0</v>
      </c>
      <c r="BQ59" s="19" t="n">
        <v>493230</v>
      </c>
      <c r="BR59" s="19" t="n">
        <v>460962.62</v>
      </c>
      <c r="BS59" s="19" t="n">
        <v>20094.56</v>
      </c>
      <c r="BT59" s="19" t="n">
        <v>17926.32</v>
      </c>
      <c r="BU59" s="19" t="n">
        <v>516122.93</v>
      </c>
      <c r="BV59" s="19" t="n">
        <v>482357.88</v>
      </c>
      <c r="BW59" s="19" t="n">
        <v>69164.48</v>
      </c>
      <c r="BX59" s="19" t="n">
        <v>33666.51</v>
      </c>
      <c r="BY59" s="19" t="n">
        <v>18297.48</v>
      </c>
      <c r="BZ59" s="19" t="n">
        <v>38476.01</v>
      </c>
      <c r="CA59" s="19" t="n">
        <v>72046.33</v>
      </c>
      <c r="CB59" s="19" t="n">
        <v>67333.02</v>
      </c>
      <c r="CC59" s="19" t="n">
        <v>243234.66</v>
      </c>
      <c r="CD59" s="19" t="n">
        <v>347297.67</v>
      </c>
      <c r="CE59" s="19" t="n">
        <v>66063.74</v>
      </c>
      <c r="CF59" s="19" t="n">
        <v>61741.81</v>
      </c>
      <c r="CG59" s="19" t="n">
        <f aca="false">SUM(CF59,CD59,CB59,BZ59,BX59,BV59,BT59,BR59,BP59,BN59,BL59,BJ59,BH59)</f>
        <v>1927418.96</v>
      </c>
      <c r="CH59" s="19" t="n">
        <f aca="false">CG59+BF59</f>
        <v>24730563.68</v>
      </c>
      <c r="CI59" s="19" t="n">
        <f aca="false">SUM(CE59,CC59,CA59,BY59,BW59,BU59,BS59,BQ59,BO59,BM59,BK59,BI59,BG59,BD59,BB59,AZ59,AX59,AV59,AT59,AR59,AP59,AN59)</f>
        <v>26491768.25</v>
      </c>
      <c r="CJ59" s="19" t="n">
        <f aca="false">CI59-CH59</f>
        <v>1761204.57</v>
      </c>
      <c r="CK59" s="19" t="str">
        <f aca="false">IF(CE59-CF59+CC59-CD59+CA59-CB59+BU59-BV59+BK59-BL59+BI59-BJ59 &gt; 0, CE59-CF59+CC59-CD59+CA59-CB59+BU59-BV59+BK59-BL59+BI59-BJ59, "-")</f>
        <v>-</v>
      </c>
      <c r="CL59" s="20" t="str">
        <f aca="false">IF(CJ59&lt;0,"⚠ Over Budget","✓ Within Budget")</f>
        <v>✓ Within Budget</v>
      </c>
      <c r="CM59" s="21"/>
    </row>
    <row r="60" customFormat="false" ht="14.25" hidden="false" customHeight="false" outlineLevel="0" collapsed="false">
      <c r="A60" s="28" t="s">
        <v>103</v>
      </c>
      <c r="B60" s="28" t="n">
        <v>2026</v>
      </c>
      <c r="C60" s="28" t="n">
        <v>62</v>
      </c>
      <c r="D60" s="28" t="n">
        <v>0</v>
      </c>
      <c r="E60" s="28" t="n">
        <v>0</v>
      </c>
      <c r="F60" s="28" t="n">
        <v>0</v>
      </c>
      <c r="G60" s="28" t="n">
        <v>0</v>
      </c>
      <c r="H60" s="28" t="n">
        <v>0</v>
      </c>
      <c r="I60" s="28" t="n">
        <v>0</v>
      </c>
      <c r="J60" s="28" t="n">
        <v>0</v>
      </c>
      <c r="K60" s="28" t="n">
        <v>0</v>
      </c>
      <c r="L60" s="28" t="n">
        <v>1</v>
      </c>
      <c r="M60" s="28" t="n">
        <v>1</v>
      </c>
      <c r="N60" s="28" t="n">
        <v>0</v>
      </c>
      <c r="O60" s="28" t="n">
        <v>0</v>
      </c>
      <c r="P60" s="28" t="n">
        <v>0</v>
      </c>
      <c r="Q60" s="28" t="n">
        <v>2</v>
      </c>
      <c r="R60" s="28" t="n">
        <v>0</v>
      </c>
      <c r="S60" s="28" t="n">
        <v>60</v>
      </c>
      <c r="T60" s="28" t="n">
        <v>28</v>
      </c>
      <c r="U60" s="28" t="n">
        <v>32</v>
      </c>
      <c r="V60" s="28" t="n">
        <v>57</v>
      </c>
      <c r="W60" s="28" t="n">
        <v>3</v>
      </c>
      <c r="X60" s="28" t="n">
        <v>7</v>
      </c>
      <c r="Y60" s="28" t="n">
        <v>17</v>
      </c>
      <c r="Z60" s="28" t="n">
        <v>20</v>
      </c>
      <c r="AA60" s="28" t="n">
        <v>11</v>
      </c>
      <c r="AB60" s="28" t="n">
        <v>4</v>
      </c>
      <c r="AC60" s="28" t="n">
        <v>1</v>
      </c>
      <c r="AD60" s="29" t="n">
        <v>0.387097</v>
      </c>
      <c r="AE60" s="29" t="n">
        <v>0.0145273356418757</v>
      </c>
      <c r="AF60" s="30" t="n">
        <v>62.9</v>
      </c>
      <c r="AG60" s="31" t="n">
        <v>990437</v>
      </c>
      <c r="AH60" s="31" t="n">
        <v>1563330</v>
      </c>
      <c r="AI60" s="31" t="n">
        <v>2270733</v>
      </c>
      <c r="AJ60" s="31" t="n">
        <v>3418359</v>
      </c>
      <c r="AK60" s="31" t="n">
        <v>5315942</v>
      </c>
      <c r="AL60" s="31" t="n">
        <v>8863610</v>
      </c>
      <c r="AM60" s="31" t="n">
        <v>3048308.81</v>
      </c>
      <c r="AN60" s="31" t="n">
        <v>20385565.15</v>
      </c>
      <c r="AO60" s="31" t="n">
        <v>19051930.05</v>
      </c>
      <c r="AP60" s="31" t="n">
        <v>2038556.52</v>
      </c>
      <c r="AQ60" s="31" t="n">
        <v>1905193.01</v>
      </c>
      <c r="AR60" s="31" t="n">
        <v>2372138.49</v>
      </c>
      <c r="AS60" s="31" t="n">
        <v>6524421.59</v>
      </c>
      <c r="AT60" s="31" t="n">
        <v>1019278.26</v>
      </c>
      <c r="AU60" s="31" t="n">
        <v>952596.5</v>
      </c>
      <c r="AV60" s="31" t="n">
        <v>79221.95</v>
      </c>
      <c r="AW60" s="31" t="n">
        <v>84322.43</v>
      </c>
      <c r="AX60" s="31" t="n">
        <v>60150</v>
      </c>
      <c r="AY60" s="31" t="n">
        <v>56214.95</v>
      </c>
      <c r="AZ60" s="31" t="n">
        <v>935261.94</v>
      </c>
      <c r="BA60" s="31" t="n">
        <v>2917540.41</v>
      </c>
      <c r="BB60" s="31" t="n">
        <v>2644.61</v>
      </c>
      <c r="BC60" s="31" t="n">
        <v>0</v>
      </c>
      <c r="BD60" s="31" t="n">
        <v>87366.71</v>
      </c>
      <c r="BE60" s="31" t="n">
        <v>152415.44</v>
      </c>
      <c r="BF60" s="31" t="n">
        <f aca="false">SUM(BE60,BC60,BA60,AY60,AW60,AU60,AS60,AQ60,AO60)</f>
        <v>31644634.38</v>
      </c>
      <c r="BG60" s="31" t="n">
        <v>111780.98</v>
      </c>
      <c r="BH60" s="31" t="n">
        <v>83947.66</v>
      </c>
      <c r="BI60" s="31" t="n">
        <v>55137.5</v>
      </c>
      <c r="BJ60" s="31" t="n">
        <v>51530.37</v>
      </c>
      <c r="BK60" s="31" t="n">
        <v>40100</v>
      </c>
      <c r="BL60" s="31" t="n">
        <v>37476.64</v>
      </c>
      <c r="BM60" s="31" t="n">
        <v>224560</v>
      </c>
      <c r="BN60" s="31" t="n">
        <v>209869.16</v>
      </c>
      <c r="BO60" s="31" t="n">
        <v>3645.45</v>
      </c>
      <c r="BP60" s="31" t="n">
        <v>0</v>
      </c>
      <c r="BQ60" s="31" t="n">
        <v>481200</v>
      </c>
      <c r="BR60" s="31" t="n">
        <v>449719.63</v>
      </c>
      <c r="BS60" s="31" t="n">
        <v>17822.22</v>
      </c>
      <c r="BT60" s="31" t="n">
        <v>17489.1</v>
      </c>
      <c r="BU60" s="31" t="n">
        <v>509639.13</v>
      </c>
      <c r="BV60" s="31" t="n">
        <v>476298.25</v>
      </c>
      <c r="BW60" s="31" t="n">
        <v>50526</v>
      </c>
      <c r="BX60" s="31" t="n">
        <v>32792.06</v>
      </c>
      <c r="BY60" s="31" t="n">
        <v>665028.32</v>
      </c>
      <c r="BZ60" s="31" t="n">
        <v>218503.76</v>
      </c>
      <c r="CA60" s="31" t="n">
        <v>70175</v>
      </c>
      <c r="CB60" s="31" t="n">
        <v>65584.11</v>
      </c>
      <c r="CC60" s="31" t="n">
        <v>320238.7</v>
      </c>
      <c r="CD60" s="31" t="n">
        <v>342934.74</v>
      </c>
      <c r="CE60" s="31" t="n">
        <v>65233.81</v>
      </c>
      <c r="CF60" s="31" t="n">
        <v>60966.18</v>
      </c>
      <c r="CG60" s="31" t="n">
        <f aca="false">SUM(CF60,CD60,CB60,BZ60,BX60,BV60,BT60,BR60,BP60,BN60,BL60,BJ60,BH60)</f>
        <v>2047111.66</v>
      </c>
      <c r="CH60" s="31" t="n">
        <f aca="false">CG60+BF60</f>
        <v>33691746.04</v>
      </c>
      <c r="CI60" s="31" t="n">
        <f aca="false">SUM(CE60,CC60,CA60,BY60,BW60,BU60,BS60,BQ60,BO60,BM60,BK60,BI60,BG60,BD60,BB60,AZ60,AX60,AV60,AT60,AR60,AP60,AN60)</f>
        <v>29595270.74</v>
      </c>
      <c r="CJ60" s="31" t="n">
        <f aca="false">CI60-CH60</f>
        <v>-4096475.3</v>
      </c>
      <c r="CK60" s="31" t="n">
        <f aca="false">IF(CE60-CF60+CC60-CD60+CA60-CB60+BU60-BV60+BK60-BL60+BI60-BJ60 &gt; 0, CE60-CF60+CC60-CD60+CA60-CB60+BU60-BV60+BK60-BL60+BI60-BJ60, "-")</f>
        <v>25733.85</v>
      </c>
      <c r="CL60" s="32" t="str">
        <f aca="false">IF(CJ60&lt;0,"⚠ Over Budget","✓ Within Budget")</f>
        <v>⚠ Over Budget</v>
      </c>
      <c r="CM60" s="33" t="s">
        <v>111</v>
      </c>
    </row>
    <row r="61" customFormat="false" ht="14.25" hidden="false" customHeight="false" outlineLevel="0" collapsed="false">
      <c r="A61" s="16" t="s">
        <v>104</v>
      </c>
      <c r="B61" s="16" t="n">
        <v>2026</v>
      </c>
      <c r="C61" s="16" t="n">
        <v>60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60</v>
      </c>
      <c r="T61" s="16" t="n">
        <v>28</v>
      </c>
      <c r="U61" s="16" t="n">
        <v>32</v>
      </c>
      <c r="V61" s="16" t="n">
        <v>57</v>
      </c>
      <c r="W61" s="16" t="n">
        <v>3</v>
      </c>
      <c r="X61" s="16" t="n">
        <v>7</v>
      </c>
      <c r="Y61" s="16" t="n">
        <v>17</v>
      </c>
      <c r="Z61" s="16" t="n">
        <v>20</v>
      </c>
      <c r="AA61" s="16" t="n">
        <v>11</v>
      </c>
      <c r="AB61" s="16" t="n">
        <v>4</v>
      </c>
      <c r="AC61" s="16" t="n">
        <v>1</v>
      </c>
      <c r="AD61" s="17" t="n">
        <v>0</v>
      </c>
      <c r="AE61" s="17" t="n">
        <v>0</v>
      </c>
      <c r="AF61" s="18" t="n">
        <v>63.1</v>
      </c>
      <c r="AG61" s="19" t="n">
        <v>990437</v>
      </c>
      <c r="AH61" s="19" t="n">
        <v>1563330</v>
      </c>
      <c r="AI61" s="19" t="n">
        <v>2270733</v>
      </c>
      <c r="AJ61" s="19" t="n">
        <v>3418359</v>
      </c>
      <c r="AK61" s="19" t="n">
        <v>5315942</v>
      </c>
      <c r="AL61" s="19" t="n">
        <v>8863610</v>
      </c>
      <c r="AM61" s="19" t="n">
        <v>3048308.81</v>
      </c>
      <c r="AN61" s="19" t="n">
        <v>20385565.15</v>
      </c>
      <c r="AO61" s="19" t="n">
        <v>19051930.05</v>
      </c>
      <c r="AP61" s="19" t="n">
        <v>2038556.52</v>
      </c>
      <c r="AQ61" s="19" t="n">
        <v>1905193.01</v>
      </c>
      <c r="AR61" s="19" t="n">
        <v>240920.32</v>
      </c>
      <c r="AS61" s="19" t="n">
        <v>0</v>
      </c>
      <c r="AT61" s="19" t="n">
        <v>1019278.26</v>
      </c>
      <c r="AU61" s="19" t="n">
        <v>952596.5</v>
      </c>
      <c r="AV61" s="19" t="n">
        <v>93892.68</v>
      </c>
      <c r="AW61" s="19" t="n">
        <v>112429.91</v>
      </c>
      <c r="AX61" s="19" t="n">
        <v>60150</v>
      </c>
      <c r="AY61" s="19" t="n">
        <v>56214.95</v>
      </c>
      <c r="AZ61" s="19" t="n">
        <v>99441.78</v>
      </c>
      <c r="BA61" s="19" t="n">
        <v>0</v>
      </c>
      <c r="BB61" s="19" t="n">
        <v>881.54</v>
      </c>
      <c r="BC61" s="19" t="n">
        <v>0</v>
      </c>
      <c r="BD61" s="19" t="n">
        <v>291.22</v>
      </c>
      <c r="BE61" s="19" t="n">
        <v>0</v>
      </c>
      <c r="BF61" s="19" t="n">
        <f aca="false">SUM(BE61,BC61,BA61,AY61,AW61,AU61,AS61,AQ61,AO61)</f>
        <v>22078364.42</v>
      </c>
      <c r="BG61" s="19" t="n">
        <v>145999.64</v>
      </c>
      <c r="BH61" s="19" t="n">
        <v>95940.19</v>
      </c>
      <c r="BI61" s="19" t="n">
        <v>55137.5</v>
      </c>
      <c r="BJ61" s="19" t="n">
        <v>51530.37</v>
      </c>
      <c r="BK61" s="19" t="n">
        <v>40100</v>
      </c>
      <c r="BL61" s="19" t="n">
        <v>37476.64</v>
      </c>
      <c r="BM61" s="19" t="n">
        <v>224560</v>
      </c>
      <c r="BN61" s="19" t="n">
        <v>209869.16</v>
      </c>
      <c r="BO61" s="19" t="n">
        <v>3645.45</v>
      </c>
      <c r="BP61" s="19" t="n">
        <v>0</v>
      </c>
      <c r="BQ61" s="19" t="n">
        <v>481200</v>
      </c>
      <c r="BR61" s="19" t="n">
        <v>449719.63</v>
      </c>
      <c r="BS61" s="19" t="n">
        <v>16040</v>
      </c>
      <c r="BT61" s="19" t="n">
        <v>17489.1</v>
      </c>
      <c r="BU61" s="19" t="n">
        <v>509639.13</v>
      </c>
      <c r="BV61" s="19" t="n">
        <v>476298.25</v>
      </c>
      <c r="BW61" s="19" t="n">
        <v>33684</v>
      </c>
      <c r="BX61" s="19" t="n">
        <v>32792.06</v>
      </c>
      <c r="BY61" s="19" t="n">
        <v>154953.85</v>
      </c>
      <c r="BZ61" s="19" t="n">
        <v>108612.51</v>
      </c>
      <c r="CA61" s="19" t="n">
        <v>70175</v>
      </c>
      <c r="CB61" s="19" t="n">
        <v>65584.11</v>
      </c>
      <c r="CC61" s="19" t="n">
        <v>320238.7</v>
      </c>
      <c r="CD61" s="19" t="n">
        <v>342934.74</v>
      </c>
      <c r="CE61" s="19" t="n">
        <v>65233.81</v>
      </c>
      <c r="CF61" s="19" t="n">
        <v>60966.18</v>
      </c>
      <c r="CG61" s="19" t="n">
        <f aca="false">SUM(CF61,CD61,CB61,BZ61,BX61,BV61,BT61,BR61,BP61,BN61,BL61,BJ61,BH61)</f>
        <v>1949212.94</v>
      </c>
      <c r="CH61" s="19" t="n">
        <f aca="false">CG61+BF61</f>
        <v>24027577.36</v>
      </c>
      <c r="CI61" s="19" t="n">
        <f aca="false">SUM(CE61,CC61,CA61,BY61,BW61,BU61,BS61,BQ61,BO61,BM61,BK61,BI61,BG61,BD61,BB61,AZ61,AX61,AV61,AT61,AR61,AP61,AN61)</f>
        <v>26059584.55</v>
      </c>
      <c r="CJ61" s="19" t="n">
        <f aca="false">CI61-CH61</f>
        <v>2032007.18999999</v>
      </c>
      <c r="CK61" s="19" t="n">
        <f aca="false">IF(CE61-CF61+CC61-CD61+CA61-CB61+BU61-BV61+BK61-BL61+BI61-BJ61 &gt; 0, CE61-CF61+CC61-CD61+CA61-CB61+BU61-BV61+BK61-BL61+BI61-BJ61, "-")</f>
        <v>25733.85</v>
      </c>
      <c r="CL61" s="20" t="str">
        <f aca="false">IF(CJ61&lt;0,"⚠ Over Budget","✓ Within Budget")</f>
        <v>✓ Within Budget</v>
      </c>
      <c r="CM61" s="21"/>
    </row>
    <row r="62" customFormat="false" ht="14.25" hidden="false" customHeight="false" outlineLevel="0" collapsed="false">
      <c r="A62" s="22" t="s">
        <v>105</v>
      </c>
      <c r="B62" s="22" t="n">
        <v>2026</v>
      </c>
      <c r="C62" s="22" t="n">
        <v>60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60</v>
      </c>
      <c r="T62" s="22" t="n">
        <v>28</v>
      </c>
      <c r="U62" s="22" t="n">
        <v>32</v>
      </c>
      <c r="V62" s="22" t="n">
        <v>57</v>
      </c>
      <c r="W62" s="22" t="n">
        <v>3</v>
      </c>
      <c r="X62" s="22" t="n">
        <v>7</v>
      </c>
      <c r="Y62" s="22" t="n">
        <v>17</v>
      </c>
      <c r="Z62" s="22" t="n">
        <v>20</v>
      </c>
      <c r="AA62" s="22" t="n">
        <v>11</v>
      </c>
      <c r="AB62" s="22" t="n">
        <v>4</v>
      </c>
      <c r="AC62" s="22" t="n">
        <v>1</v>
      </c>
      <c r="AD62" s="23" t="n">
        <v>0</v>
      </c>
      <c r="AE62" s="23" t="n">
        <v>0</v>
      </c>
      <c r="AF62" s="24" t="n">
        <v>63.3</v>
      </c>
      <c r="AG62" s="25" t="n">
        <v>990437</v>
      </c>
      <c r="AH62" s="25" t="n">
        <v>1563330</v>
      </c>
      <c r="AI62" s="25" t="n">
        <v>2270733</v>
      </c>
      <c r="AJ62" s="25" t="n">
        <v>3418359</v>
      </c>
      <c r="AK62" s="25" t="n">
        <v>5315942</v>
      </c>
      <c r="AL62" s="25" t="n">
        <v>8863610</v>
      </c>
      <c r="AM62" s="25" t="n">
        <v>3048308.81</v>
      </c>
      <c r="AN62" s="25" t="n">
        <v>20113757.62</v>
      </c>
      <c r="AO62" s="25" t="n">
        <v>18797904.32</v>
      </c>
      <c r="AP62" s="25" t="n">
        <v>2011375.76</v>
      </c>
      <c r="AQ62" s="25" t="n">
        <v>1879790.43</v>
      </c>
      <c r="AR62" s="25" t="n">
        <v>8776912.42</v>
      </c>
      <c r="AS62" s="25" t="n">
        <v>1879790.43</v>
      </c>
      <c r="AT62" s="25" t="n">
        <v>1005687.88</v>
      </c>
      <c r="AU62" s="25" t="n">
        <v>939895.22</v>
      </c>
      <c r="AV62" s="25" t="n">
        <v>81060.68</v>
      </c>
      <c r="AW62" s="25" t="n">
        <v>110930.84</v>
      </c>
      <c r="AX62" s="25" t="n">
        <v>59348</v>
      </c>
      <c r="AY62" s="25" t="n">
        <v>55465.42</v>
      </c>
      <c r="AZ62" s="25" t="n">
        <v>1074186.4</v>
      </c>
      <c r="BA62" s="25" t="n">
        <v>686006.89</v>
      </c>
      <c r="BB62" s="25" t="n">
        <v>881.54</v>
      </c>
      <c r="BC62" s="25" t="n">
        <v>0</v>
      </c>
      <c r="BD62" s="25" t="n">
        <v>87366.71</v>
      </c>
      <c r="BE62" s="25" t="n">
        <v>152415.44</v>
      </c>
      <c r="BF62" s="25" t="n">
        <f aca="false">SUM(BE62,BC62,BA62,AY62,AW62,AU62,AS62,AQ62,AO62)</f>
        <v>24502198.99</v>
      </c>
      <c r="BG62" s="25" t="n">
        <v>23633.69</v>
      </c>
      <c r="BH62" s="25" t="n">
        <v>41414.18</v>
      </c>
      <c r="BI62" s="25" t="n">
        <v>54402.33</v>
      </c>
      <c r="BJ62" s="25" t="n">
        <v>50843.3</v>
      </c>
      <c r="BK62" s="25" t="n">
        <v>39565.33</v>
      </c>
      <c r="BL62" s="25" t="n">
        <v>36976.95</v>
      </c>
      <c r="BM62" s="25" t="n">
        <v>221565.87</v>
      </c>
      <c r="BN62" s="25" t="n">
        <v>207070.9</v>
      </c>
      <c r="BO62" s="25" t="n">
        <v>3645.45</v>
      </c>
      <c r="BP62" s="25" t="n">
        <v>0</v>
      </c>
      <c r="BQ62" s="25" t="n">
        <v>469170</v>
      </c>
      <c r="BR62" s="25" t="n">
        <v>438476.64</v>
      </c>
      <c r="BS62" s="25" t="n">
        <v>13901.33</v>
      </c>
      <c r="BT62" s="25" t="n">
        <v>17051.87</v>
      </c>
      <c r="BU62" s="25" t="n">
        <v>502843.94</v>
      </c>
      <c r="BV62" s="25" t="n">
        <v>469947.61</v>
      </c>
      <c r="BW62" s="25" t="n">
        <v>16617.44</v>
      </c>
      <c r="BX62" s="25" t="n">
        <v>32354.83</v>
      </c>
      <c r="BY62" s="25" t="n">
        <v>183680.63</v>
      </c>
      <c r="BZ62" s="25" t="n">
        <v>128748.1</v>
      </c>
      <c r="CA62" s="25" t="n">
        <v>69239.33</v>
      </c>
      <c r="CB62" s="25" t="n">
        <v>64709.66</v>
      </c>
      <c r="CC62" s="25" t="n">
        <v>197480.53</v>
      </c>
      <c r="CD62" s="25" t="n">
        <v>338362.28</v>
      </c>
      <c r="CE62" s="25" t="n">
        <v>64364.02</v>
      </c>
      <c r="CF62" s="25" t="n">
        <v>60153.29</v>
      </c>
      <c r="CG62" s="25" t="n">
        <f aca="false">SUM(CF62,CD62,CB62,BZ62,BX62,BV62,BT62,BR62,BP62,BN62,BL62,BJ62,BH62)</f>
        <v>1886109.61</v>
      </c>
      <c r="CH62" s="25" t="n">
        <f aca="false">CG62+BF62</f>
        <v>26388308.6</v>
      </c>
      <c r="CI62" s="25" t="n">
        <f aca="false">SUM(CE62,CC62,CA62,BY62,BW62,BU62,BS62,BQ62,BO62,BM62,BK62,BI62,BG62,BD62,BB62,AZ62,AX62,AV62,AT62,AR62,AP62,AN62)</f>
        <v>35070686.9</v>
      </c>
      <c r="CJ62" s="25" t="n">
        <f aca="false">CI62-CH62</f>
        <v>8682378.3</v>
      </c>
      <c r="CK62" s="25" t="str">
        <f aca="false">IF(CE62-CF62+CC62-CD62+CA62-CB62+BU62-BV62+BK62-BL62+BI62-BJ62 &gt; 0, CE62-CF62+CC62-CD62+CA62-CB62+BU62-BV62+BK62-BL62+BI62-BJ62, "-")</f>
        <v>-</v>
      </c>
      <c r="CL62" s="26" t="str">
        <f aca="false">IF(CJ62&lt;0,"⚠ Over Budget","✓ Within Budget")</f>
        <v>✓ Within Budget</v>
      </c>
      <c r="CM62" s="27"/>
    </row>
    <row r="63" customFormat="false" ht="14.25" hidden="false" customHeight="false" outlineLevel="0" collapsed="false">
      <c r="A63" s="34" t="s">
        <v>113</v>
      </c>
      <c r="AN63" s="35" t="n">
        <f aca="false">SUM(AN3:AN62)</f>
        <v>940816685.77</v>
      </c>
      <c r="AO63" s="35" t="n">
        <f aca="false">SUM(AO3:AO62)</f>
        <v>894120266.55</v>
      </c>
      <c r="AP63" s="35" t="n">
        <f aca="false">SUM(AP3:AP62)</f>
        <v>94081668.57</v>
      </c>
      <c r="AQ63" s="35" t="n">
        <f aca="false">SUM(AQ3:AQ62)</f>
        <v>87926793.11</v>
      </c>
      <c r="AR63" s="35" t="n">
        <f aca="false">SUM(AR3:AR62)</f>
        <v>53978581.32</v>
      </c>
      <c r="AS63" s="35" t="n">
        <f aca="false">SUM(AS3:AS62)</f>
        <v>34495833.77</v>
      </c>
      <c r="AT63" s="35" t="n">
        <f aca="false">SUM(AT3:AT62)</f>
        <v>47040834.32</v>
      </c>
      <c r="AU63" s="35" t="n">
        <f aca="false">SUM(AU3:AU62)</f>
        <v>43963396.56</v>
      </c>
      <c r="AV63" s="35" t="n">
        <f aca="false">SUM(AV3:AV62)</f>
        <v>5567736.7</v>
      </c>
      <c r="AW63" s="35" t="n">
        <f aca="false">SUM(AW3:AW62)</f>
        <v>5345311.24</v>
      </c>
      <c r="AX63" s="35" t="n">
        <f aca="false">SUM(AX3:AX62)</f>
        <v>3430990.17</v>
      </c>
      <c r="AY63" s="35" t="n">
        <f aca="false">SUM(AY3:AY62)</f>
        <v>3206532.91</v>
      </c>
      <c r="AZ63" s="35" t="n">
        <f aca="false">SUM(AZ3:AZ62)</f>
        <v>20546927.74</v>
      </c>
      <c r="BA63" s="35" t="n">
        <f aca="false">SUM(BA3:BA62)</f>
        <v>15655292.23</v>
      </c>
      <c r="BB63" s="35" t="n">
        <f aca="false">SUM(BB3:BB62)</f>
        <v>1725238.93</v>
      </c>
      <c r="BC63" s="35" t="n">
        <f aca="false">SUM(BC3:BC62)</f>
        <v>9903312.18</v>
      </c>
      <c r="BD63" s="35" t="n">
        <f aca="false">SUM(BD3:BD62)</f>
        <v>1850746.18</v>
      </c>
      <c r="BE63" s="35" t="n">
        <f aca="false">SUM(BE3:BE62)</f>
        <v>1727905.68</v>
      </c>
      <c r="BF63" s="35" t="n">
        <f aca="false">SUM(BF3:BF62)</f>
        <v>1096344644.23</v>
      </c>
      <c r="BG63" s="35" t="n">
        <f aca="false">SUM(BG3:BG62)</f>
        <v>5530840.61</v>
      </c>
      <c r="BH63" s="35" t="n">
        <f aca="false">SUM(BH3:BH62)</f>
        <v>4143284.44</v>
      </c>
      <c r="BI63" s="35" t="n">
        <f aca="false">SUM(BI3:BI62)</f>
        <v>3145074.35</v>
      </c>
      <c r="BJ63" s="35" t="n">
        <f aca="false">SUM(BJ3:BJ62)</f>
        <v>2939321.75</v>
      </c>
      <c r="BK63" s="35" t="n">
        <f aca="false">SUM(BK3:BK62)</f>
        <v>2287326.74</v>
      </c>
      <c r="BL63" s="35" t="n">
        <f aca="false">SUM(BL3:BL62)</f>
        <v>3737579.91</v>
      </c>
      <c r="BM63" s="35" t="n">
        <f aca="false">SUM(BM3:BM62)</f>
        <v>12809030.03</v>
      </c>
      <c r="BN63" s="35" t="n">
        <f aca="false">SUM(BN3:BN62)</f>
        <v>11971056.15</v>
      </c>
      <c r="BO63" s="35" t="n">
        <f aca="false">SUM(BO3:BO62)</f>
        <v>3605541.67</v>
      </c>
      <c r="BP63" s="35" t="n">
        <f aca="false">SUM(BP3:BP62)</f>
        <v>11173284.07</v>
      </c>
      <c r="BQ63" s="35" t="n">
        <f aca="false">SUM(BQ3:BQ62)</f>
        <v>26473122.81</v>
      </c>
      <c r="BR63" s="35" t="n">
        <f aca="false">SUM(BR3:BR62)</f>
        <v>31039574.37</v>
      </c>
      <c r="BS63" s="35" t="n">
        <f aca="false">SUM(BS3:BS62)</f>
        <v>1028182.2</v>
      </c>
      <c r="BT63" s="35" t="n">
        <f aca="false">SUM(BT3:BT62)</f>
        <v>3661447</v>
      </c>
      <c r="BU63" s="35" t="n">
        <f aca="false">SUM(BU3:BU62)</f>
        <v>23520417.14</v>
      </c>
      <c r="BV63" s="35" t="n">
        <f aca="false">SUM(BV3:BV62)</f>
        <v>21981698.27</v>
      </c>
      <c r="BW63" s="35" t="n">
        <f aca="false">SUM(BW3:BW62)</f>
        <v>2005312.27</v>
      </c>
      <c r="BX63" s="35" t="n">
        <f aca="false">SUM(BX3:BX62)</f>
        <v>1870477.56</v>
      </c>
      <c r="BY63" s="35" t="n">
        <f aca="false">SUM(BY3:BY62)</f>
        <v>9092375.57</v>
      </c>
      <c r="BZ63" s="35" t="n">
        <f aca="false">SUM(BZ3:BZ62)</f>
        <v>14080042.16</v>
      </c>
      <c r="CA63" s="35" t="n">
        <f aca="false">SUM(CA3:CA62)</f>
        <v>4002821.85</v>
      </c>
      <c r="CB63" s="35" t="n">
        <f aca="false">SUM(CB3:CB62)</f>
        <v>3740955.05</v>
      </c>
      <c r="CC63" s="35" t="n">
        <f aca="false">SUM(CC3:CC62)</f>
        <v>29181858.42</v>
      </c>
      <c r="CD63" s="35" t="n">
        <f aca="false">SUM(CD3:CD62)</f>
        <v>34335561.32</v>
      </c>
      <c r="CE63" s="35" t="n">
        <f aca="false">SUM(CE3:CE62)</f>
        <v>3010613.39</v>
      </c>
      <c r="CF63" s="35" t="n">
        <f aca="false">SUM(CF3:CF62)</f>
        <v>2813657.38</v>
      </c>
      <c r="CG63" s="35" t="n">
        <f aca="false">SUM(CG3:CG62)</f>
        <v>147487939.43</v>
      </c>
      <c r="CH63" s="35" t="n">
        <f aca="false">SUM(CH3:CH62)</f>
        <v>1243832583.66</v>
      </c>
      <c r="CI63" s="35" t="n">
        <f aca="false">SUM(CI3:CI62)</f>
        <v>1294731926.75</v>
      </c>
      <c r="CJ63" s="35" t="n">
        <f aca="false">SUM(CJ3:CJ62)</f>
        <v>50899343.09</v>
      </c>
      <c r="CK63" s="36" t="n">
        <f aca="false">SUM(CK3:CK62)</f>
        <v>7732462.94</v>
      </c>
      <c r="CL63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6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G3" activeCellId="0" sqref="CG3"/>
    </sheetView>
  </sheetViews>
  <sheetFormatPr defaultColWidth="8.70703125" defaultRowHeight="14.25" zeroHeight="false" outlineLevelRow="0" outlineLevelCol="0"/>
  <cols>
    <col collapsed="false" customWidth="true" hidden="false" outlineLevel="0" max="2" min="1" style="0" width="7"/>
    <col collapsed="false" customWidth="true" hidden="false" outlineLevel="0" max="30" min="3" style="0" width="10"/>
    <col collapsed="false" customWidth="true" hidden="false" outlineLevel="0" max="31" min="31" style="0" width="19"/>
    <col collapsed="false" customWidth="true" hidden="false" outlineLevel="0" max="32" min="32" style="0" width="10"/>
    <col collapsed="false" customWidth="true" hidden="false" outlineLevel="0" max="41" min="33" style="0" width="19"/>
    <col collapsed="false" customWidth="true" hidden="false" outlineLevel="0" max="89" min="42" style="0" width="18"/>
    <col collapsed="false" customWidth="true" hidden="false" outlineLevel="0" max="90" min="90" style="0" width="10"/>
    <col collapsed="false" customWidth="true" hidden="false" outlineLevel="0" max="91" min="91" style="0" width="24"/>
  </cols>
  <sheetData>
    <row r="1" customFormat="false" ht="23.25" hidden="false" customHeight="true" outlineLevel="0" collapsed="false">
      <c r="A1" s="38" t="s">
        <v>114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customFormat="false" ht="4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7" t="s">
        <v>115</v>
      </c>
      <c r="CF2" s="8" t="s">
        <v>116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customFormat="false" ht="14.25" hidden="false" customHeight="false" outlineLevel="0" collapsed="false">
      <c r="A3" s="28" t="s">
        <v>92</v>
      </c>
      <c r="B3" s="28" t="n">
        <v>2022</v>
      </c>
      <c r="C3" s="28" t="n">
        <v>82</v>
      </c>
      <c r="D3" s="28" t="n">
        <v>1</v>
      </c>
      <c r="E3" s="28" t="n">
        <v>1</v>
      </c>
      <c r="F3" s="28" t="n">
        <v>1</v>
      </c>
      <c r="G3" s="28" t="n">
        <v>0</v>
      </c>
      <c r="H3" s="28" t="n">
        <v>0</v>
      </c>
      <c r="I3" s="28" t="n">
        <v>0</v>
      </c>
      <c r="J3" s="28" t="n">
        <v>3</v>
      </c>
      <c r="K3" s="28" t="n">
        <v>1</v>
      </c>
      <c r="L3" s="28" t="n">
        <v>1</v>
      </c>
      <c r="M3" s="28" t="n">
        <v>0</v>
      </c>
      <c r="N3" s="28" t="n">
        <v>0</v>
      </c>
      <c r="O3" s="28" t="n">
        <v>0</v>
      </c>
      <c r="P3" s="28" t="n">
        <v>0</v>
      </c>
      <c r="Q3" s="28" t="n">
        <v>2</v>
      </c>
      <c r="R3" s="28" t="n">
        <v>0</v>
      </c>
      <c r="S3" s="28" t="n">
        <v>83</v>
      </c>
      <c r="T3" s="28" t="n">
        <v>13</v>
      </c>
      <c r="U3" s="28" t="n">
        <v>70</v>
      </c>
      <c r="V3" s="28" t="n">
        <v>79</v>
      </c>
      <c r="W3" s="28" t="n">
        <v>4</v>
      </c>
      <c r="X3" s="28" t="n">
        <v>25</v>
      </c>
      <c r="Y3" s="28" t="n">
        <v>27</v>
      </c>
      <c r="Z3" s="28" t="n">
        <v>18</v>
      </c>
      <c r="AA3" s="28" t="n">
        <v>8</v>
      </c>
      <c r="AB3" s="28" t="n">
        <v>2</v>
      </c>
      <c r="AC3" s="28" t="n">
        <v>3</v>
      </c>
      <c r="AD3" s="29" t="n">
        <v>0.292683</v>
      </c>
      <c r="AE3" s="29" t="n">
        <v>0</v>
      </c>
      <c r="AF3" s="30" t="n">
        <v>58.5</v>
      </c>
      <c r="AG3" s="31" t="n">
        <v>290000</v>
      </c>
      <c r="AH3" s="31" t="n">
        <v>430000</v>
      </c>
      <c r="AI3" s="31" t="n">
        <v>700000</v>
      </c>
      <c r="AJ3" s="31" t="n">
        <v>1150000</v>
      </c>
      <c r="AK3" s="31" t="n">
        <v>1950000</v>
      </c>
      <c r="AL3" s="31" t="n">
        <v>3200000</v>
      </c>
      <c r="AM3" s="31" t="n">
        <v>920327.48</v>
      </c>
      <c r="AN3" s="31" t="n">
        <v>6318815.12</v>
      </c>
      <c r="AO3" s="31" t="n">
        <v>6441528.31</v>
      </c>
      <c r="AP3" s="31" t="n">
        <v>631881.51</v>
      </c>
      <c r="AQ3" s="31" t="n">
        <v>590543.47</v>
      </c>
      <c r="AR3" s="31" t="n">
        <v>103398.79</v>
      </c>
      <c r="AS3" s="31" t="n">
        <v>354326.08</v>
      </c>
      <c r="AT3" s="31" t="n">
        <v>315940.76</v>
      </c>
      <c r="AU3" s="31" t="n">
        <v>295271.73</v>
      </c>
      <c r="AV3" s="31" t="n">
        <v>114470.21</v>
      </c>
      <c r="AW3" s="31" t="n">
        <v>137070.05</v>
      </c>
      <c r="AX3" s="31" t="n">
        <v>73332.48</v>
      </c>
      <c r="AY3" s="31" t="n">
        <v>68535.03</v>
      </c>
      <c r="AZ3" s="31" t="n">
        <v>15411.74</v>
      </c>
      <c r="BA3" s="31" t="n">
        <v>0</v>
      </c>
      <c r="BB3" s="31" t="n">
        <v>10645.95</v>
      </c>
      <c r="BC3" s="31" t="n">
        <v>924166.95</v>
      </c>
      <c r="BD3" s="31" t="n">
        <v>211.02</v>
      </c>
      <c r="BE3" s="31" t="n">
        <v>0</v>
      </c>
      <c r="BF3" s="31" t="n">
        <f aca="false">SUM(BE3,BC3,BA3,AY3,AW3,AU3,AS3,AQ3,AO3)</f>
        <v>8811441.62</v>
      </c>
      <c r="BG3" s="31" t="n">
        <v>8517.43</v>
      </c>
      <c r="BH3" s="31" t="n">
        <v>22388.11</v>
      </c>
      <c r="BI3" s="31" t="n">
        <v>67221.44</v>
      </c>
      <c r="BJ3" s="31" t="n">
        <v>62823.77</v>
      </c>
      <c r="BK3" s="31" t="n">
        <v>48888.32</v>
      </c>
      <c r="BL3" s="31" t="n">
        <v>45690.02</v>
      </c>
      <c r="BM3" s="31" t="n">
        <v>119776.38</v>
      </c>
      <c r="BN3" s="31" t="n">
        <v>111940.54</v>
      </c>
      <c r="BO3" s="31" t="n">
        <v>121210.71</v>
      </c>
      <c r="BP3" s="31" t="n">
        <v>565077.64</v>
      </c>
      <c r="BQ3" s="31" t="n">
        <v>670627.09</v>
      </c>
      <c r="BR3" s="31" t="n">
        <v>626754.29</v>
      </c>
      <c r="BS3" s="31" t="n">
        <v>30952.02</v>
      </c>
      <c r="BT3" s="31" t="n">
        <v>33748.31</v>
      </c>
      <c r="BU3" s="31" t="n">
        <v>157970.38</v>
      </c>
      <c r="BV3" s="31" t="n">
        <v>147635.87</v>
      </c>
      <c r="BW3" s="31" t="n">
        <v>20533.09</v>
      </c>
      <c r="BX3" s="31" t="n">
        <v>39978.76</v>
      </c>
      <c r="BY3" s="31" t="n">
        <v>21728.14</v>
      </c>
      <c r="BZ3" s="31" t="n">
        <v>45690.02</v>
      </c>
      <c r="CA3" s="31" t="n">
        <v>68443.65</v>
      </c>
      <c r="CB3" s="31" t="n">
        <v>63966.02</v>
      </c>
      <c r="CC3" s="31" t="n">
        <v>25849.7</v>
      </c>
      <c r="CD3" s="31" t="n">
        <v>44290.76</v>
      </c>
      <c r="CE3" s="31" t="n">
        <v>12637.63</v>
      </c>
      <c r="CF3" s="31" t="n">
        <v>11810.87</v>
      </c>
      <c r="CG3" s="31" t="n">
        <f aca="false">SUM(CF3,CD3,CB3,BZ3,BX3,BV3,BT3,BR3,BP3,BN3,BL3,BJ3,BH3)</f>
        <v>1821794.98</v>
      </c>
      <c r="CH3" s="31" t="n">
        <f aca="false">CG3+BF3</f>
        <v>10633236.6</v>
      </c>
      <c r="CI3" s="31" t="n">
        <f aca="false">SUM(CE3,CC3,CA3,BY3,BW3,BU3,BS3,BQ3,BO3,BM3,BK3,BI3,BG3,BD3,BB3,AZ3,AX3,AV3,AT3,AR3,AP3,AN3)</f>
        <v>8958463.56</v>
      </c>
      <c r="CJ3" s="31" t="n">
        <f aca="false">CI3-CH3</f>
        <v>-1674773.04</v>
      </c>
      <c r="CK3" s="31" t="n">
        <f aca="false">IF(CE3-CF3+CC3-CD3+CA3-CB3+BU3-BV3+BK3-BL3+BI3-BJ3 &gt; 0, CE3-CF3+CC3-CD3+CA3-CB3+BU3-BV3+BK3-BL3+BI3-BJ3, "-")</f>
        <v>4793.81000000001</v>
      </c>
      <c r="CL3" s="31" t="str">
        <f aca="false">IF(CJ3&lt;0,"⚠ Over Budget","✓ Within Budget")</f>
        <v>⚠ Over Budget</v>
      </c>
      <c r="CM3" s="33" t="s">
        <v>106</v>
      </c>
    </row>
    <row r="4" customFormat="false" ht="14.25" hidden="false" customHeight="false" outlineLevel="0" collapsed="false">
      <c r="A4" s="22" t="s">
        <v>93</v>
      </c>
      <c r="B4" s="22" t="n">
        <v>2022</v>
      </c>
      <c r="C4" s="22" t="n">
        <v>83</v>
      </c>
      <c r="D4" s="22" t="n">
        <v>2</v>
      </c>
      <c r="E4" s="22" t="n">
        <v>1</v>
      </c>
      <c r="F4" s="22" t="n">
        <v>1</v>
      </c>
      <c r="G4" s="22" t="n">
        <v>0</v>
      </c>
      <c r="H4" s="22" t="n">
        <v>0</v>
      </c>
      <c r="I4" s="22" t="n">
        <v>0</v>
      </c>
      <c r="J4" s="22" t="n">
        <v>4</v>
      </c>
      <c r="K4" s="22" t="n">
        <v>1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1</v>
      </c>
      <c r="Q4" s="22" t="n">
        <v>1</v>
      </c>
      <c r="R4" s="22" t="n">
        <v>0</v>
      </c>
      <c r="S4" s="22" t="n">
        <v>86</v>
      </c>
      <c r="T4" s="22" t="n">
        <v>13</v>
      </c>
      <c r="U4" s="22" t="n">
        <v>73</v>
      </c>
      <c r="V4" s="22" t="n">
        <v>82</v>
      </c>
      <c r="W4" s="22" t="n">
        <v>4</v>
      </c>
      <c r="X4" s="22" t="n">
        <v>26</v>
      </c>
      <c r="Y4" s="22" t="n">
        <v>28</v>
      </c>
      <c r="Z4" s="22" t="n">
        <v>19</v>
      </c>
      <c r="AA4" s="22" t="n">
        <v>9</v>
      </c>
      <c r="AB4" s="22" t="n">
        <v>3</v>
      </c>
      <c r="AC4" s="22" t="n">
        <v>1</v>
      </c>
      <c r="AD4" s="23" t="n">
        <v>0.144578</v>
      </c>
      <c r="AE4" s="23" t="n">
        <v>0</v>
      </c>
      <c r="AF4" s="24" t="n">
        <v>59.1</v>
      </c>
      <c r="AG4" s="25" t="n">
        <v>290000</v>
      </c>
      <c r="AH4" s="25" t="n">
        <v>430000</v>
      </c>
      <c r="AI4" s="25" t="n">
        <v>700000</v>
      </c>
      <c r="AJ4" s="25" t="n">
        <v>1150000</v>
      </c>
      <c r="AK4" s="25" t="n">
        <v>1950000</v>
      </c>
      <c r="AL4" s="25" t="n">
        <v>3200000</v>
      </c>
      <c r="AM4" s="25" t="n">
        <v>920327.48</v>
      </c>
      <c r="AN4" s="25" t="n">
        <v>6400877.65</v>
      </c>
      <c r="AO4" s="25" t="n">
        <v>5982128.64</v>
      </c>
      <c r="AP4" s="25" t="n">
        <v>640087.76</v>
      </c>
      <c r="AQ4" s="25" t="n">
        <v>598212.86</v>
      </c>
      <c r="AR4" s="25" t="n">
        <v>17456.94</v>
      </c>
      <c r="AS4" s="25" t="n">
        <v>0</v>
      </c>
      <c r="AT4" s="25" t="n">
        <v>320043.88</v>
      </c>
      <c r="AU4" s="25" t="n">
        <v>299106.43</v>
      </c>
      <c r="AV4" s="25" t="n">
        <v>115956.83</v>
      </c>
      <c r="AW4" s="25" t="n">
        <v>138850.18</v>
      </c>
      <c r="AX4" s="25" t="n">
        <v>74284.85</v>
      </c>
      <c r="AY4" s="25" t="n">
        <v>69425.09</v>
      </c>
      <c r="AZ4" s="25" t="n">
        <v>15611.9</v>
      </c>
      <c r="BA4" s="25" t="n">
        <v>0</v>
      </c>
      <c r="BB4" s="25" t="n">
        <v>31937.85</v>
      </c>
      <c r="BC4" s="25" t="n">
        <v>30677.58</v>
      </c>
      <c r="BD4" s="25" t="n">
        <v>263.77</v>
      </c>
      <c r="BE4" s="25" t="n">
        <v>0</v>
      </c>
      <c r="BF4" s="25" t="n">
        <f aca="false">SUM(BE4,BC4,BA4,AY4,AW4,AU4,AS4,AQ4,AO4)</f>
        <v>7118400.78</v>
      </c>
      <c r="BG4" s="25" t="n">
        <v>8628.05</v>
      </c>
      <c r="BH4" s="25" t="n">
        <v>22678.86</v>
      </c>
      <c r="BI4" s="25" t="n">
        <v>68094.44</v>
      </c>
      <c r="BJ4" s="25" t="n">
        <v>63639.67</v>
      </c>
      <c r="BK4" s="25" t="n">
        <v>49523.23</v>
      </c>
      <c r="BL4" s="25" t="n">
        <v>46283.39</v>
      </c>
      <c r="BM4" s="25" t="n">
        <v>121331.92</v>
      </c>
      <c r="BN4" s="25" t="n">
        <v>113394.31</v>
      </c>
      <c r="BO4" s="25" t="n">
        <v>121210.71</v>
      </c>
      <c r="BP4" s="25" t="n">
        <v>207681.9</v>
      </c>
      <c r="BQ4" s="25" t="n">
        <v>680944.43</v>
      </c>
      <c r="BR4" s="25" t="n">
        <v>636396.66</v>
      </c>
      <c r="BS4" s="25" t="n">
        <v>31428.2</v>
      </c>
      <c r="BT4" s="25" t="n">
        <v>34267.51</v>
      </c>
      <c r="BU4" s="25" t="n">
        <v>160021.94</v>
      </c>
      <c r="BV4" s="25" t="n">
        <v>149553.22</v>
      </c>
      <c r="BW4" s="25" t="n">
        <v>20799.76</v>
      </c>
      <c r="BX4" s="25" t="n">
        <v>40497.97</v>
      </c>
      <c r="BY4" s="25" t="n">
        <v>22010.33</v>
      </c>
      <c r="BZ4" s="25" t="n">
        <v>46283.39</v>
      </c>
      <c r="CA4" s="25" t="n">
        <v>69332.52</v>
      </c>
      <c r="CB4" s="25" t="n">
        <v>64796.75</v>
      </c>
      <c r="CC4" s="25" t="n">
        <v>26185.41</v>
      </c>
      <c r="CD4" s="25" t="n">
        <v>44865.96</v>
      </c>
      <c r="CE4" s="25" t="n">
        <v>12801.76</v>
      </c>
      <c r="CF4" s="25" t="n">
        <v>11964.26</v>
      </c>
      <c r="CG4" s="25" t="n">
        <f aca="false">SUM(CF4,CD4,CB4,BZ4,BX4,BV4,BT4,BR4,BP4,BN4,BL4,BJ4,BH4)</f>
        <v>1482303.85</v>
      </c>
      <c r="CH4" s="25" t="n">
        <f aca="false">CG4+BF4</f>
        <v>8600704.63</v>
      </c>
      <c r="CI4" s="25" t="n">
        <f aca="false">SUM(CE4,CC4,CA4,BY4,BW4,BU4,BS4,BQ4,BO4,BM4,BK4,BI4,BG4,BD4,BB4,AZ4,AX4,AV4,AT4,AR4,AP4,AN4)</f>
        <v>9008834.13</v>
      </c>
      <c r="CJ4" s="25" t="n">
        <f aca="false">CI4-CH4</f>
        <v>408129.500000002</v>
      </c>
      <c r="CK4" s="25" t="n">
        <f aca="false">IF(CE4-CF4+CC4-CD4+CA4-CB4+BU4-BV4+BK4-BL4+BI4-BJ4 &gt; 0, CE4-CF4+CC4-CD4+CA4-CB4+BU4-BV4+BK4-BL4+BI4-BJ4, "-")</f>
        <v>4856.05</v>
      </c>
      <c r="CL4" s="25" t="str">
        <f aca="false">IF(CJ4&lt;0,"⚠ Over Budget","✓ Within Budget")</f>
        <v>✓ Within Budget</v>
      </c>
      <c r="CM4" s="27"/>
    </row>
    <row r="5" customFormat="false" ht="14.25" hidden="false" customHeight="false" outlineLevel="0" collapsed="false">
      <c r="A5" s="16" t="s">
        <v>94</v>
      </c>
      <c r="B5" s="16" t="n">
        <v>2022</v>
      </c>
      <c r="C5" s="16" t="n">
        <v>86</v>
      </c>
      <c r="D5" s="16" t="n">
        <v>1</v>
      </c>
      <c r="E5" s="16" t="n">
        <v>1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2</v>
      </c>
      <c r="K5" s="16" t="n">
        <v>1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1</v>
      </c>
      <c r="Q5" s="16" t="n">
        <v>1</v>
      </c>
      <c r="R5" s="16" t="n">
        <v>0</v>
      </c>
      <c r="S5" s="16" t="n">
        <v>87</v>
      </c>
      <c r="T5" s="16" t="n">
        <v>14</v>
      </c>
      <c r="U5" s="16" t="n">
        <v>73</v>
      </c>
      <c r="V5" s="16" t="n">
        <v>83</v>
      </c>
      <c r="W5" s="16" t="n">
        <v>4</v>
      </c>
      <c r="X5" s="16" t="n">
        <v>26</v>
      </c>
      <c r="Y5" s="16" t="n">
        <v>29</v>
      </c>
      <c r="Z5" s="16" t="n">
        <v>19</v>
      </c>
      <c r="AA5" s="16" t="n">
        <v>9</v>
      </c>
      <c r="AB5" s="16" t="n">
        <v>3</v>
      </c>
      <c r="AC5" s="16" t="n">
        <v>1</v>
      </c>
      <c r="AD5" s="17" t="n">
        <v>0.139535</v>
      </c>
      <c r="AE5" s="17" t="n">
        <v>0</v>
      </c>
      <c r="AF5" s="18" t="n">
        <v>60.2</v>
      </c>
      <c r="AG5" s="19" t="n">
        <v>290000</v>
      </c>
      <c r="AH5" s="19" t="n">
        <v>430000</v>
      </c>
      <c r="AI5" s="19" t="n">
        <v>700000</v>
      </c>
      <c r="AJ5" s="19" t="n">
        <v>1150000</v>
      </c>
      <c r="AK5" s="19" t="n">
        <v>1950000</v>
      </c>
      <c r="AL5" s="19" t="n">
        <v>3200000</v>
      </c>
      <c r="AM5" s="19" t="n">
        <v>920327.48</v>
      </c>
      <c r="AN5" s="19" t="n">
        <v>6318815.12</v>
      </c>
      <c r="AO5" s="19" t="n">
        <v>5905434.69</v>
      </c>
      <c r="AP5" s="19" t="n">
        <v>631881.51</v>
      </c>
      <c r="AQ5" s="19" t="n">
        <v>590543.47</v>
      </c>
      <c r="AR5" s="19" t="n">
        <v>28721.89</v>
      </c>
      <c r="AS5" s="19" t="n">
        <v>0</v>
      </c>
      <c r="AT5" s="19" t="n">
        <v>315940.76</v>
      </c>
      <c r="AU5" s="19" t="n">
        <v>295271.73</v>
      </c>
      <c r="AV5" s="19" t="n">
        <v>107315.82</v>
      </c>
      <c r="AW5" s="19" t="n">
        <v>102802.54</v>
      </c>
      <c r="AX5" s="19" t="n">
        <v>73332.48</v>
      </c>
      <c r="AY5" s="19" t="n">
        <v>68535.03</v>
      </c>
      <c r="AZ5" s="19" t="n">
        <v>343869.82</v>
      </c>
      <c r="BA5" s="19" t="n">
        <v>205880</v>
      </c>
      <c r="BB5" s="19" t="n">
        <v>1330.74</v>
      </c>
      <c r="BC5" s="19" t="n">
        <v>0</v>
      </c>
      <c r="BD5" s="19" t="n">
        <v>263.77</v>
      </c>
      <c r="BE5" s="19" t="n">
        <v>0</v>
      </c>
      <c r="BF5" s="19" t="n">
        <f aca="false">SUM(BE5,BC5,BA5,AY5,AW5,AU5,AS5,AQ5,AO5)</f>
        <v>7168467.46</v>
      </c>
      <c r="BG5" s="19" t="n">
        <v>8517.43</v>
      </c>
      <c r="BH5" s="19" t="n">
        <v>22388.11</v>
      </c>
      <c r="BI5" s="19" t="n">
        <v>67221.44</v>
      </c>
      <c r="BJ5" s="19" t="n">
        <v>62823.77</v>
      </c>
      <c r="BK5" s="19" t="n">
        <v>48888.32</v>
      </c>
      <c r="BL5" s="19" t="n">
        <v>45690.02</v>
      </c>
      <c r="BM5" s="19" t="n">
        <v>119776.38</v>
      </c>
      <c r="BN5" s="19" t="n">
        <v>111940.54</v>
      </c>
      <c r="BO5" s="19" t="n">
        <v>4328.95</v>
      </c>
      <c r="BP5" s="19" t="n">
        <v>0</v>
      </c>
      <c r="BQ5" s="19" t="n">
        <v>670627.09</v>
      </c>
      <c r="BR5" s="19" t="n">
        <v>626754.29</v>
      </c>
      <c r="BS5" s="19" t="n">
        <v>34391.13</v>
      </c>
      <c r="BT5" s="19" t="n">
        <v>33748.31</v>
      </c>
      <c r="BU5" s="19" t="n">
        <v>157970.38</v>
      </c>
      <c r="BV5" s="19" t="n">
        <v>147635.87</v>
      </c>
      <c r="BW5" s="19" t="n">
        <v>20533.09</v>
      </c>
      <c r="BX5" s="19" t="n">
        <v>39978.76</v>
      </c>
      <c r="BY5" s="19" t="n">
        <v>154329.63</v>
      </c>
      <c r="BZ5" s="19" t="n">
        <v>135218.72</v>
      </c>
      <c r="CA5" s="19" t="n">
        <v>68443.65</v>
      </c>
      <c r="CB5" s="19" t="n">
        <v>63966.02</v>
      </c>
      <c r="CC5" s="19" t="n">
        <v>339754.23</v>
      </c>
      <c r="CD5" s="19" t="n">
        <v>116426.68</v>
      </c>
      <c r="CE5" s="19" t="n">
        <v>12637.63</v>
      </c>
      <c r="CF5" s="19" t="n">
        <v>11810.87</v>
      </c>
      <c r="CG5" s="19" t="n">
        <f aca="false">SUM(CF5,CD5,CB5,BZ5,BX5,BV5,BT5,BR5,BP5,BN5,BL5,BJ5,BH5)</f>
        <v>1418381.96</v>
      </c>
      <c r="CH5" s="19" t="n">
        <f aca="false">CG5+BF5</f>
        <v>8586849.42</v>
      </c>
      <c r="CI5" s="19" t="n">
        <f aca="false">SUM(CE5,CC5,CA5,BY5,BW5,BU5,BS5,BQ5,BO5,BM5,BK5,BI5,BG5,BD5,BB5,AZ5,AX5,AV5,AT5,AR5,AP5,AN5)</f>
        <v>9528891.26</v>
      </c>
      <c r="CJ5" s="19" t="n">
        <f aca="false">CI5-CH5</f>
        <v>942041.84</v>
      </c>
      <c r="CK5" s="19" t="n">
        <f aca="false">IF(CE5-CF5+CC5-CD5+CA5-CB5+BU5-BV5+BK5-BL5+BI5-BJ5 &gt; 0, CE5-CF5+CC5-CD5+CA5-CB5+BU5-BV5+BK5-BL5+BI5-BJ5, "-")</f>
        <v>246562.42</v>
      </c>
      <c r="CL5" s="19" t="str">
        <f aca="false">IF(CJ5&lt;0,"⚠ Over Budget","✓ Within Budget")</f>
        <v>✓ Within Budget</v>
      </c>
      <c r="CM5" s="21"/>
    </row>
    <row r="6" customFormat="false" ht="14.25" hidden="false" customHeight="false" outlineLevel="0" collapsed="false">
      <c r="A6" s="22" t="s">
        <v>96</v>
      </c>
      <c r="B6" s="22" t="n">
        <v>2022</v>
      </c>
      <c r="C6" s="22" t="n">
        <v>87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87</v>
      </c>
      <c r="T6" s="22" t="n">
        <v>14</v>
      </c>
      <c r="U6" s="22" t="n">
        <v>73</v>
      </c>
      <c r="V6" s="22" t="n">
        <v>83</v>
      </c>
      <c r="W6" s="22" t="n">
        <v>4</v>
      </c>
      <c r="X6" s="22" t="n">
        <v>26</v>
      </c>
      <c r="Y6" s="22" t="n">
        <v>29</v>
      </c>
      <c r="Z6" s="22" t="n">
        <v>19</v>
      </c>
      <c r="AA6" s="22" t="n">
        <v>9</v>
      </c>
      <c r="AB6" s="22" t="n">
        <v>3</v>
      </c>
      <c r="AC6" s="22" t="n">
        <v>1</v>
      </c>
      <c r="AD6" s="23" t="n">
        <v>0</v>
      </c>
      <c r="AE6" s="23" t="n">
        <v>0.103165391258695</v>
      </c>
      <c r="AF6" s="24" t="n">
        <v>60.8</v>
      </c>
      <c r="AG6" s="25" t="n">
        <v>325128</v>
      </c>
      <c r="AH6" s="25" t="n">
        <v>473996</v>
      </c>
      <c r="AI6" s="25" t="n">
        <v>767356</v>
      </c>
      <c r="AJ6" s="25" t="n">
        <v>1243708</v>
      </c>
      <c r="AK6" s="25" t="n">
        <v>2100813</v>
      </c>
      <c r="AL6" s="25" t="n">
        <v>3427589</v>
      </c>
      <c r="AM6" s="25" t="n">
        <v>1006845.34</v>
      </c>
      <c r="AN6" s="25" t="n">
        <v>6823055.28</v>
      </c>
      <c r="AO6" s="25" t="n">
        <v>6376687.17</v>
      </c>
      <c r="AP6" s="25" t="n">
        <v>682305.53</v>
      </c>
      <c r="AQ6" s="25" t="n">
        <v>637668.72</v>
      </c>
      <c r="AR6" s="25" t="n">
        <v>347355.54</v>
      </c>
      <c r="AS6" s="25" t="n">
        <v>446368.1</v>
      </c>
      <c r="AT6" s="25" t="n">
        <v>341152.76</v>
      </c>
      <c r="AU6" s="25" t="n">
        <v>318834.36</v>
      </c>
      <c r="AV6" s="25" t="n">
        <v>127106.53</v>
      </c>
      <c r="AW6" s="25" t="n">
        <v>101467.44</v>
      </c>
      <c r="AX6" s="25" t="n">
        <v>72380.11</v>
      </c>
      <c r="AY6" s="25" t="n">
        <v>67644.96</v>
      </c>
      <c r="AZ6" s="25" t="n">
        <v>324117.01</v>
      </c>
      <c r="BA6" s="25" t="n">
        <v>155242.96</v>
      </c>
      <c r="BB6" s="25" t="n">
        <v>1455.84</v>
      </c>
      <c r="BC6" s="25" t="n">
        <v>0</v>
      </c>
      <c r="BD6" s="25" t="n">
        <v>28856.91</v>
      </c>
      <c r="BE6" s="25" t="n">
        <v>50342.27</v>
      </c>
      <c r="BF6" s="25" t="n">
        <f aca="false">SUM(BE6,BC6,BA6,AY6,AW6,AU6,AS6,AQ6,AO6)</f>
        <v>8154255.98</v>
      </c>
      <c r="BG6" s="25" t="n">
        <v>145317.81</v>
      </c>
      <c r="BH6" s="25" t="n">
        <v>69448.83</v>
      </c>
      <c r="BI6" s="25" t="n">
        <v>66348.43</v>
      </c>
      <c r="BJ6" s="25" t="n">
        <v>62007.88</v>
      </c>
      <c r="BK6" s="25" t="n">
        <v>48253.4</v>
      </c>
      <c r="BL6" s="25" t="n">
        <v>45096.64</v>
      </c>
      <c r="BM6" s="25" t="n">
        <v>118220.84</v>
      </c>
      <c r="BN6" s="25" t="n">
        <v>110486.77</v>
      </c>
      <c r="BO6" s="25" t="n">
        <v>21644.77</v>
      </c>
      <c r="BP6" s="25" t="n">
        <v>0</v>
      </c>
      <c r="BQ6" s="25" t="n">
        <v>660309.75</v>
      </c>
      <c r="BR6" s="25" t="n">
        <v>617111.92</v>
      </c>
      <c r="BS6" s="25" t="n">
        <v>33862.04</v>
      </c>
      <c r="BT6" s="25" t="n">
        <v>33229.1</v>
      </c>
      <c r="BU6" s="25" t="n">
        <v>170576.38</v>
      </c>
      <c r="BV6" s="25" t="n">
        <v>159417.18</v>
      </c>
      <c r="BW6" s="25" t="n">
        <v>81065.72</v>
      </c>
      <c r="BX6" s="25" t="n">
        <v>39459.56</v>
      </c>
      <c r="BY6" s="25" t="n">
        <v>21445.96</v>
      </c>
      <c r="BZ6" s="25" t="n">
        <v>45096.64</v>
      </c>
      <c r="CA6" s="25" t="n">
        <v>67554.77</v>
      </c>
      <c r="CB6" s="25" t="n">
        <v>63135.3</v>
      </c>
      <c r="CC6" s="25" t="n">
        <v>372219.28</v>
      </c>
      <c r="CD6" s="25" t="n">
        <v>127551.78</v>
      </c>
      <c r="CE6" s="25" t="n">
        <v>13646.11</v>
      </c>
      <c r="CF6" s="25" t="n">
        <v>12753.37</v>
      </c>
      <c r="CG6" s="25" t="n">
        <f aca="false">SUM(CF6,CD6,CB6,BZ6,BX6,BV6,BT6,BR6,BP6,BN6,BL6,BJ6,BH6)</f>
        <v>1384794.97</v>
      </c>
      <c r="CH6" s="25" t="n">
        <f aca="false">CG6+BF6</f>
        <v>9539050.95</v>
      </c>
      <c r="CI6" s="25" t="n">
        <f aca="false">SUM(CE6,CC6,CA6,BY6,BW6,BU6,BS6,BQ6,BO6,BM6,BK6,BI6,BG6,BD6,BB6,AZ6,AX6,AV6,AT6,AR6,AP6,AN6)</f>
        <v>10568250.77</v>
      </c>
      <c r="CJ6" s="25" t="n">
        <f aca="false">CI6-CH6</f>
        <v>1029199.82</v>
      </c>
      <c r="CK6" s="25" t="n">
        <f aca="false">IF(CE6-CF6+CC6-CD6+CA6-CB6+BU6-BV6+BK6-BL6+BI6-BJ6 &gt; 0, CE6-CF6+CC6-CD6+CA6-CB6+BU6-BV6+BK6-BL6+BI6-BJ6, "-")</f>
        <v>268636.22</v>
      </c>
      <c r="CL6" s="25" t="str">
        <f aca="false">IF(CJ6&lt;0,"⚠ Over Budget","✓ Within Budget")</f>
        <v>✓ Within Budget</v>
      </c>
      <c r="CM6" s="27"/>
    </row>
    <row r="7" customFormat="false" ht="14.25" hidden="false" customHeight="false" outlineLevel="0" collapsed="false">
      <c r="A7" s="16" t="s">
        <v>98</v>
      </c>
      <c r="B7" s="16" t="n">
        <v>2022</v>
      </c>
      <c r="C7" s="16" t="n">
        <v>87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87</v>
      </c>
      <c r="T7" s="16" t="n">
        <v>14</v>
      </c>
      <c r="U7" s="16" t="n">
        <v>73</v>
      </c>
      <c r="V7" s="16" t="n">
        <v>83</v>
      </c>
      <c r="W7" s="16" t="n">
        <v>4</v>
      </c>
      <c r="X7" s="16" t="n">
        <v>26</v>
      </c>
      <c r="Y7" s="16" t="n">
        <v>29</v>
      </c>
      <c r="Z7" s="16" t="n">
        <v>19</v>
      </c>
      <c r="AA7" s="16" t="n">
        <v>9</v>
      </c>
      <c r="AB7" s="16" t="n">
        <v>3</v>
      </c>
      <c r="AC7" s="16" t="n">
        <v>1</v>
      </c>
      <c r="AD7" s="17" t="n">
        <v>0</v>
      </c>
      <c r="AE7" s="17" t="n">
        <v>0</v>
      </c>
      <c r="AF7" s="18" t="n">
        <v>61.4</v>
      </c>
      <c r="AG7" s="19" t="n">
        <v>325128</v>
      </c>
      <c r="AH7" s="19" t="n">
        <v>473996</v>
      </c>
      <c r="AI7" s="19" t="n">
        <v>767356</v>
      </c>
      <c r="AJ7" s="19" t="n">
        <v>1243708</v>
      </c>
      <c r="AK7" s="19" t="n">
        <v>2100813</v>
      </c>
      <c r="AL7" s="19" t="n">
        <v>3427589</v>
      </c>
      <c r="AM7" s="19" t="n">
        <v>1006845.34</v>
      </c>
      <c r="AN7" s="19" t="n">
        <v>6823055.28</v>
      </c>
      <c r="AO7" s="19" t="n">
        <v>6376687.17</v>
      </c>
      <c r="AP7" s="19" t="n">
        <v>682305.53</v>
      </c>
      <c r="AQ7" s="19" t="n">
        <v>637668.72</v>
      </c>
      <c r="AR7" s="19" t="n">
        <v>24811.11</v>
      </c>
      <c r="AS7" s="19" t="n">
        <v>0</v>
      </c>
      <c r="AT7" s="19" t="n">
        <v>341152.76</v>
      </c>
      <c r="AU7" s="19" t="n">
        <v>318834.36</v>
      </c>
      <c r="AV7" s="19" t="n">
        <v>137698.74</v>
      </c>
      <c r="AW7" s="19" t="n">
        <v>101467.44</v>
      </c>
      <c r="AX7" s="19" t="n">
        <v>72380.11</v>
      </c>
      <c r="AY7" s="19" t="n">
        <v>67644.96</v>
      </c>
      <c r="AZ7" s="19" t="n">
        <v>19969.92</v>
      </c>
      <c r="BA7" s="19" t="n">
        <v>0</v>
      </c>
      <c r="BB7" s="19" t="n">
        <v>582.34</v>
      </c>
      <c r="BC7" s="19" t="n">
        <v>0</v>
      </c>
      <c r="BD7" s="19" t="n">
        <v>96.19</v>
      </c>
      <c r="BE7" s="19" t="n">
        <v>0</v>
      </c>
      <c r="BF7" s="19" t="n">
        <f aca="false">SUM(BE7,BC7,BA7,AY7,AW7,AU7,AS7,AQ7,AO7)</f>
        <v>7502302.65</v>
      </c>
      <c r="BG7" s="19" t="n">
        <v>97278.86</v>
      </c>
      <c r="BH7" s="19" t="n">
        <v>56821.77</v>
      </c>
      <c r="BI7" s="19" t="n">
        <v>66348.43</v>
      </c>
      <c r="BJ7" s="19" t="n">
        <v>62007.88</v>
      </c>
      <c r="BK7" s="19" t="n">
        <v>48253.4</v>
      </c>
      <c r="BL7" s="19" t="n">
        <v>45096.64</v>
      </c>
      <c r="BM7" s="19" t="n">
        <v>118220.84</v>
      </c>
      <c r="BN7" s="19" t="n">
        <v>110486.77</v>
      </c>
      <c r="BO7" s="19" t="n">
        <v>8657.91</v>
      </c>
      <c r="BP7" s="19" t="n">
        <v>0</v>
      </c>
      <c r="BQ7" s="19" t="n">
        <v>660309.75</v>
      </c>
      <c r="BR7" s="19" t="n">
        <v>617111.92</v>
      </c>
      <c r="BS7" s="19" t="n">
        <v>37248.24</v>
      </c>
      <c r="BT7" s="19" t="n">
        <v>33229.1</v>
      </c>
      <c r="BU7" s="19" t="n">
        <v>170576.38</v>
      </c>
      <c r="BV7" s="19" t="n">
        <v>159417.18</v>
      </c>
      <c r="BW7" s="19" t="n">
        <v>60799.29</v>
      </c>
      <c r="BX7" s="19" t="n">
        <v>39459.56</v>
      </c>
      <c r="BY7" s="19" t="n">
        <v>21445.96</v>
      </c>
      <c r="BZ7" s="19" t="n">
        <v>45096.64</v>
      </c>
      <c r="CA7" s="19" t="n">
        <v>67554.77</v>
      </c>
      <c r="CB7" s="19" t="n">
        <v>63135.3</v>
      </c>
      <c r="CC7" s="19" t="n">
        <v>44660</v>
      </c>
      <c r="CD7" s="19" t="n">
        <v>47825.15</v>
      </c>
      <c r="CE7" s="19" t="n">
        <v>13646.11</v>
      </c>
      <c r="CF7" s="19" t="n">
        <v>12753.37</v>
      </c>
      <c r="CG7" s="19" t="n">
        <f aca="false">SUM(CF7,CD7,CB7,BZ7,BX7,BV7,BT7,BR7,BP7,BN7,BL7,BJ7,BH7)</f>
        <v>1292441.28</v>
      </c>
      <c r="CH7" s="19" t="n">
        <f aca="false">CG7+BF7</f>
        <v>8794743.93</v>
      </c>
      <c r="CI7" s="19" t="n">
        <f aca="false">SUM(CE7,CC7,CA7,BY7,BW7,BU7,BS7,BQ7,BO7,BM7,BK7,BI7,BG7,BD7,BB7,AZ7,AX7,AV7,AT7,AR7,AP7,AN7)</f>
        <v>9517051.92</v>
      </c>
      <c r="CJ7" s="19" t="n">
        <f aca="false">CI7-CH7</f>
        <v>722307.99</v>
      </c>
      <c r="CK7" s="19" t="n">
        <f aca="false">IF(CE7-CF7+CC7-CD7+CA7-CB7+BU7-BV7+BK7-BL7+BI7-BJ7 &gt; 0, CE7-CF7+CC7-CD7+CA7-CB7+BU7-BV7+BK7-BL7+BI7-BJ7, "-")</f>
        <v>20803.57</v>
      </c>
      <c r="CL7" s="19" t="str">
        <f aca="false">IF(CJ7&lt;0,"⚠ Over Budget","✓ Within Budget")</f>
        <v>✓ Within Budget</v>
      </c>
      <c r="CM7" s="21"/>
    </row>
    <row r="8" customFormat="false" ht="18.75" hidden="false" customHeight="true" outlineLevel="0" collapsed="false">
      <c r="A8" s="28" t="s">
        <v>99</v>
      </c>
      <c r="B8" s="28" t="n">
        <v>2022</v>
      </c>
      <c r="C8" s="28" t="n">
        <v>87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1</v>
      </c>
      <c r="L8" s="28" t="n">
        <v>1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2</v>
      </c>
      <c r="R8" s="28" t="n">
        <v>0</v>
      </c>
      <c r="S8" s="28" t="n">
        <v>85</v>
      </c>
      <c r="T8" s="28" t="n">
        <v>9</v>
      </c>
      <c r="U8" s="28" t="n">
        <v>76</v>
      </c>
      <c r="V8" s="28" t="n">
        <v>81</v>
      </c>
      <c r="W8" s="28" t="n">
        <v>4</v>
      </c>
      <c r="X8" s="28" t="n">
        <v>26</v>
      </c>
      <c r="Y8" s="28" t="n">
        <v>28</v>
      </c>
      <c r="Z8" s="28" t="n">
        <v>19</v>
      </c>
      <c r="AA8" s="28" t="n">
        <v>8</v>
      </c>
      <c r="AB8" s="28" t="n">
        <v>3</v>
      </c>
      <c r="AC8" s="28" t="n">
        <v>1</v>
      </c>
      <c r="AD8" s="29" t="n">
        <v>0.275862</v>
      </c>
      <c r="AE8" s="29" t="n">
        <v>0</v>
      </c>
      <c r="AF8" s="30" t="n">
        <v>60.9</v>
      </c>
      <c r="AG8" s="31" t="n">
        <v>325128</v>
      </c>
      <c r="AH8" s="31" t="n">
        <v>473996</v>
      </c>
      <c r="AI8" s="31" t="n">
        <v>767356</v>
      </c>
      <c r="AJ8" s="31" t="n">
        <v>1243708</v>
      </c>
      <c r="AK8" s="31" t="n">
        <v>2100813</v>
      </c>
      <c r="AL8" s="31" t="n">
        <v>3427589</v>
      </c>
      <c r="AM8" s="31" t="n">
        <v>1006845.34</v>
      </c>
      <c r="AN8" s="31" t="n">
        <v>6643501.19</v>
      </c>
      <c r="AO8" s="31" t="n">
        <v>6208879.62</v>
      </c>
      <c r="AP8" s="31" t="n">
        <v>664350.12</v>
      </c>
      <c r="AQ8" s="31" t="n">
        <v>620887.96</v>
      </c>
      <c r="AR8" s="31" t="n">
        <v>24158.19</v>
      </c>
      <c r="AS8" s="31" t="n">
        <v>0</v>
      </c>
      <c r="AT8" s="31" t="n">
        <v>332175.06</v>
      </c>
      <c r="AU8" s="31" t="n">
        <v>310443.98</v>
      </c>
      <c r="AV8" s="31" t="n">
        <v>154702.03</v>
      </c>
      <c r="AW8" s="31" t="n">
        <v>98797.24</v>
      </c>
      <c r="AX8" s="31" t="n">
        <v>70475.37</v>
      </c>
      <c r="AY8" s="31" t="n">
        <v>65864.83</v>
      </c>
      <c r="AZ8" s="31" t="n">
        <v>19444.39</v>
      </c>
      <c r="BA8" s="31" t="n">
        <v>0</v>
      </c>
      <c r="BB8" s="31" t="n">
        <v>873.51</v>
      </c>
      <c r="BC8" s="31" t="n">
        <v>0</v>
      </c>
      <c r="BD8" s="31" t="n">
        <v>57713.81</v>
      </c>
      <c r="BE8" s="31" t="n">
        <v>50342.27</v>
      </c>
      <c r="BF8" s="31" t="n">
        <f aca="false">SUM(BE8,BC8,BA8,AY8,AW8,AU8,AS8,AQ8,AO8)</f>
        <v>7355215.9</v>
      </c>
      <c r="BG8" s="31" t="n">
        <v>16371.17</v>
      </c>
      <c r="BH8" s="31" t="n">
        <v>21515.84</v>
      </c>
      <c r="BI8" s="31" t="n">
        <v>64602.42</v>
      </c>
      <c r="BJ8" s="31" t="n">
        <v>60376.09</v>
      </c>
      <c r="BK8" s="31" t="n">
        <v>46983.58</v>
      </c>
      <c r="BL8" s="31" t="n">
        <v>43909.89</v>
      </c>
      <c r="BM8" s="31" t="n">
        <v>115109.77</v>
      </c>
      <c r="BN8" s="31" t="n">
        <v>107579.22</v>
      </c>
      <c r="BO8" s="31" t="n">
        <v>4328.95</v>
      </c>
      <c r="BP8" s="31" t="n">
        <v>0</v>
      </c>
      <c r="BQ8" s="31" t="n">
        <v>680944.43</v>
      </c>
      <c r="BR8" s="31" t="n">
        <v>2540815.98</v>
      </c>
      <c r="BS8" s="31" t="n">
        <v>45396.3</v>
      </c>
      <c r="BT8" s="31" t="n">
        <v>850447.22</v>
      </c>
      <c r="BU8" s="31" t="n">
        <v>166087.53</v>
      </c>
      <c r="BV8" s="31" t="n">
        <v>155221.99</v>
      </c>
      <c r="BW8" s="31" t="n">
        <v>39466.21</v>
      </c>
      <c r="BX8" s="31" t="n">
        <v>38421.15</v>
      </c>
      <c r="BY8" s="31" t="n">
        <v>545765.22</v>
      </c>
      <c r="BZ8" s="31" t="n">
        <v>229527.43</v>
      </c>
      <c r="CA8" s="31" t="n">
        <v>65777.01</v>
      </c>
      <c r="CB8" s="31" t="n">
        <v>61473.84</v>
      </c>
      <c r="CC8" s="31" t="n">
        <v>27177.96</v>
      </c>
      <c r="CD8" s="31" t="n">
        <v>46566.6</v>
      </c>
      <c r="CE8" s="31" t="n">
        <v>13287</v>
      </c>
      <c r="CF8" s="31" t="n">
        <v>12417.76</v>
      </c>
      <c r="CG8" s="31" t="n">
        <f aca="false">SUM(CF8,CD8,CB8,BZ8,BX8,BV8,BT8,BR8,BP8,BN8,BL8,BJ8,BH8)</f>
        <v>4168273.01</v>
      </c>
      <c r="CH8" s="31" t="n">
        <f aca="false">CG8+BF8</f>
        <v>11523488.91</v>
      </c>
      <c r="CI8" s="31" t="n">
        <f aca="false">SUM(CE8,CC8,CA8,BY8,BW8,BU8,BS8,BQ8,BO8,BM8,BK8,BI8,BG8,BD8,BB8,AZ8,AX8,AV8,AT8,AR8,AP8,AN8)</f>
        <v>9798691.22</v>
      </c>
      <c r="CJ8" s="31" t="n">
        <f aca="false">CI8-CH8</f>
        <v>-1724797.69</v>
      </c>
      <c r="CK8" s="31" t="n">
        <f aca="false">IF(CE8-CF8+CC8-CD8+CA8-CB8+BU8-BV8+BK8-BL8+BI8-BJ8 &gt; 0, CE8-CF8+CC8-CD8+CA8-CB8+BU8-BV8+BK8-BL8+BI8-BJ8, "-")</f>
        <v>3949.33</v>
      </c>
      <c r="CL8" s="31" t="str">
        <f aca="false">IF(CJ8&lt;0,"⚠ Over Budget","✓ Within Budget")</f>
        <v>⚠ Over Budget</v>
      </c>
      <c r="CM8" s="33" t="s">
        <v>108</v>
      </c>
    </row>
    <row r="9" customFormat="false" ht="18.75" hidden="false" customHeight="true" outlineLevel="0" collapsed="false">
      <c r="A9" s="28" t="s">
        <v>100</v>
      </c>
      <c r="B9" s="28" t="n">
        <v>2022</v>
      </c>
      <c r="C9" s="28" t="n">
        <v>85</v>
      </c>
      <c r="D9" s="28" t="n">
        <v>1</v>
      </c>
      <c r="E9" s="28" t="n">
        <v>1</v>
      </c>
      <c r="F9" s="28" t="n">
        <v>1</v>
      </c>
      <c r="G9" s="28" t="n">
        <v>0</v>
      </c>
      <c r="H9" s="28" t="n">
        <v>0</v>
      </c>
      <c r="I9" s="28" t="n">
        <v>0</v>
      </c>
      <c r="J9" s="28" t="n">
        <v>3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1</v>
      </c>
      <c r="S9" s="28" t="n">
        <v>87</v>
      </c>
      <c r="T9" s="28" t="n">
        <v>15</v>
      </c>
      <c r="U9" s="28" t="n">
        <v>72</v>
      </c>
      <c r="V9" s="28" t="n">
        <v>83</v>
      </c>
      <c r="W9" s="28" t="n">
        <v>4</v>
      </c>
      <c r="X9" s="28" t="n">
        <v>26</v>
      </c>
      <c r="Y9" s="28" t="n">
        <v>29</v>
      </c>
      <c r="Z9" s="28" t="n">
        <v>19</v>
      </c>
      <c r="AA9" s="28" t="n">
        <v>9</v>
      </c>
      <c r="AB9" s="28" t="n">
        <v>3</v>
      </c>
      <c r="AC9" s="28" t="n">
        <v>1</v>
      </c>
      <c r="AD9" s="29" t="n">
        <v>0</v>
      </c>
      <c r="AE9" s="29" t="n">
        <v>0</v>
      </c>
      <c r="AF9" s="30" t="n">
        <v>59.8</v>
      </c>
      <c r="AG9" s="31" t="n">
        <v>325128</v>
      </c>
      <c r="AH9" s="31" t="n">
        <v>473996</v>
      </c>
      <c r="AI9" s="31" t="n">
        <v>767356</v>
      </c>
      <c r="AJ9" s="31" t="n">
        <v>1243708</v>
      </c>
      <c r="AK9" s="31" t="n">
        <v>2100813</v>
      </c>
      <c r="AL9" s="31" t="n">
        <v>3427589</v>
      </c>
      <c r="AM9" s="31" t="n">
        <v>1006845.34</v>
      </c>
      <c r="AN9" s="31" t="n">
        <v>6912832.32</v>
      </c>
      <c r="AO9" s="31" t="n">
        <v>7478270.29</v>
      </c>
      <c r="AP9" s="31" t="n">
        <v>691283.23</v>
      </c>
      <c r="AQ9" s="31" t="n">
        <v>646059.1</v>
      </c>
      <c r="AR9" s="31" t="n">
        <v>25137.57</v>
      </c>
      <c r="AS9" s="31" t="n">
        <v>0</v>
      </c>
      <c r="AT9" s="31" t="n">
        <v>345641.62</v>
      </c>
      <c r="AU9" s="31" t="n">
        <v>323029.55</v>
      </c>
      <c r="AV9" s="31" t="n">
        <v>128778.98</v>
      </c>
      <c r="AW9" s="31" t="n">
        <v>102802.54</v>
      </c>
      <c r="AX9" s="31" t="n">
        <v>73332.48</v>
      </c>
      <c r="AY9" s="31" t="n">
        <v>68535.03</v>
      </c>
      <c r="AZ9" s="31" t="n">
        <v>16860.57</v>
      </c>
      <c r="BA9" s="31" t="n">
        <v>0</v>
      </c>
      <c r="BB9" s="31" t="n">
        <v>43675.32</v>
      </c>
      <c r="BC9" s="31" t="n">
        <v>1721303.36</v>
      </c>
      <c r="BD9" s="31" t="n">
        <v>288.57</v>
      </c>
      <c r="BE9" s="31" t="n">
        <v>0</v>
      </c>
      <c r="BF9" s="31" t="n">
        <f aca="false">SUM(BE9,BC9,BA9,AY9,AW9,AU9,AS9,AQ9,AO9)</f>
        <v>10339999.87</v>
      </c>
      <c r="BG9" s="31" t="n">
        <v>12776.15</v>
      </c>
      <c r="BH9" s="31" t="n">
        <v>22388.11</v>
      </c>
      <c r="BI9" s="31" t="n">
        <v>67221.44</v>
      </c>
      <c r="BJ9" s="31" t="n">
        <v>62823.77</v>
      </c>
      <c r="BK9" s="31" t="n">
        <v>48888.32</v>
      </c>
      <c r="BL9" s="31" t="n">
        <v>45690.02</v>
      </c>
      <c r="BM9" s="31" t="n">
        <v>119776.38</v>
      </c>
      <c r="BN9" s="31" t="n">
        <v>111940.54</v>
      </c>
      <c r="BO9" s="31" t="n">
        <v>454540.15</v>
      </c>
      <c r="BP9" s="31" t="n">
        <v>834214.31</v>
      </c>
      <c r="BQ9" s="31" t="n">
        <v>660309.75</v>
      </c>
      <c r="BR9" s="31" t="n">
        <v>617111.92</v>
      </c>
      <c r="BS9" s="31" t="n">
        <v>44020.65</v>
      </c>
      <c r="BT9" s="31" t="n">
        <v>33229.1</v>
      </c>
      <c r="BU9" s="31" t="n">
        <v>172820.81</v>
      </c>
      <c r="BV9" s="31" t="n">
        <v>161514.77</v>
      </c>
      <c r="BW9" s="31" t="n">
        <v>20533.09</v>
      </c>
      <c r="BX9" s="31" t="n">
        <v>39978.76</v>
      </c>
      <c r="BY9" s="31" t="n">
        <v>21728.14</v>
      </c>
      <c r="BZ9" s="31" t="n">
        <v>45690.02</v>
      </c>
      <c r="CA9" s="31" t="n">
        <v>68443.65</v>
      </c>
      <c r="CB9" s="31" t="n">
        <v>63966.02</v>
      </c>
      <c r="CC9" s="31" t="n">
        <v>28279.77</v>
      </c>
      <c r="CD9" s="31" t="n">
        <v>48454.43</v>
      </c>
      <c r="CE9" s="31" t="n">
        <v>13825.66</v>
      </c>
      <c r="CF9" s="31" t="n">
        <v>12921.18</v>
      </c>
      <c r="CG9" s="31" t="n">
        <f aca="false">SUM(CF9,CD9,CB9,BZ9,BX9,BV9,BT9,BR9,BP9,BN9,BL9,BJ9,BH9)</f>
        <v>2099922.95</v>
      </c>
      <c r="CH9" s="31" t="n">
        <f aca="false">CG9+BF9</f>
        <v>12439922.82</v>
      </c>
      <c r="CI9" s="31" t="n">
        <f aca="false">SUM(CE9,CC9,CA9,BY9,BW9,BU9,BS9,BQ9,BO9,BM9,BK9,BI9,BG9,BD9,BB9,AZ9,AX9,AV9,AT9,AR9,AP9,AN9)</f>
        <v>9970994.62</v>
      </c>
      <c r="CJ9" s="31" t="n">
        <f aca="false">CI9-CH9</f>
        <v>-2468928.2</v>
      </c>
      <c r="CK9" s="31" t="n">
        <f aca="false">IF(CE9-CF9+CC9-CD9+CA9-CB9+BU9-BV9+BK9-BL9+BI9-BJ9 &gt; 0, CE9-CF9+CC9-CD9+CA9-CB9+BU9-BV9+BK9-BL9+BI9-BJ9, "-")</f>
        <v>4109.46000000003</v>
      </c>
      <c r="CL9" s="31" t="str">
        <f aca="false">IF(CJ9&lt;0,"⚠ Over Budget","✓ Within Budget")</f>
        <v>⚠ Over Budget</v>
      </c>
      <c r="CM9" s="33" t="s">
        <v>110</v>
      </c>
    </row>
    <row r="10" customFormat="false" ht="14.25" hidden="false" customHeight="false" outlineLevel="0" collapsed="false">
      <c r="A10" s="22" t="s">
        <v>101</v>
      </c>
      <c r="B10" s="22" t="n">
        <v>2022</v>
      </c>
      <c r="C10" s="22" t="n">
        <v>87</v>
      </c>
      <c r="D10" s="22" t="n">
        <v>1</v>
      </c>
      <c r="E10" s="22" t="n">
        <v>1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2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89</v>
      </c>
      <c r="T10" s="22" t="n">
        <v>15</v>
      </c>
      <c r="U10" s="22" t="n">
        <v>74</v>
      </c>
      <c r="V10" s="22" t="n">
        <v>85</v>
      </c>
      <c r="W10" s="22" t="n">
        <v>4</v>
      </c>
      <c r="X10" s="22" t="n">
        <v>27</v>
      </c>
      <c r="Y10" s="22" t="n">
        <v>29</v>
      </c>
      <c r="Z10" s="22" t="n">
        <v>20</v>
      </c>
      <c r="AA10" s="22" t="n">
        <v>9</v>
      </c>
      <c r="AB10" s="22" t="n">
        <v>3</v>
      </c>
      <c r="AC10" s="22" t="n">
        <v>1</v>
      </c>
      <c r="AD10" s="23" t="n">
        <v>0</v>
      </c>
      <c r="AE10" s="23" t="n">
        <v>0</v>
      </c>
      <c r="AF10" s="24" t="n">
        <v>59.2</v>
      </c>
      <c r="AG10" s="25" t="n">
        <v>325128</v>
      </c>
      <c r="AH10" s="25" t="n">
        <v>473996</v>
      </c>
      <c r="AI10" s="25" t="n">
        <v>767356</v>
      </c>
      <c r="AJ10" s="25" t="n">
        <v>1243708</v>
      </c>
      <c r="AK10" s="25" t="n">
        <v>2100813</v>
      </c>
      <c r="AL10" s="25" t="n">
        <v>3427589</v>
      </c>
      <c r="AM10" s="25" t="n">
        <v>1006845.34</v>
      </c>
      <c r="AN10" s="25" t="n">
        <v>7271940.49</v>
      </c>
      <c r="AO10" s="25" t="n">
        <v>6796206.07</v>
      </c>
      <c r="AP10" s="25" t="n">
        <v>727194.05</v>
      </c>
      <c r="AQ10" s="25" t="n">
        <v>679620.61</v>
      </c>
      <c r="AR10" s="25" t="n">
        <v>26443.42</v>
      </c>
      <c r="AS10" s="25" t="n">
        <v>0</v>
      </c>
      <c r="AT10" s="25" t="n">
        <v>363597.02</v>
      </c>
      <c r="AU10" s="25" t="n">
        <v>339810.3</v>
      </c>
      <c r="AV10" s="25" t="n">
        <v>112890.67</v>
      </c>
      <c r="AW10" s="25" t="n">
        <v>108142.93</v>
      </c>
      <c r="AX10" s="25" t="n">
        <v>77141.96</v>
      </c>
      <c r="AY10" s="25" t="n">
        <v>72095.29</v>
      </c>
      <c r="AZ10" s="25" t="n">
        <v>17736.44</v>
      </c>
      <c r="BA10" s="25" t="n">
        <v>0</v>
      </c>
      <c r="BB10" s="25" t="n">
        <v>72792.2</v>
      </c>
      <c r="BC10" s="25" t="n">
        <v>41951.89</v>
      </c>
      <c r="BD10" s="25" t="n">
        <v>86570.72</v>
      </c>
      <c r="BE10" s="25" t="n">
        <v>50342.27</v>
      </c>
      <c r="BF10" s="25" t="n">
        <f aca="false">SUM(BE10,BC10,BA10,AY10,AW10,AU10,AS10,AQ10,AO10)</f>
        <v>8088169.36</v>
      </c>
      <c r="BG10" s="25" t="n">
        <v>71999.16</v>
      </c>
      <c r="BH10" s="25" t="n">
        <v>50466.7</v>
      </c>
      <c r="BI10" s="25" t="n">
        <v>70713.46</v>
      </c>
      <c r="BJ10" s="25" t="n">
        <v>66087.35</v>
      </c>
      <c r="BK10" s="25" t="n">
        <v>51427.97</v>
      </c>
      <c r="BL10" s="25" t="n">
        <v>48063.52</v>
      </c>
      <c r="BM10" s="25" t="n">
        <v>125998.53</v>
      </c>
      <c r="BN10" s="25" t="n">
        <v>117755.63</v>
      </c>
      <c r="BO10" s="25" t="n">
        <v>303026.77</v>
      </c>
      <c r="BP10" s="25" t="n">
        <v>259602.37</v>
      </c>
      <c r="BQ10" s="25" t="n">
        <v>691261.77</v>
      </c>
      <c r="BR10" s="25" t="n">
        <v>646039.04</v>
      </c>
      <c r="BS10" s="25" t="n">
        <v>46084.12</v>
      </c>
      <c r="BT10" s="25" t="n">
        <v>34786.72</v>
      </c>
      <c r="BU10" s="25" t="n">
        <v>181798.51</v>
      </c>
      <c r="BV10" s="25" t="n">
        <v>169905.15</v>
      </c>
      <c r="BW10" s="25" t="n">
        <v>43199.5</v>
      </c>
      <c r="BX10" s="25" t="n">
        <v>42055.58</v>
      </c>
      <c r="BY10" s="25" t="n">
        <v>50260.76</v>
      </c>
      <c r="BZ10" s="25" t="n">
        <v>88073.75</v>
      </c>
      <c r="CA10" s="25" t="n">
        <v>71999.16</v>
      </c>
      <c r="CB10" s="25" t="n">
        <v>67288.93</v>
      </c>
      <c r="CC10" s="25" t="n">
        <v>29748.85</v>
      </c>
      <c r="CD10" s="25" t="n">
        <v>50971.55</v>
      </c>
      <c r="CE10" s="25" t="n">
        <v>14543.88</v>
      </c>
      <c r="CF10" s="25" t="n">
        <v>13592.41</v>
      </c>
      <c r="CG10" s="25" t="n">
        <f aca="false">SUM(CF10,CD10,CB10,BZ10,BX10,BV10,BT10,BR10,BP10,BN10,BL10,BJ10,BH10)</f>
        <v>1654688.7</v>
      </c>
      <c r="CH10" s="25" t="n">
        <f aca="false">CG10+BF10</f>
        <v>9742858.06</v>
      </c>
      <c r="CI10" s="25" t="n">
        <f aca="false">SUM(CE10,CC10,CA10,BY10,BW10,BU10,BS10,BQ10,BO10,BM10,BK10,BI10,BG10,BD10,BB10,AZ10,AX10,AV10,AT10,AR10,AP10,AN10)</f>
        <v>10508369.41</v>
      </c>
      <c r="CJ10" s="25" t="n">
        <f aca="false">CI10-CH10</f>
        <v>765511.35</v>
      </c>
      <c r="CK10" s="25" t="n">
        <f aca="false">IF(CE10-CF10+CC10-CD10+CA10-CB10+BU10-BV10+BK10-BL10+BI10-BJ10 &gt; 0, CE10-CF10+CC10-CD10+CA10-CB10+BU10-BV10+BK10-BL10+BI10-BJ10, "-")</f>
        <v>4322.92000000001</v>
      </c>
      <c r="CL10" s="25" t="str">
        <f aca="false">IF(CJ10&lt;0,"⚠ Over Budget","✓ Within Budget")</f>
        <v>✓ Within Budget</v>
      </c>
      <c r="CM10" s="27"/>
    </row>
    <row r="11" customFormat="false" ht="18.75" hidden="false" customHeight="true" outlineLevel="0" collapsed="false">
      <c r="A11" s="28" t="s">
        <v>102</v>
      </c>
      <c r="B11" s="28" t="n">
        <v>2022</v>
      </c>
      <c r="C11" s="28" t="n">
        <v>89</v>
      </c>
      <c r="D11" s="28" t="n">
        <v>1</v>
      </c>
      <c r="E11" s="28" t="n">
        <v>1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2</v>
      </c>
      <c r="K11" s="28" t="n">
        <v>1</v>
      </c>
      <c r="L11" s="28" t="n">
        <v>0</v>
      </c>
      <c r="M11" s="28" t="n">
        <v>0</v>
      </c>
      <c r="N11" s="28" t="n">
        <v>0</v>
      </c>
      <c r="O11" s="28" t="n">
        <v>0</v>
      </c>
      <c r="P11" s="28" t="n">
        <v>1</v>
      </c>
      <c r="Q11" s="28" t="n">
        <v>1</v>
      </c>
      <c r="R11" s="28" t="n">
        <v>0</v>
      </c>
      <c r="S11" s="28" t="n">
        <v>90</v>
      </c>
      <c r="T11" s="28" t="n">
        <v>14</v>
      </c>
      <c r="U11" s="28" t="n">
        <v>76</v>
      </c>
      <c r="V11" s="28" t="n">
        <v>86</v>
      </c>
      <c r="W11" s="28" t="n">
        <v>4</v>
      </c>
      <c r="X11" s="28" t="n">
        <v>27</v>
      </c>
      <c r="Y11" s="28" t="n">
        <v>30</v>
      </c>
      <c r="Z11" s="28" t="n">
        <v>20</v>
      </c>
      <c r="AA11" s="28" t="n">
        <v>9</v>
      </c>
      <c r="AB11" s="28" t="n">
        <v>3</v>
      </c>
      <c r="AC11" s="28" t="n">
        <v>1</v>
      </c>
      <c r="AD11" s="29" t="n">
        <v>0.134831</v>
      </c>
      <c r="AE11" s="29" t="n">
        <v>0</v>
      </c>
      <c r="AF11" s="30" t="n">
        <v>57.3</v>
      </c>
      <c r="AG11" s="31" t="n">
        <v>325128</v>
      </c>
      <c r="AH11" s="31" t="n">
        <v>473996</v>
      </c>
      <c r="AI11" s="31" t="n">
        <v>767356</v>
      </c>
      <c r="AJ11" s="31" t="n">
        <v>1243708</v>
      </c>
      <c r="AK11" s="31" t="n">
        <v>2100813</v>
      </c>
      <c r="AL11" s="31" t="n">
        <v>3427589</v>
      </c>
      <c r="AM11" s="31" t="n">
        <v>1006845.34</v>
      </c>
      <c r="AN11" s="31" t="n">
        <v>7361717.53</v>
      </c>
      <c r="AO11" s="31" t="n">
        <v>6880109.84</v>
      </c>
      <c r="AP11" s="31" t="n">
        <v>736171.75</v>
      </c>
      <c r="AQ11" s="31" t="n">
        <v>688010.98</v>
      </c>
      <c r="AR11" s="31" t="n">
        <v>26769.88</v>
      </c>
      <c r="AS11" s="31" t="n">
        <v>0</v>
      </c>
      <c r="AT11" s="31" t="n">
        <v>368085.88</v>
      </c>
      <c r="AU11" s="31" t="n">
        <v>344005.49</v>
      </c>
      <c r="AV11" s="31" t="n">
        <v>125712.82</v>
      </c>
      <c r="AW11" s="31" t="n">
        <v>109478.03</v>
      </c>
      <c r="AX11" s="31" t="n">
        <v>78094.33</v>
      </c>
      <c r="AY11" s="31" t="n">
        <v>72985.35</v>
      </c>
      <c r="AZ11" s="31" t="n">
        <v>152772.95</v>
      </c>
      <c r="BA11" s="31" t="n">
        <v>146347.92</v>
      </c>
      <c r="BB11" s="31" t="n">
        <v>8735.06</v>
      </c>
      <c r="BC11" s="31" t="n">
        <v>8390.38</v>
      </c>
      <c r="BD11" s="31" t="n">
        <v>96.19</v>
      </c>
      <c r="BE11" s="31" t="n">
        <v>0</v>
      </c>
      <c r="BF11" s="31" t="n">
        <f aca="false">SUM(BE11,BC11,BA11,AY11,AW11,AU11,AS11,AQ11,AO11)</f>
        <v>8249327.99</v>
      </c>
      <c r="BG11" s="31" t="n">
        <v>104958.77</v>
      </c>
      <c r="BH11" s="31" t="n">
        <v>61307.7</v>
      </c>
      <c r="BI11" s="31" t="n">
        <v>71586.47</v>
      </c>
      <c r="BJ11" s="31" t="n">
        <v>66903.24</v>
      </c>
      <c r="BK11" s="31" t="n">
        <v>52062.88</v>
      </c>
      <c r="BL11" s="31" t="n">
        <v>48656.9</v>
      </c>
      <c r="BM11" s="31" t="n">
        <v>127554.07</v>
      </c>
      <c r="BN11" s="31" t="n">
        <v>1142299.09</v>
      </c>
      <c r="BO11" s="31" t="n">
        <v>30302.68</v>
      </c>
      <c r="BP11" s="31" t="n">
        <v>1951944.17</v>
      </c>
      <c r="BQ11" s="31" t="n">
        <v>711896.45</v>
      </c>
      <c r="BR11" s="31" t="n">
        <v>665323.79</v>
      </c>
      <c r="BS11" s="31" t="n">
        <v>40158.26</v>
      </c>
      <c r="BT11" s="31" t="n">
        <v>35825.13</v>
      </c>
      <c r="BU11" s="31" t="n">
        <v>184042.94</v>
      </c>
      <c r="BV11" s="31" t="n">
        <v>172002.75</v>
      </c>
      <c r="BW11" s="31" t="n">
        <v>87465.65</v>
      </c>
      <c r="BX11" s="31" t="n">
        <v>42574.79</v>
      </c>
      <c r="BY11" s="31" t="n">
        <v>23139.06</v>
      </c>
      <c r="BZ11" s="31" t="n">
        <v>48656.9</v>
      </c>
      <c r="CA11" s="31" t="n">
        <v>72888.04</v>
      </c>
      <c r="CB11" s="31" t="n">
        <v>68119.66</v>
      </c>
      <c r="CC11" s="31" t="n">
        <v>36139.34</v>
      </c>
      <c r="CD11" s="31" t="n">
        <v>51600.82</v>
      </c>
      <c r="CE11" s="31" t="n">
        <v>14723.44</v>
      </c>
      <c r="CF11" s="31" t="n">
        <v>13760.22</v>
      </c>
      <c r="CG11" s="31" t="n">
        <f aca="false">SUM(CF11,CD11,CB11,BZ11,BX11,BV11,BT11,BR11,BP11,BN11,BL11,BJ11,BH11)</f>
        <v>4368975.16</v>
      </c>
      <c r="CH11" s="31" t="n">
        <f aca="false">CG11+BF11</f>
        <v>12618303.15</v>
      </c>
      <c r="CI11" s="31" t="n">
        <f aca="false">SUM(CE11,CC11,CA11,BY11,BW11,BU11,BS11,BQ11,BO11,BM11,BK11,BI11,BG11,BD11,BB11,AZ11,AX11,AV11,AT11,AR11,AP11,AN11)</f>
        <v>10415074.44</v>
      </c>
      <c r="CJ11" s="31" t="n">
        <f aca="false">CI11-CH11</f>
        <v>-2203228.71</v>
      </c>
      <c r="CK11" s="31" t="n">
        <f aca="false">IF(CE11-CF11+CC11-CD11+CA11-CB11+BU11-BV11+BK11-BL11+BI11-BJ11 &gt; 0, CE11-CF11+CC11-CD11+CA11-CB11+BU11-BV11+BK11-BL11+BI11-BJ11, "-")</f>
        <v>10399.52</v>
      </c>
      <c r="CL11" s="31" t="str">
        <f aca="false">IF(CJ11&lt;0,"⚠ Over Budget","✓ Within Budget")</f>
        <v>⚠ Over Budget</v>
      </c>
      <c r="CM11" s="33" t="s">
        <v>117</v>
      </c>
    </row>
    <row r="12" customFormat="false" ht="14.25" hidden="false" customHeight="false" outlineLevel="0" collapsed="false">
      <c r="A12" s="22" t="s">
        <v>103</v>
      </c>
      <c r="B12" s="22" t="n">
        <v>2022</v>
      </c>
      <c r="C12" s="22" t="n">
        <v>90</v>
      </c>
      <c r="D12" s="22" t="n">
        <v>1</v>
      </c>
      <c r="E12" s="22" t="n">
        <v>1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2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92</v>
      </c>
      <c r="T12" s="22" t="n">
        <v>14</v>
      </c>
      <c r="U12" s="22" t="n">
        <v>78</v>
      </c>
      <c r="V12" s="22" t="n">
        <v>87</v>
      </c>
      <c r="W12" s="22" t="n">
        <v>5</v>
      </c>
      <c r="X12" s="22" t="n">
        <v>28</v>
      </c>
      <c r="Y12" s="22" t="n">
        <v>30</v>
      </c>
      <c r="Z12" s="22" t="n">
        <v>20</v>
      </c>
      <c r="AA12" s="22" t="n">
        <v>9</v>
      </c>
      <c r="AB12" s="22" t="n">
        <v>3</v>
      </c>
      <c r="AC12" s="22" t="n">
        <v>2</v>
      </c>
      <c r="AD12" s="23" t="n">
        <v>0</v>
      </c>
      <c r="AE12" s="23" t="n">
        <v>0.0153367097166494</v>
      </c>
      <c r="AF12" s="24" t="n">
        <v>56.8</v>
      </c>
      <c r="AG12" s="25" t="n">
        <v>330733</v>
      </c>
      <c r="AH12" s="25" t="n">
        <v>481963</v>
      </c>
      <c r="AI12" s="25" t="n">
        <v>777307</v>
      </c>
      <c r="AJ12" s="25" t="n">
        <v>1258955</v>
      </c>
      <c r="AK12" s="25" t="n">
        <v>2122751</v>
      </c>
      <c r="AL12" s="25" t="n">
        <v>3466081</v>
      </c>
      <c r="AM12" s="25" t="n">
        <v>1020867.59</v>
      </c>
      <c r="AN12" s="25" t="n">
        <v>8101435.09</v>
      </c>
      <c r="AO12" s="25" t="n">
        <v>7571434.66</v>
      </c>
      <c r="AP12" s="25" t="n">
        <v>810143.51</v>
      </c>
      <c r="AQ12" s="25" t="n">
        <v>757143.47</v>
      </c>
      <c r="AR12" s="25" t="n">
        <v>942712.45</v>
      </c>
      <c r="AS12" s="25" t="n">
        <v>302857.39</v>
      </c>
      <c r="AT12" s="25" t="n">
        <v>405071.75</v>
      </c>
      <c r="AU12" s="25" t="n">
        <v>378571.73</v>
      </c>
      <c r="AV12" s="25" t="n">
        <v>111636.33</v>
      </c>
      <c r="AW12" s="25" t="n">
        <v>118823.71</v>
      </c>
      <c r="AX12" s="25" t="n">
        <v>84760.92</v>
      </c>
      <c r="AY12" s="25" t="n">
        <v>79215.81</v>
      </c>
      <c r="AZ12" s="25" t="n">
        <v>456387.38</v>
      </c>
      <c r="BA12" s="25" t="n">
        <v>218596.76</v>
      </c>
      <c r="BB12" s="25" t="n">
        <v>61997.01</v>
      </c>
      <c r="BC12" s="25" t="n">
        <v>59550.61</v>
      </c>
      <c r="BD12" s="25" t="n">
        <v>97.53</v>
      </c>
      <c r="BE12" s="25" t="n">
        <v>0</v>
      </c>
      <c r="BF12" s="25" t="n">
        <f aca="false">SUM(BE12,BC12,BA12,AY12,AW12,AU12,AS12,AQ12,AO12)</f>
        <v>9486194.14</v>
      </c>
      <c r="BG12" s="25" t="n">
        <v>68913.76</v>
      </c>
      <c r="BH12" s="25" t="n">
        <v>51754.33</v>
      </c>
      <c r="BI12" s="25" t="n">
        <v>77697.51</v>
      </c>
      <c r="BJ12" s="25" t="n">
        <v>72614.49</v>
      </c>
      <c r="BK12" s="25" t="n">
        <v>56507.28</v>
      </c>
      <c r="BL12" s="25" t="n">
        <v>52810.54</v>
      </c>
      <c r="BM12" s="25" t="n">
        <v>138442.83</v>
      </c>
      <c r="BN12" s="25" t="n">
        <v>129385.82</v>
      </c>
      <c r="BO12" s="25" t="n">
        <v>212118.74</v>
      </c>
      <c r="BP12" s="25" t="n">
        <v>363443.32</v>
      </c>
      <c r="BQ12" s="25" t="n">
        <v>773800.49</v>
      </c>
      <c r="BR12" s="25" t="n">
        <v>723178.03</v>
      </c>
      <c r="BS12" s="25" t="n">
        <v>39682.08</v>
      </c>
      <c r="BT12" s="25" t="n">
        <v>38940.36</v>
      </c>
      <c r="BU12" s="25" t="n">
        <v>202535.88</v>
      </c>
      <c r="BV12" s="25" t="n">
        <v>189285.87</v>
      </c>
      <c r="BW12" s="25" t="n">
        <v>71199.17</v>
      </c>
      <c r="BX12" s="25" t="n">
        <v>46209.22</v>
      </c>
      <c r="BY12" s="25" t="n">
        <v>1245376.89</v>
      </c>
      <c r="BZ12" s="25" t="n">
        <v>409184.87</v>
      </c>
      <c r="CA12" s="25" t="n">
        <v>79110.19</v>
      </c>
      <c r="CB12" s="25" t="n">
        <v>73934.75</v>
      </c>
      <c r="CC12" s="25" t="n">
        <v>53027.58</v>
      </c>
      <c r="CD12" s="25" t="n">
        <v>56785.76</v>
      </c>
      <c r="CE12" s="25" t="n">
        <v>16202.87</v>
      </c>
      <c r="CF12" s="25" t="n">
        <v>15142.87</v>
      </c>
      <c r="CG12" s="25" t="n">
        <f aca="false">SUM(CF12,CD12,CB12,BZ12,BX12,BV12,BT12,BR12,BP12,BN12,BL12,BJ12,BH12)</f>
        <v>2222670.23</v>
      </c>
      <c r="CH12" s="25" t="n">
        <f aca="false">CG12+BF12</f>
        <v>11708864.37</v>
      </c>
      <c r="CI12" s="25" t="n">
        <f aca="false">SUM(CE12,CC12,CA12,BY12,BW12,BU12,BS12,BQ12,BO12,BM12,BK12,BI12,BG12,BD12,BB12,AZ12,AX12,AV12,AT12,AR12,AP12,AN12)</f>
        <v>14008857.24</v>
      </c>
      <c r="CJ12" s="25" t="n">
        <f aca="false">CI12-CH12</f>
        <v>2299992.87</v>
      </c>
      <c r="CK12" s="25" t="n">
        <f aca="false">IF(CE12-CF12+CC12-CD12+CA12-CB12+BU12-BV12+BK12-BL12+BI12-BJ12 &gt; 0, CE12-CF12+CC12-CD12+CA12-CB12+BU12-BV12+BK12-BL12+BI12-BJ12, "-")</f>
        <v>24507.03</v>
      </c>
      <c r="CL12" s="25" t="str">
        <f aca="false">IF(CJ12&lt;0,"⚠ Over Budget","✓ Within Budget")</f>
        <v>✓ Within Budget</v>
      </c>
      <c r="CM12" s="27"/>
    </row>
    <row r="13" customFormat="false" ht="14.25" hidden="false" customHeight="false" outlineLevel="0" collapsed="false">
      <c r="A13" s="16" t="s">
        <v>104</v>
      </c>
      <c r="B13" s="16" t="n">
        <v>2022</v>
      </c>
      <c r="C13" s="16" t="n">
        <v>92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92</v>
      </c>
      <c r="T13" s="16" t="n">
        <v>14</v>
      </c>
      <c r="U13" s="16" t="n">
        <v>78</v>
      </c>
      <c r="V13" s="16" t="n">
        <v>87</v>
      </c>
      <c r="W13" s="16" t="n">
        <v>5</v>
      </c>
      <c r="X13" s="16" t="n">
        <v>28</v>
      </c>
      <c r="Y13" s="16" t="n">
        <v>30</v>
      </c>
      <c r="Z13" s="16" t="n">
        <v>20</v>
      </c>
      <c r="AA13" s="16" t="n">
        <v>9</v>
      </c>
      <c r="AB13" s="16" t="n">
        <v>3</v>
      </c>
      <c r="AC13" s="16" t="n">
        <v>2</v>
      </c>
      <c r="AD13" s="17" t="n">
        <v>0</v>
      </c>
      <c r="AE13" s="17" t="n">
        <v>0</v>
      </c>
      <c r="AF13" s="18" t="n">
        <v>56.2</v>
      </c>
      <c r="AG13" s="19" t="n">
        <v>330733</v>
      </c>
      <c r="AH13" s="19" t="n">
        <v>481963</v>
      </c>
      <c r="AI13" s="19" t="n">
        <v>777307</v>
      </c>
      <c r="AJ13" s="19" t="n">
        <v>1258955</v>
      </c>
      <c r="AK13" s="19" t="n">
        <v>2122751</v>
      </c>
      <c r="AL13" s="19" t="n">
        <v>3466081</v>
      </c>
      <c r="AM13" s="19" t="n">
        <v>1020867.59</v>
      </c>
      <c r="AN13" s="19" t="n">
        <v>8101435.09</v>
      </c>
      <c r="AO13" s="19" t="n">
        <v>7571434.66</v>
      </c>
      <c r="AP13" s="19" t="n">
        <v>810143.51</v>
      </c>
      <c r="AQ13" s="19" t="n">
        <v>757143.47</v>
      </c>
      <c r="AR13" s="19" t="n">
        <v>95744.23</v>
      </c>
      <c r="AS13" s="19" t="n">
        <v>0</v>
      </c>
      <c r="AT13" s="19" t="n">
        <v>405071.75</v>
      </c>
      <c r="AU13" s="19" t="n">
        <v>378571.73</v>
      </c>
      <c r="AV13" s="19" t="n">
        <v>132309.72</v>
      </c>
      <c r="AW13" s="19" t="n">
        <v>158431.62</v>
      </c>
      <c r="AX13" s="19" t="n">
        <v>84760.92</v>
      </c>
      <c r="AY13" s="19" t="n">
        <v>79215.81</v>
      </c>
      <c r="AZ13" s="19" t="n">
        <v>39519.2</v>
      </c>
      <c r="BA13" s="19" t="n">
        <v>0</v>
      </c>
      <c r="BB13" s="19" t="n">
        <v>295.22</v>
      </c>
      <c r="BC13" s="19" t="n">
        <v>0</v>
      </c>
      <c r="BD13" s="19" t="n">
        <v>97.53</v>
      </c>
      <c r="BE13" s="19" t="n">
        <v>0</v>
      </c>
      <c r="BF13" s="19" t="n">
        <f aca="false">SUM(BE13,BC13,BA13,AY13,AW13,AU13,AS13,AQ13,AO13)</f>
        <v>8944797.29</v>
      </c>
      <c r="BG13" s="19" t="n">
        <v>90009.81</v>
      </c>
      <c r="BH13" s="19" t="n">
        <v>59147.8</v>
      </c>
      <c r="BI13" s="19" t="n">
        <v>77697.51</v>
      </c>
      <c r="BJ13" s="19" t="n">
        <v>72614.49</v>
      </c>
      <c r="BK13" s="19" t="n">
        <v>56507.28</v>
      </c>
      <c r="BL13" s="19" t="n">
        <v>52810.54</v>
      </c>
      <c r="BM13" s="19" t="n">
        <v>138442.83</v>
      </c>
      <c r="BN13" s="19" t="n">
        <v>129385.82</v>
      </c>
      <c r="BO13" s="19" t="n">
        <v>4328.95</v>
      </c>
      <c r="BP13" s="19" t="n">
        <v>0</v>
      </c>
      <c r="BQ13" s="19" t="n">
        <v>773800.49</v>
      </c>
      <c r="BR13" s="19" t="n">
        <v>723178.03</v>
      </c>
      <c r="BS13" s="19" t="n">
        <v>35713.87</v>
      </c>
      <c r="BT13" s="19" t="n">
        <v>38940.36</v>
      </c>
      <c r="BU13" s="19" t="n">
        <v>202535.88</v>
      </c>
      <c r="BV13" s="19" t="n">
        <v>189285.87</v>
      </c>
      <c r="BW13" s="19" t="n">
        <v>47466.11</v>
      </c>
      <c r="BX13" s="19" t="n">
        <v>46209.22</v>
      </c>
      <c r="BY13" s="19" t="n">
        <v>195488.33</v>
      </c>
      <c r="BZ13" s="19" t="n">
        <v>137024.53</v>
      </c>
      <c r="CA13" s="19" t="n">
        <v>79110.19</v>
      </c>
      <c r="CB13" s="19" t="n">
        <v>73934.75</v>
      </c>
      <c r="CC13" s="19" t="n">
        <v>53027.58</v>
      </c>
      <c r="CD13" s="19" t="n">
        <v>56785.76</v>
      </c>
      <c r="CE13" s="19" t="n">
        <v>16202.87</v>
      </c>
      <c r="CF13" s="19" t="n">
        <v>15142.87</v>
      </c>
      <c r="CG13" s="19" t="n">
        <f aca="false">SUM(CF13,CD13,CB13,BZ13,BX13,BV13,BT13,BR13,BP13,BN13,BL13,BJ13,BH13)</f>
        <v>1594460.04</v>
      </c>
      <c r="CH13" s="19" t="n">
        <f aca="false">CG13+BF13</f>
        <v>10539257.33</v>
      </c>
      <c r="CI13" s="19" t="n">
        <f aca="false">SUM(CE13,CC13,CA13,BY13,BW13,BU13,BS13,BQ13,BO13,BM13,BK13,BI13,BG13,BD13,BB13,AZ13,AX13,AV13,AT13,AR13,AP13,AN13)</f>
        <v>11439708.87</v>
      </c>
      <c r="CJ13" s="19" t="n">
        <f aca="false">CI13-CH13</f>
        <v>900451.539999997</v>
      </c>
      <c r="CK13" s="19" t="n">
        <f aca="false">IF(CE13-CF13+CC13-CD13+CA13-CB13+BU13-BV13+BK13-BL13+BI13-BJ13 &gt; 0, CE13-CF13+CC13-CD13+CA13-CB13+BU13-BV13+BK13-BL13+BI13-BJ13, "-")</f>
        <v>24507.03</v>
      </c>
      <c r="CL13" s="19" t="str">
        <f aca="false">IF(CJ13&lt;0,"⚠ Over Budget","✓ Within Budget")</f>
        <v>✓ Within Budget</v>
      </c>
      <c r="CM13" s="21"/>
    </row>
    <row r="14" customFormat="false" ht="14.25" hidden="false" customHeight="false" outlineLevel="0" collapsed="false">
      <c r="A14" s="22" t="s">
        <v>105</v>
      </c>
      <c r="B14" s="22" t="n">
        <v>2022</v>
      </c>
      <c r="C14" s="22" t="n">
        <v>92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92</v>
      </c>
      <c r="T14" s="22" t="n">
        <v>14</v>
      </c>
      <c r="U14" s="22" t="n">
        <v>78</v>
      </c>
      <c r="V14" s="22" t="n">
        <v>87</v>
      </c>
      <c r="W14" s="22" t="n">
        <v>5</v>
      </c>
      <c r="X14" s="22" t="n">
        <v>28</v>
      </c>
      <c r="Y14" s="22" t="n">
        <v>30</v>
      </c>
      <c r="Z14" s="22" t="n">
        <v>20</v>
      </c>
      <c r="AA14" s="22" t="n">
        <v>9</v>
      </c>
      <c r="AB14" s="22" t="n">
        <v>3</v>
      </c>
      <c r="AC14" s="22" t="n">
        <v>2</v>
      </c>
      <c r="AD14" s="23" t="n">
        <v>0</v>
      </c>
      <c r="AE14" s="23" t="n">
        <v>0</v>
      </c>
      <c r="AF14" s="24" t="n">
        <v>55.9</v>
      </c>
      <c r="AG14" s="25" t="n">
        <v>330733</v>
      </c>
      <c r="AH14" s="25" t="n">
        <v>481963</v>
      </c>
      <c r="AI14" s="25" t="n">
        <v>777307</v>
      </c>
      <c r="AJ14" s="25" t="n">
        <v>1258955</v>
      </c>
      <c r="AK14" s="25" t="n">
        <v>2122751</v>
      </c>
      <c r="AL14" s="25" t="n">
        <v>3466081</v>
      </c>
      <c r="AM14" s="25" t="n">
        <v>1020867.59</v>
      </c>
      <c r="AN14" s="25" t="n">
        <v>8101435.09</v>
      </c>
      <c r="AO14" s="25" t="n">
        <v>7571434.66</v>
      </c>
      <c r="AP14" s="25" t="n">
        <v>810143.51</v>
      </c>
      <c r="AQ14" s="25" t="n">
        <v>757143.47</v>
      </c>
      <c r="AR14" s="25" t="n">
        <v>3535171.67</v>
      </c>
      <c r="AS14" s="25" t="n">
        <v>757143.47</v>
      </c>
      <c r="AT14" s="25" t="n">
        <v>405071.75</v>
      </c>
      <c r="AU14" s="25" t="n">
        <v>378571.73</v>
      </c>
      <c r="AV14" s="25" t="n">
        <v>115771.01</v>
      </c>
      <c r="AW14" s="25" t="n">
        <v>158431.62</v>
      </c>
      <c r="AX14" s="25" t="n">
        <v>84760.92</v>
      </c>
      <c r="AY14" s="25" t="n">
        <v>79215.81</v>
      </c>
      <c r="AZ14" s="25" t="n">
        <v>405977.41</v>
      </c>
      <c r="BA14" s="25" t="n">
        <v>259269.06</v>
      </c>
      <c r="BB14" s="25" t="n">
        <v>295.22</v>
      </c>
      <c r="BC14" s="25" t="n">
        <v>0</v>
      </c>
      <c r="BD14" s="25" t="n">
        <v>97.53</v>
      </c>
      <c r="BE14" s="25" t="n">
        <v>0</v>
      </c>
      <c r="BF14" s="25" t="n">
        <f aca="false">SUM(BE14,BC14,BA14,AY14,AW14,AU14,AS14,AQ14,AO14)</f>
        <v>9961209.82</v>
      </c>
      <c r="BG14" s="25" t="n">
        <v>14767.23</v>
      </c>
      <c r="BH14" s="25" t="n">
        <v>25877.16</v>
      </c>
      <c r="BI14" s="25" t="n">
        <v>77697.51</v>
      </c>
      <c r="BJ14" s="25" t="n">
        <v>72614.49</v>
      </c>
      <c r="BK14" s="25" t="n">
        <v>56507.28</v>
      </c>
      <c r="BL14" s="25" t="n">
        <v>52810.54</v>
      </c>
      <c r="BM14" s="25" t="n">
        <v>138442.83</v>
      </c>
      <c r="BN14" s="25" t="n">
        <v>129385.82</v>
      </c>
      <c r="BO14" s="25" t="n">
        <v>4328.95</v>
      </c>
      <c r="BP14" s="25" t="n">
        <v>0</v>
      </c>
      <c r="BQ14" s="25" t="n">
        <v>773800.49</v>
      </c>
      <c r="BR14" s="25" t="n">
        <v>723178.03</v>
      </c>
      <c r="BS14" s="25" t="n">
        <v>31745.66</v>
      </c>
      <c r="BT14" s="25" t="n">
        <v>38940.36</v>
      </c>
      <c r="BU14" s="25" t="n">
        <v>202535.88</v>
      </c>
      <c r="BV14" s="25" t="n">
        <v>189285.87</v>
      </c>
      <c r="BW14" s="25" t="n">
        <v>23733.06</v>
      </c>
      <c r="BX14" s="25" t="n">
        <v>46209.22</v>
      </c>
      <c r="BY14" s="25" t="n">
        <v>254727.6</v>
      </c>
      <c r="BZ14" s="25" t="n">
        <v>178547.38</v>
      </c>
      <c r="CA14" s="25" t="n">
        <v>79110.19</v>
      </c>
      <c r="CB14" s="25" t="n">
        <v>73934.75</v>
      </c>
      <c r="CC14" s="25" t="n">
        <v>33142.23</v>
      </c>
      <c r="CD14" s="25" t="n">
        <v>56785.76</v>
      </c>
      <c r="CE14" s="25" t="n">
        <v>16202.87</v>
      </c>
      <c r="CF14" s="25" t="n">
        <v>15142.87</v>
      </c>
      <c r="CG14" s="25" t="n">
        <f aca="false">SUM(CF14,CD14,CB14,BZ14,BX14,BV14,BT14,BR14,BP14,BN14,BL14,BJ14,BH14)</f>
        <v>1602712.25</v>
      </c>
      <c r="CH14" s="25" t="n">
        <f aca="false">CG14+BF14</f>
        <v>11563922.07</v>
      </c>
      <c r="CI14" s="25" t="n">
        <f aca="false">SUM(CE14,CC14,CA14,BY14,BW14,BU14,BS14,BQ14,BO14,BM14,BK14,BI14,BG14,BD14,BB14,AZ14,AX14,AV14,AT14,AR14,AP14,AN14)</f>
        <v>15165465.89</v>
      </c>
      <c r="CJ14" s="25" t="n">
        <f aca="false">CI14-CH14</f>
        <v>3601543.82</v>
      </c>
      <c r="CK14" s="25" t="n">
        <f aca="false">IF(CE14-CF14+CC14-CD14+CA14-CB14+BU14-BV14+BK14-BL14+BI14-BJ14 &gt; 0, CE14-CF14+CC14-CD14+CA14-CB14+BU14-BV14+BK14-BL14+BI14-BJ14, "-")</f>
        <v>4621.68000000001</v>
      </c>
      <c r="CL14" s="25" t="str">
        <f aca="false">IF(CJ14&lt;0,"⚠ Over Budget","✓ Within Budget")</f>
        <v>✓ Within Budget</v>
      </c>
      <c r="CM14" s="27"/>
    </row>
    <row r="15" customFormat="false" ht="14.25" hidden="false" customHeight="false" outlineLevel="0" collapsed="false">
      <c r="A15" s="16" t="s">
        <v>92</v>
      </c>
      <c r="B15" s="16" t="n">
        <v>2023</v>
      </c>
      <c r="C15" s="16" t="n">
        <v>92</v>
      </c>
      <c r="D15" s="16" t="n">
        <v>1</v>
      </c>
      <c r="E15" s="16" t="n">
        <v>1</v>
      </c>
      <c r="F15" s="16" t="n">
        <v>1</v>
      </c>
      <c r="G15" s="16" t="n">
        <v>0</v>
      </c>
      <c r="H15" s="16" t="n">
        <v>0</v>
      </c>
      <c r="I15" s="16" t="n">
        <v>0</v>
      </c>
      <c r="J15" s="16" t="n">
        <v>3</v>
      </c>
      <c r="K15" s="16" t="n">
        <v>1</v>
      </c>
      <c r="L15" s="16" t="n">
        <v>1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2</v>
      </c>
      <c r="R15" s="16" t="n">
        <v>0</v>
      </c>
      <c r="S15" s="16" t="n">
        <v>93</v>
      </c>
      <c r="T15" s="16" t="n">
        <v>16</v>
      </c>
      <c r="U15" s="16" t="n">
        <v>77</v>
      </c>
      <c r="V15" s="16" t="n">
        <v>88</v>
      </c>
      <c r="W15" s="16" t="n">
        <v>5</v>
      </c>
      <c r="X15" s="16" t="n">
        <v>28</v>
      </c>
      <c r="Y15" s="16" t="n">
        <v>31</v>
      </c>
      <c r="Z15" s="16" t="n">
        <v>20</v>
      </c>
      <c r="AA15" s="16" t="n">
        <v>9</v>
      </c>
      <c r="AB15" s="16" t="n">
        <v>3</v>
      </c>
      <c r="AC15" s="16" t="n">
        <v>2</v>
      </c>
      <c r="AD15" s="17" t="n">
        <v>0.26087</v>
      </c>
      <c r="AE15" s="17" t="n">
        <v>0</v>
      </c>
      <c r="AF15" s="18" t="n">
        <v>56.8</v>
      </c>
      <c r="AG15" s="19" t="n">
        <v>330733</v>
      </c>
      <c r="AH15" s="19" t="n">
        <v>481963</v>
      </c>
      <c r="AI15" s="19" t="n">
        <v>777307</v>
      </c>
      <c r="AJ15" s="19" t="n">
        <v>1258955</v>
      </c>
      <c r="AK15" s="19" t="n">
        <v>2122751</v>
      </c>
      <c r="AL15" s="19" t="n">
        <v>3466081</v>
      </c>
      <c r="AM15" s="19" t="n">
        <v>968833.48</v>
      </c>
      <c r="AN15" s="19" t="n">
        <v>7861276.31</v>
      </c>
      <c r="AO15" s="19" t="n">
        <v>7346987.2</v>
      </c>
      <c r="AP15" s="19" t="n">
        <v>786127.63</v>
      </c>
      <c r="AQ15" s="19" t="n">
        <v>734698.72</v>
      </c>
      <c r="AR15" s="19" t="n">
        <v>128639.07</v>
      </c>
      <c r="AS15" s="19" t="n">
        <v>440819.23</v>
      </c>
      <c r="AT15" s="19" t="n">
        <v>393063.82</v>
      </c>
      <c r="AU15" s="19" t="n">
        <v>367349.36</v>
      </c>
      <c r="AV15" s="19" t="n">
        <v>128387.53</v>
      </c>
      <c r="AW15" s="19" t="n">
        <v>153735.07</v>
      </c>
      <c r="AX15" s="19" t="n">
        <v>82248.26</v>
      </c>
      <c r="AY15" s="19" t="n">
        <v>76867.54</v>
      </c>
      <c r="AZ15" s="19" t="n">
        <v>19173.84</v>
      </c>
      <c r="BA15" s="19" t="n">
        <v>0</v>
      </c>
      <c r="BB15" s="19" t="n">
        <v>14008.81</v>
      </c>
      <c r="BC15" s="19" t="n">
        <v>40368.06</v>
      </c>
      <c r="BD15" s="19" t="n">
        <v>222.14</v>
      </c>
      <c r="BE15" s="19" t="n">
        <v>0</v>
      </c>
      <c r="BF15" s="19" t="n">
        <f aca="false">SUM(BE15,BC15,BA15,AY15,AW15,AU15,AS15,AQ15,AO15)</f>
        <v>9160825.18</v>
      </c>
      <c r="BG15" s="19" t="n">
        <v>9552.98</v>
      </c>
      <c r="BH15" s="19" t="n">
        <v>25110.06</v>
      </c>
      <c r="BI15" s="19" t="n">
        <v>75394.24</v>
      </c>
      <c r="BJ15" s="19" t="n">
        <v>70461.91</v>
      </c>
      <c r="BK15" s="19" t="n">
        <v>54832.18</v>
      </c>
      <c r="BL15" s="19" t="n">
        <v>51245.02</v>
      </c>
      <c r="BM15" s="19" t="n">
        <v>134338.83</v>
      </c>
      <c r="BN15" s="19" t="n">
        <v>125550.31</v>
      </c>
      <c r="BO15" s="19" t="n">
        <v>143790.67</v>
      </c>
      <c r="BP15" s="19" t="n">
        <v>246370.31</v>
      </c>
      <c r="BQ15" s="19" t="n">
        <v>734359.5</v>
      </c>
      <c r="BR15" s="19" t="n">
        <v>686317.29</v>
      </c>
      <c r="BS15" s="19" t="n">
        <v>33893.52</v>
      </c>
      <c r="BT15" s="19" t="n">
        <v>36955.55</v>
      </c>
      <c r="BU15" s="19" t="n">
        <v>196531.91</v>
      </c>
      <c r="BV15" s="19" t="n">
        <v>183674.68</v>
      </c>
      <c r="BW15" s="19" t="n">
        <v>23029.51</v>
      </c>
      <c r="BX15" s="19" t="n">
        <v>44839.4</v>
      </c>
      <c r="BY15" s="19" t="n">
        <v>24369.86</v>
      </c>
      <c r="BZ15" s="19" t="n">
        <v>51245.02</v>
      </c>
      <c r="CA15" s="19" t="n">
        <v>76765.05</v>
      </c>
      <c r="CB15" s="19" t="n">
        <v>71743.03</v>
      </c>
      <c r="CC15" s="19" t="n">
        <v>32159.77</v>
      </c>
      <c r="CD15" s="19" t="n">
        <v>55102.4</v>
      </c>
      <c r="CE15" s="19" t="n">
        <v>15722.55</v>
      </c>
      <c r="CF15" s="19" t="n">
        <v>14693.97</v>
      </c>
      <c r="CG15" s="19" t="n">
        <f aca="false">SUM(CF15,CD15,CB15,BZ15,BX15,BV15,BT15,BR15,BP15,BN15,BL15,BJ15,BH15)</f>
        <v>1663308.95</v>
      </c>
      <c r="CH15" s="19" t="n">
        <f aca="false">CG15+BF15</f>
        <v>10824134.13</v>
      </c>
      <c r="CI15" s="19" t="n">
        <f aca="false">SUM(CE15,CC15,CA15,BY15,BW15,BU15,BS15,BQ15,BO15,BM15,BK15,BI15,BG15,BD15,BB15,AZ15,AX15,AV15,AT15,AR15,AP15,AN15)</f>
        <v>10967887.98</v>
      </c>
      <c r="CJ15" s="19" t="n">
        <f aca="false">CI15-CH15</f>
        <v>143753.850000002</v>
      </c>
      <c r="CK15" s="19" t="n">
        <f aca="false">IF(CE15-CF15+CC15-CD15+CA15-CB15+BU15-BV15+BK15-BL15+BI15-BJ15 &gt; 0, CE15-CF15+CC15-CD15+CA15-CB15+BU15-BV15+BK15-BL15+BI15-BJ15, "-")</f>
        <v>4484.69000000002</v>
      </c>
      <c r="CL15" s="19" t="str">
        <f aca="false">IF(CJ15&lt;0,"⚠ Over Budget","✓ Within Budget")</f>
        <v>✓ Within Budget</v>
      </c>
      <c r="CM15" s="21"/>
    </row>
    <row r="16" customFormat="false" ht="14.25" hidden="false" customHeight="false" outlineLevel="0" collapsed="false">
      <c r="A16" s="22" t="s">
        <v>93</v>
      </c>
      <c r="B16" s="22" t="n">
        <v>2023</v>
      </c>
      <c r="C16" s="22" t="n">
        <v>93</v>
      </c>
      <c r="D16" s="22" t="n">
        <v>2</v>
      </c>
      <c r="E16" s="22" t="n">
        <v>2</v>
      </c>
      <c r="F16" s="22" t="n">
        <v>1</v>
      </c>
      <c r="G16" s="22" t="n">
        <v>0</v>
      </c>
      <c r="H16" s="22" t="n">
        <v>0</v>
      </c>
      <c r="I16" s="22" t="n">
        <v>0</v>
      </c>
      <c r="J16" s="22" t="n">
        <v>5</v>
      </c>
      <c r="K16" s="22" t="n">
        <v>1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1</v>
      </c>
      <c r="Q16" s="22" t="n">
        <v>1</v>
      </c>
      <c r="R16" s="22" t="n">
        <v>0</v>
      </c>
      <c r="S16" s="22" t="n">
        <v>97</v>
      </c>
      <c r="T16" s="22" t="n">
        <v>18</v>
      </c>
      <c r="U16" s="22" t="n">
        <v>79</v>
      </c>
      <c r="V16" s="22" t="n">
        <v>92</v>
      </c>
      <c r="W16" s="22" t="n">
        <v>5</v>
      </c>
      <c r="X16" s="22" t="n">
        <v>29</v>
      </c>
      <c r="Y16" s="22" t="n">
        <v>32</v>
      </c>
      <c r="Z16" s="22" t="n">
        <v>21</v>
      </c>
      <c r="AA16" s="22" t="n">
        <v>10</v>
      </c>
      <c r="AB16" s="22" t="n">
        <v>3</v>
      </c>
      <c r="AC16" s="22" t="n">
        <v>2</v>
      </c>
      <c r="AD16" s="23" t="n">
        <v>0.129032</v>
      </c>
      <c r="AE16" s="23" t="n">
        <v>0</v>
      </c>
      <c r="AF16" s="24" t="n">
        <v>56.3</v>
      </c>
      <c r="AG16" s="25" t="n">
        <v>330733</v>
      </c>
      <c r="AH16" s="25" t="n">
        <v>481963</v>
      </c>
      <c r="AI16" s="25" t="n">
        <v>777307</v>
      </c>
      <c r="AJ16" s="25" t="n">
        <v>1258955</v>
      </c>
      <c r="AK16" s="25" t="n">
        <v>2122751</v>
      </c>
      <c r="AL16" s="25" t="n">
        <v>3466081</v>
      </c>
      <c r="AM16" s="25" t="n">
        <v>968833.48</v>
      </c>
      <c r="AN16" s="25" t="n">
        <v>8120439.26</v>
      </c>
      <c r="AO16" s="25" t="n">
        <v>7589195.57</v>
      </c>
      <c r="AP16" s="25" t="n">
        <v>812043.93</v>
      </c>
      <c r="AQ16" s="25" t="n">
        <v>758919.56</v>
      </c>
      <c r="AR16" s="25" t="n">
        <v>22146.65</v>
      </c>
      <c r="AS16" s="25" t="n">
        <v>0</v>
      </c>
      <c r="AT16" s="25" t="n">
        <v>406021.96</v>
      </c>
      <c r="AU16" s="25" t="n">
        <v>379459.78</v>
      </c>
      <c r="AV16" s="25" t="n">
        <v>132620.09</v>
      </c>
      <c r="AW16" s="25" t="n">
        <v>158803.26</v>
      </c>
      <c r="AX16" s="25" t="n">
        <v>84959.75</v>
      </c>
      <c r="AY16" s="25" t="n">
        <v>79401.63</v>
      </c>
      <c r="AZ16" s="25" t="n">
        <v>19805.95</v>
      </c>
      <c r="BA16" s="25" t="n">
        <v>0</v>
      </c>
      <c r="BB16" s="25" t="n">
        <v>25215.86</v>
      </c>
      <c r="BC16" s="25" t="n">
        <v>24220.84</v>
      </c>
      <c r="BD16" s="25" t="n">
        <v>277.67</v>
      </c>
      <c r="BE16" s="25" t="n">
        <v>0</v>
      </c>
      <c r="BF16" s="25" t="n">
        <f aca="false">SUM(BE16,BC16,BA16,AY16,AW16,AU16,AS16,AQ16,AO16)</f>
        <v>8990000.64</v>
      </c>
      <c r="BG16" s="25" t="n">
        <v>9867.92</v>
      </c>
      <c r="BH16" s="25" t="n">
        <v>25937.87</v>
      </c>
      <c r="BI16" s="25" t="n">
        <v>77879.77</v>
      </c>
      <c r="BJ16" s="25" t="n">
        <v>72784.83</v>
      </c>
      <c r="BK16" s="25" t="n">
        <v>56639.83</v>
      </c>
      <c r="BL16" s="25" t="n">
        <v>52934.42</v>
      </c>
      <c r="BM16" s="25" t="n">
        <v>138767.58</v>
      </c>
      <c r="BN16" s="25" t="n">
        <v>129689.33</v>
      </c>
      <c r="BO16" s="25" t="n">
        <v>86274.4</v>
      </c>
      <c r="BP16" s="25" t="n">
        <v>147822.19</v>
      </c>
      <c r="BQ16" s="25" t="n">
        <v>753942.42</v>
      </c>
      <c r="BR16" s="25" t="n">
        <v>704619.09</v>
      </c>
      <c r="BS16" s="25" t="n">
        <v>34797.34</v>
      </c>
      <c r="BT16" s="25" t="n">
        <v>37941.03</v>
      </c>
      <c r="BU16" s="25" t="n">
        <v>203010.98</v>
      </c>
      <c r="BV16" s="25" t="n">
        <v>189729.89</v>
      </c>
      <c r="BW16" s="25" t="n">
        <v>23788.73</v>
      </c>
      <c r="BX16" s="25" t="n">
        <v>46317.62</v>
      </c>
      <c r="BY16" s="25" t="n">
        <v>25173.26</v>
      </c>
      <c r="BZ16" s="25" t="n">
        <v>52934.42</v>
      </c>
      <c r="CA16" s="25" t="n">
        <v>79295.76</v>
      </c>
      <c r="CB16" s="25" t="n">
        <v>74108.19</v>
      </c>
      <c r="CC16" s="25" t="n">
        <v>33219.98</v>
      </c>
      <c r="CD16" s="25" t="n">
        <v>56918.97</v>
      </c>
      <c r="CE16" s="25" t="n">
        <v>16240.88</v>
      </c>
      <c r="CF16" s="25" t="n">
        <v>15178.39</v>
      </c>
      <c r="CG16" s="25" t="n">
        <f aca="false">SUM(CF16,CD16,CB16,BZ16,BX16,BV16,BT16,BR16,BP16,BN16,BL16,BJ16,BH16)</f>
        <v>1606916.24</v>
      </c>
      <c r="CH16" s="25" t="n">
        <f aca="false">CG16+BF16</f>
        <v>10596916.88</v>
      </c>
      <c r="CI16" s="25" t="n">
        <f aca="false">SUM(CE16,CC16,CA16,BY16,BW16,BU16,BS16,BQ16,BO16,BM16,BK16,BI16,BG16,BD16,BB16,AZ16,AX16,AV16,AT16,AR16,AP16,AN16)</f>
        <v>11162429.97</v>
      </c>
      <c r="CJ16" s="25" t="n">
        <f aca="false">CI16-CH16</f>
        <v>565513.09</v>
      </c>
      <c r="CK16" s="25" t="n">
        <f aca="false">IF(CE16-CF16+CC16-CD16+CA16-CB16+BU16-BV16+BK16-BL16+BI16-BJ16 &gt; 0, CE16-CF16+CC16-CD16+CA16-CB16+BU16-BV16+BK16-BL16+BI16-BJ16, "-")</f>
        <v>4632.50999999998</v>
      </c>
      <c r="CL16" s="25" t="str">
        <f aca="false">IF(CJ16&lt;0,"⚠ Over Budget","✓ Within Budget")</f>
        <v>✓ Within Budget</v>
      </c>
      <c r="CM16" s="27"/>
    </row>
    <row r="17" customFormat="false" ht="14.25" hidden="false" customHeight="false" outlineLevel="0" collapsed="false">
      <c r="A17" s="16" t="s">
        <v>94</v>
      </c>
      <c r="B17" s="16" t="n">
        <v>2023</v>
      </c>
      <c r="C17" s="16" t="n">
        <v>97</v>
      </c>
      <c r="D17" s="16" t="n">
        <v>1</v>
      </c>
      <c r="E17" s="16" t="n">
        <v>1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2</v>
      </c>
      <c r="K17" s="16" t="n">
        <v>1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1</v>
      </c>
      <c r="Q17" s="16" t="n">
        <v>1</v>
      </c>
      <c r="R17" s="16" t="n">
        <v>0</v>
      </c>
      <c r="S17" s="16" t="n">
        <v>98</v>
      </c>
      <c r="T17" s="16" t="n">
        <v>18</v>
      </c>
      <c r="U17" s="16" t="n">
        <v>80</v>
      </c>
      <c r="V17" s="16" t="n">
        <v>93</v>
      </c>
      <c r="W17" s="16" t="n">
        <v>5</v>
      </c>
      <c r="X17" s="16" t="n">
        <v>29</v>
      </c>
      <c r="Y17" s="16" t="n">
        <v>32</v>
      </c>
      <c r="Z17" s="16" t="n">
        <v>22</v>
      </c>
      <c r="AA17" s="16" t="n">
        <v>10</v>
      </c>
      <c r="AB17" s="16" t="n">
        <v>3</v>
      </c>
      <c r="AC17" s="16" t="n">
        <v>2</v>
      </c>
      <c r="AD17" s="17" t="n">
        <v>0.123711</v>
      </c>
      <c r="AE17" s="17" t="n">
        <v>0</v>
      </c>
      <c r="AF17" s="18" t="n">
        <v>55.9</v>
      </c>
      <c r="AG17" s="19" t="n">
        <v>330733</v>
      </c>
      <c r="AH17" s="19" t="n">
        <v>481963</v>
      </c>
      <c r="AI17" s="19" t="n">
        <v>777307</v>
      </c>
      <c r="AJ17" s="19" t="n">
        <v>1258955</v>
      </c>
      <c r="AK17" s="19" t="n">
        <v>2122751</v>
      </c>
      <c r="AL17" s="19" t="n">
        <v>3466081</v>
      </c>
      <c r="AM17" s="19" t="n">
        <v>968833.48</v>
      </c>
      <c r="AN17" s="19" t="n">
        <v>8552377.52</v>
      </c>
      <c r="AO17" s="19" t="n">
        <v>7992876.19</v>
      </c>
      <c r="AP17" s="19" t="n">
        <v>855237.75</v>
      </c>
      <c r="AQ17" s="19" t="n">
        <v>799287.62</v>
      </c>
      <c r="AR17" s="19" t="n">
        <v>38874.44</v>
      </c>
      <c r="AS17" s="19" t="n">
        <v>0</v>
      </c>
      <c r="AT17" s="19" t="n">
        <v>427618.88</v>
      </c>
      <c r="AU17" s="19" t="n">
        <v>399643.81</v>
      </c>
      <c r="AV17" s="19" t="n">
        <v>130944.7</v>
      </c>
      <c r="AW17" s="19" t="n">
        <v>125437.68</v>
      </c>
      <c r="AX17" s="19" t="n">
        <v>89478.88</v>
      </c>
      <c r="AY17" s="19" t="n">
        <v>83625.12</v>
      </c>
      <c r="AZ17" s="19" t="n">
        <v>294662.51</v>
      </c>
      <c r="BA17" s="19" t="n">
        <v>176418.85</v>
      </c>
      <c r="BB17" s="19" t="n">
        <v>70044.04</v>
      </c>
      <c r="BC17" s="19" t="n">
        <v>40368.06</v>
      </c>
      <c r="BD17" s="19" t="n">
        <v>277.67</v>
      </c>
      <c r="BE17" s="19" t="n">
        <v>0</v>
      </c>
      <c r="BF17" s="19" t="n">
        <f aca="false">SUM(BE17,BC17,BA17,AY17,AW17,AU17,AS17,AQ17,AO17)</f>
        <v>9617657.33</v>
      </c>
      <c r="BG17" s="19" t="n">
        <v>10392.81</v>
      </c>
      <c r="BH17" s="19" t="n">
        <v>27317.54</v>
      </c>
      <c r="BI17" s="19" t="n">
        <v>82022.31</v>
      </c>
      <c r="BJ17" s="19" t="n">
        <v>76656.36</v>
      </c>
      <c r="BK17" s="19" t="n">
        <v>59652.59</v>
      </c>
      <c r="BL17" s="19" t="n">
        <v>55750.08</v>
      </c>
      <c r="BM17" s="19" t="n">
        <v>146148.84</v>
      </c>
      <c r="BN17" s="19" t="n">
        <v>136587.7</v>
      </c>
      <c r="BO17" s="19" t="n">
        <v>143790.67</v>
      </c>
      <c r="BP17" s="19" t="n">
        <v>246370.31</v>
      </c>
      <c r="BQ17" s="19" t="n">
        <v>793108.26</v>
      </c>
      <c r="BR17" s="19" t="n">
        <v>741222.68</v>
      </c>
      <c r="BS17" s="19" t="n">
        <v>40672.22</v>
      </c>
      <c r="BT17" s="19" t="n">
        <v>39911.99</v>
      </c>
      <c r="BU17" s="19" t="n">
        <v>213809.44</v>
      </c>
      <c r="BV17" s="19" t="n">
        <v>199821.9</v>
      </c>
      <c r="BW17" s="19" t="n">
        <v>25054.09</v>
      </c>
      <c r="BX17" s="19" t="n">
        <v>48781.32</v>
      </c>
      <c r="BY17" s="19" t="n">
        <v>167380.99</v>
      </c>
      <c r="BZ17" s="19" t="n">
        <v>146653.9</v>
      </c>
      <c r="CA17" s="19" t="n">
        <v>83513.62</v>
      </c>
      <c r="CB17" s="19" t="n">
        <v>78050.11</v>
      </c>
      <c r="CC17" s="19" t="n">
        <v>390471.57</v>
      </c>
      <c r="CD17" s="19" t="n">
        <v>133806.46</v>
      </c>
      <c r="CE17" s="19" t="n">
        <v>17104.76</v>
      </c>
      <c r="CF17" s="19" t="n">
        <v>15985.75</v>
      </c>
      <c r="CG17" s="19" t="n">
        <f aca="false">SUM(CF17,CD17,CB17,BZ17,BX17,BV17,BT17,BR17,BP17,BN17,BL17,BJ17,BH17)</f>
        <v>1946916.1</v>
      </c>
      <c r="CH17" s="19" t="n">
        <f aca="false">CG17+BF17</f>
        <v>11564573.43</v>
      </c>
      <c r="CI17" s="19" t="n">
        <f aca="false">SUM(CE17,CC17,CA17,BY17,BW17,BU17,BS17,BQ17,BO17,BM17,BK17,BI17,BG17,BD17,BB17,AZ17,AX17,AV17,AT17,AR17,AP17,AN17)</f>
        <v>12632638.56</v>
      </c>
      <c r="CJ17" s="19" t="n">
        <f aca="false">CI17-CH17</f>
        <v>1068065.13</v>
      </c>
      <c r="CK17" s="19" t="n">
        <f aca="false">IF(CE17-CF17+CC17-CD17+CA17-CB17+BU17-BV17+BK17-BL17+BI17-BJ17 &gt; 0, CE17-CF17+CC17-CD17+CA17-CB17+BU17-BV17+BK17-BL17+BI17-BJ17, "-")</f>
        <v>286503.63</v>
      </c>
      <c r="CL17" s="19" t="str">
        <f aca="false">IF(CJ17&lt;0,"⚠ Over Budget","✓ Within Budget")</f>
        <v>✓ Within Budget</v>
      </c>
      <c r="CM17" s="21"/>
    </row>
    <row r="18" customFormat="false" ht="14.25" hidden="false" customHeight="false" outlineLevel="0" collapsed="false">
      <c r="A18" s="22" t="s">
        <v>96</v>
      </c>
      <c r="B18" s="22" t="n">
        <v>2023</v>
      </c>
      <c r="C18" s="22" t="n">
        <v>98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98</v>
      </c>
      <c r="T18" s="22" t="n">
        <v>18</v>
      </c>
      <c r="U18" s="22" t="n">
        <v>80</v>
      </c>
      <c r="V18" s="22" t="n">
        <v>93</v>
      </c>
      <c r="W18" s="22" t="n">
        <v>5</v>
      </c>
      <c r="X18" s="22" t="n">
        <v>29</v>
      </c>
      <c r="Y18" s="22" t="n">
        <v>32</v>
      </c>
      <c r="Z18" s="22" t="n">
        <v>22</v>
      </c>
      <c r="AA18" s="22" t="n">
        <v>10</v>
      </c>
      <c r="AB18" s="22" t="n">
        <v>3</v>
      </c>
      <c r="AC18" s="22" t="n">
        <v>2</v>
      </c>
      <c r="AD18" s="23" t="n">
        <v>0</v>
      </c>
      <c r="AE18" s="23" t="n">
        <v>0.105688906031111</v>
      </c>
      <c r="AF18" s="24" t="n">
        <v>55.4</v>
      </c>
      <c r="AG18" s="25" t="n">
        <v>369505</v>
      </c>
      <c r="AH18" s="25" t="n">
        <v>536284</v>
      </c>
      <c r="AI18" s="25" t="n">
        <v>851346</v>
      </c>
      <c r="AJ18" s="25" t="n">
        <v>1370176</v>
      </c>
      <c r="AK18" s="25" t="n">
        <v>2275001</v>
      </c>
      <c r="AL18" s="25" t="n">
        <v>3705859</v>
      </c>
      <c r="AM18" s="25" t="n">
        <v>1062216.65</v>
      </c>
      <c r="AN18" s="25" t="n">
        <v>9376717.49</v>
      </c>
      <c r="AO18" s="25" t="n">
        <v>8763287.38</v>
      </c>
      <c r="AP18" s="25" t="n">
        <v>937671.75</v>
      </c>
      <c r="AQ18" s="25" t="n">
        <v>876328.74</v>
      </c>
      <c r="AR18" s="25" t="n">
        <v>477360.16</v>
      </c>
      <c r="AS18" s="25" t="n">
        <v>613430.12</v>
      </c>
      <c r="AT18" s="25" t="n">
        <v>468835.87</v>
      </c>
      <c r="AU18" s="25" t="n">
        <v>438164.37</v>
      </c>
      <c r="AV18" s="25" t="n">
        <v>157133.64</v>
      </c>
      <c r="AW18" s="25" t="n">
        <v>125437.68</v>
      </c>
      <c r="AX18" s="25" t="n">
        <v>89478.88</v>
      </c>
      <c r="AY18" s="25" t="n">
        <v>83625.12</v>
      </c>
      <c r="AZ18" s="25" t="n">
        <v>571189.64</v>
      </c>
      <c r="BA18" s="25" t="n">
        <v>273583.82</v>
      </c>
      <c r="BB18" s="25" t="n">
        <v>1535.91</v>
      </c>
      <c r="BC18" s="25" t="n">
        <v>0</v>
      </c>
      <c r="BD18" s="25" t="n">
        <v>101.48</v>
      </c>
      <c r="BE18" s="25" t="n">
        <v>0</v>
      </c>
      <c r="BF18" s="25" t="n">
        <f aca="false">SUM(BE18,BC18,BA18,AY18,AW18,AU18,AS18,AQ18,AO18)</f>
        <v>11173857.23</v>
      </c>
      <c r="BG18" s="25" t="n">
        <v>179647.08</v>
      </c>
      <c r="BH18" s="25" t="n">
        <v>85855.13</v>
      </c>
      <c r="BI18" s="25" t="n">
        <v>82022.31</v>
      </c>
      <c r="BJ18" s="25" t="n">
        <v>76656.36</v>
      </c>
      <c r="BK18" s="25" t="n">
        <v>59652.59</v>
      </c>
      <c r="BL18" s="25" t="n">
        <v>55750.08</v>
      </c>
      <c r="BM18" s="25" t="n">
        <v>146148.84</v>
      </c>
      <c r="BN18" s="25" t="n">
        <v>136587.7</v>
      </c>
      <c r="BO18" s="25" t="n">
        <v>20541.52</v>
      </c>
      <c r="BP18" s="25" t="n">
        <v>0</v>
      </c>
      <c r="BQ18" s="25" t="n">
        <v>793108.26</v>
      </c>
      <c r="BR18" s="25" t="n">
        <v>741222.68</v>
      </c>
      <c r="BS18" s="25" t="n">
        <v>40672.22</v>
      </c>
      <c r="BT18" s="25" t="n">
        <v>39911.99</v>
      </c>
      <c r="BU18" s="25" t="n">
        <v>234417.94</v>
      </c>
      <c r="BV18" s="25" t="n">
        <v>219082.18</v>
      </c>
      <c r="BW18" s="25" t="n">
        <v>100216.35</v>
      </c>
      <c r="BX18" s="25" t="n">
        <v>48781.32</v>
      </c>
      <c r="BY18" s="25" t="n">
        <v>26512.26</v>
      </c>
      <c r="BZ18" s="25" t="n">
        <v>55750.08</v>
      </c>
      <c r="CA18" s="25" t="n">
        <v>83513.62</v>
      </c>
      <c r="CB18" s="25" t="n">
        <v>78050.11</v>
      </c>
      <c r="CC18" s="25" t="n">
        <v>604379.29</v>
      </c>
      <c r="CD18" s="25" t="n">
        <v>207108.17</v>
      </c>
      <c r="CE18" s="25" t="n">
        <v>18753.43</v>
      </c>
      <c r="CF18" s="25" t="n">
        <v>17526.57</v>
      </c>
      <c r="CG18" s="25" t="n">
        <f aca="false">SUM(CF18,CD18,CB18,BZ18,BX18,BV18,BT18,BR18,BP18,BN18,BL18,BJ18,BH18)</f>
        <v>1762282.37</v>
      </c>
      <c r="CH18" s="25" t="n">
        <f aca="false">CG18+BF18</f>
        <v>12936139.6</v>
      </c>
      <c r="CI18" s="25" t="n">
        <f aca="false">SUM(CE18,CC18,CA18,BY18,BW18,BU18,BS18,BQ18,BO18,BM18,BK18,BI18,BG18,BD18,BB18,AZ18,AX18,AV18,AT18,AR18,AP18,AN18)</f>
        <v>14469610.53</v>
      </c>
      <c r="CJ18" s="25" t="n">
        <f aca="false">CI18-CH18</f>
        <v>1533470.93</v>
      </c>
      <c r="CK18" s="25" t="n">
        <f aca="false">IF(CE18-CF18+CC18-CD18+CA18-CB18+BU18-BV18+BK18-BL18+BI18-BJ18 &gt; 0, CE18-CF18+CC18-CD18+CA18-CB18+BU18-BV18+BK18-BL18+BI18-BJ18, "-")</f>
        <v>428565.71</v>
      </c>
      <c r="CL18" s="25" t="str">
        <f aca="false">IF(CJ18&lt;0,"⚠ Over Budget","✓ Within Budget")</f>
        <v>✓ Within Budget</v>
      </c>
      <c r="CM18" s="27"/>
    </row>
    <row r="19" customFormat="false" ht="14.25" hidden="false" customHeight="false" outlineLevel="0" collapsed="false">
      <c r="A19" s="16" t="s">
        <v>98</v>
      </c>
      <c r="B19" s="16" t="n">
        <v>2023</v>
      </c>
      <c r="C19" s="16" t="n">
        <v>98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98</v>
      </c>
      <c r="T19" s="16" t="n">
        <v>18</v>
      </c>
      <c r="U19" s="16" t="n">
        <v>80</v>
      </c>
      <c r="V19" s="16" t="n">
        <v>93</v>
      </c>
      <c r="W19" s="16" t="n">
        <v>5</v>
      </c>
      <c r="X19" s="16" t="n">
        <v>29</v>
      </c>
      <c r="Y19" s="16" t="n">
        <v>32</v>
      </c>
      <c r="Z19" s="16" t="n">
        <v>22</v>
      </c>
      <c r="AA19" s="16" t="n">
        <v>10</v>
      </c>
      <c r="AB19" s="16" t="n">
        <v>3</v>
      </c>
      <c r="AC19" s="16" t="n">
        <v>2</v>
      </c>
      <c r="AD19" s="17" t="n">
        <v>0</v>
      </c>
      <c r="AE19" s="17" t="n">
        <v>0</v>
      </c>
      <c r="AF19" s="18" t="n">
        <v>55.1</v>
      </c>
      <c r="AG19" s="19" t="n">
        <v>369505</v>
      </c>
      <c r="AH19" s="19" t="n">
        <v>536284</v>
      </c>
      <c r="AI19" s="19" t="n">
        <v>851346</v>
      </c>
      <c r="AJ19" s="19" t="n">
        <v>1370176</v>
      </c>
      <c r="AK19" s="19" t="n">
        <v>2275001</v>
      </c>
      <c r="AL19" s="19" t="n">
        <v>3705859</v>
      </c>
      <c r="AM19" s="19" t="n">
        <v>1062216.65</v>
      </c>
      <c r="AN19" s="19" t="n">
        <v>9376717.49</v>
      </c>
      <c r="AO19" s="19" t="n">
        <v>8763287.38</v>
      </c>
      <c r="AP19" s="19" t="n">
        <v>937671.75</v>
      </c>
      <c r="AQ19" s="19" t="n">
        <v>876328.74</v>
      </c>
      <c r="AR19" s="19" t="n">
        <v>34097.15</v>
      </c>
      <c r="AS19" s="19" t="n">
        <v>0</v>
      </c>
      <c r="AT19" s="19" t="n">
        <v>468835.87</v>
      </c>
      <c r="AU19" s="19" t="n">
        <v>438164.37</v>
      </c>
      <c r="AV19" s="19" t="n">
        <v>170228.11</v>
      </c>
      <c r="AW19" s="19" t="n">
        <v>125437.68</v>
      </c>
      <c r="AX19" s="19" t="n">
        <v>89478.88</v>
      </c>
      <c r="AY19" s="19" t="n">
        <v>83625.12</v>
      </c>
      <c r="AZ19" s="19" t="n">
        <v>27444.05</v>
      </c>
      <c r="BA19" s="19" t="n">
        <v>0</v>
      </c>
      <c r="BB19" s="19" t="n">
        <v>614.36</v>
      </c>
      <c r="BC19" s="19" t="n">
        <v>0</v>
      </c>
      <c r="BD19" s="19" t="n">
        <v>101.48</v>
      </c>
      <c r="BE19" s="19" t="n">
        <v>0</v>
      </c>
      <c r="BF19" s="19" t="n">
        <f aca="false">SUM(BE19,BC19,BA19,AY19,AW19,AU19,AS19,AQ19,AO19)</f>
        <v>10286843.29</v>
      </c>
      <c r="BG19" s="19" t="n">
        <v>120259.62</v>
      </c>
      <c r="BH19" s="19" t="n">
        <v>70245.1</v>
      </c>
      <c r="BI19" s="19" t="n">
        <v>82022.31</v>
      </c>
      <c r="BJ19" s="19" t="n">
        <v>76656.36</v>
      </c>
      <c r="BK19" s="19" t="n">
        <v>59652.59</v>
      </c>
      <c r="BL19" s="19" t="n">
        <v>55750.08</v>
      </c>
      <c r="BM19" s="19" t="n">
        <v>146148.84</v>
      </c>
      <c r="BN19" s="19" t="n">
        <v>136587.7</v>
      </c>
      <c r="BO19" s="19" t="n">
        <v>8216.61</v>
      </c>
      <c r="BP19" s="19" t="n">
        <v>0</v>
      </c>
      <c r="BQ19" s="19" t="n">
        <v>793108.26</v>
      </c>
      <c r="BR19" s="19" t="n">
        <v>741222.68</v>
      </c>
      <c r="BS19" s="19" t="n">
        <v>44739.44</v>
      </c>
      <c r="BT19" s="19" t="n">
        <v>39911.99</v>
      </c>
      <c r="BU19" s="19" t="n">
        <v>234417.94</v>
      </c>
      <c r="BV19" s="19" t="n">
        <v>219082.18</v>
      </c>
      <c r="BW19" s="19" t="n">
        <v>75162.26</v>
      </c>
      <c r="BX19" s="19" t="n">
        <v>48781.32</v>
      </c>
      <c r="BY19" s="19" t="n">
        <v>26512.26</v>
      </c>
      <c r="BZ19" s="19" t="n">
        <v>55750.08</v>
      </c>
      <c r="CA19" s="19" t="n">
        <v>83513.62</v>
      </c>
      <c r="CB19" s="19" t="n">
        <v>78050.11</v>
      </c>
      <c r="CC19" s="19" t="n">
        <v>61374.88</v>
      </c>
      <c r="CD19" s="19" t="n">
        <v>65724.66</v>
      </c>
      <c r="CE19" s="19" t="n">
        <v>18753.43</v>
      </c>
      <c r="CF19" s="19" t="n">
        <v>17526.57</v>
      </c>
      <c r="CG19" s="19" t="n">
        <f aca="false">SUM(CF19,CD19,CB19,BZ19,BX19,BV19,BT19,BR19,BP19,BN19,BL19,BJ19,BH19)</f>
        <v>1605288.83</v>
      </c>
      <c r="CH19" s="19" t="n">
        <f aca="false">CG19+BF19</f>
        <v>11892132.12</v>
      </c>
      <c r="CI19" s="19" t="n">
        <f aca="false">SUM(CE19,CC19,CA19,BY19,BW19,BU19,BS19,BQ19,BO19,BM19,BK19,BI19,BG19,BD19,BB19,AZ19,AX19,AV19,AT19,AR19,AP19,AN19)</f>
        <v>12859071.2</v>
      </c>
      <c r="CJ19" s="19" t="n">
        <f aca="false">CI19-CH19</f>
        <v>966939.08</v>
      </c>
      <c r="CK19" s="19" t="n">
        <f aca="false">IF(CE19-CF19+CC19-CD19+CA19-CB19+BU19-BV19+BK19-BL19+BI19-BJ19 &gt; 0, CE19-CF19+CC19-CD19+CA19-CB19+BU19-BV19+BK19-BL19+BI19-BJ19, "-")</f>
        <v>26944.81</v>
      </c>
      <c r="CL19" s="19" t="str">
        <f aca="false">IF(CJ19&lt;0,"⚠ Over Budget","✓ Within Budget")</f>
        <v>✓ Within Budget</v>
      </c>
      <c r="CM19" s="21"/>
    </row>
    <row r="20" customFormat="false" ht="14.25" hidden="false" customHeight="false" outlineLevel="0" collapsed="false">
      <c r="A20" s="22" t="s">
        <v>99</v>
      </c>
      <c r="B20" s="22" t="n">
        <v>2023</v>
      </c>
      <c r="C20" s="22" t="n">
        <v>98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1</v>
      </c>
      <c r="L20" s="22" t="n">
        <v>1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2</v>
      </c>
      <c r="R20" s="22" t="n">
        <v>0</v>
      </c>
      <c r="S20" s="22" t="n">
        <v>96</v>
      </c>
      <c r="T20" s="22" t="n">
        <v>19</v>
      </c>
      <c r="U20" s="22" t="n">
        <v>77</v>
      </c>
      <c r="V20" s="22" t="n">
        <v>91</v>
      </c>
      <c r="W20" s="22" t="n">
        <v>5</v>
      </c>
      <c r="X20" s="22" t="n">
        <v>29</v>
      </c>
      <c r="Y20" s="22" t="n">
        <v>32</v>
      </c>
      <c r="Z20" s="22" t="n">
        <v>21</v>
      </c>
      <c r="AA20" s="22" t="n">
        <v>10</v>
      </c>
      <c r="AB20" s="22" t="n">
        <v>3</v>
      </c>
      <c r="AC20" s="22" t="n">
        <v>1</v>
      </c>
      <c r="AD20" s="23" t="n">
        <v>0.244898</v>
      </c>
      <c r="AE20" s="23" t="n">
        <v>0</v>
      </c>
      <c r="AF20" s="24" t="n">
        <v>56</v>
      </c>
      <c r="AG20" s="25" t="n">
        <v>369505</v>
      </c>
      <c r="AH20" s="25" t="n">
        <v>536284</v>
      </c>
      <c r="AI20" s="25" t="n">
        <v>851346</v>
      </c>
      <c r="AJ20" s="25" t="n">
        <v>1370176</v>
      </c>
      <c r="AK20" s="25" t="n">
        <v>2275001</v>
      </c>
      <c r="AL20" s="25" t="n">
        <v>3705859</v>
      </c>
      <c r="AM20" s="25" t="n">
        <v>1062216.65</v>
      </c>
      <c r="AN20" s="25" t="n">
        <v>9187288.86</v>
      </c>
      <c r="AO20" s="25" t="n">
        <v>8586251.27</v>
      </c>
      <c r="AP20" s="25" t="n">
        <v>918728.89</v>
      </c>
      <c r="AQ20" s="25" t="n">
        <v>858625.13</v>
      </c>
      <c r="AR20" s="25" t="n">
        <v>33408.32</v>
      </c>
      <c r="AS20" s="25" t="n">
        <v>0</v>
      </c>
      <c r="AT20" s="25" t="n">
        <v>459364.44</v>
      </c>
      <c r="AU20" s="25" t="n">
        <v>429312.56</v>
      </c>
      <c r="AV20" s="25" t="n">
        <v>192449.03</v>
      </c>
      <c r="AW20" s="25" t="n">
        <v>122903.59</v>
      </c>
      <c r="AX20" s="25" t="n">
        <v>87671.23</v>
      </c>
      <c r="AY20" s="25" t="n">
        <v>81935.73</v>
      </c>
      <c r="AZ20" s="25" t="n">
        <v>26889.63</v>
      </c>
      <c r="BA20" s="25" t="n">
        <v>0</v>
      </c>
      <c r="BB20" s="25" t="n">
        <v>921.54</v>
      </c>
      <c r="BC20" s="25" t="n">
        <v>0</v>
      </c>
      <c r="BD20" s="25" t="n">
        <v>202.96</v>
      </c>
      <c r="BE20" s="25" t="n">
        <v>0</v>
      </c>
      <c r="BF20" s="25" t="n">
        <f aca="false">SUM(BE20,BC20,BA20,AY20,AW20,AU20,AS20,AQ20,AO20)</f>
        <v>10079028.28</v>
      </c>
      <c r="BG20" s="25" t="n">
        <v>20365.7</v>
      </c>
      <c r="BH20" s="25" t="n">
        <v>26765.67</v>
      </c>
      <c r="BI20" s="25" t="n">
        <v>80365.29</v>
      </c>
      <c r="BJ20" s="25" t="n">
        <v>75107.75</v>
      </c>
      <c r="BK20" s="25" t="n">
        <v>58447.48</v>
      </c>
      <c r="BL20" s="25" t="n">
        <v>54623.82</v>
      </c>
      <c r="BM20" s="25" t="n">
        <v>143196.34</v>
      </c>
      <c r="BN20" s="25" t="n">
        <v>133828.35</v>
      </c>
      <c r="BO20" s="25" t="n">
        <v>4108.3</v>
      </c>
      <c r="BP20" s="25" t="n">
        <v>0</v>
      </c>
      <c r="BQ20" s="25" t="n">
        <v>763733.88</v>
      </c>
      <c r="BR20" s="25" t="n">
        <v>713769.98</v>
      </c>
      <c r="BS20" s="25" t="n">
        <v>50915.59</v>
      </c>
      <c r="BT20" s="25" t="n">
        <v>38433.77</v>
      </c>
      <c r="BU20" s="25" t="n">
        <v>229682.22</v>
      </c>
      <c r="BV20" s="25" t="n">
        <v>214656.28</v>
      </c>
      <c r="BW20" s="25" t="n">
        <v>49095.89</v>
      </c>
      <c r="BX20" s="25" t="n">
        <v>47795.84</v>
      </c>
      <c r="BY20" s="25" t="n">
        <v>719527.85</v>
      </c>
      <c r="BZ20" s="25" t="n">
        <v>302605.17</v>
      </c>
      <c r="CA20" s="25" t="n">
        <v>81826.48</v>
      </c>
      <c r="CB20" s="25" t="n">
        <v>76473.34</v>
      </c>
      <c r="CC20" s="25" t="n">
        <v>37584.36</v>
      </c>
      <c r="CD20" s="25" t="n">
        <v>64396.88</v>
      </c>
      <c r="CE20" s="25" t="n">
        <v>18374.58</v>
      </c>
      <c r="CF20" s="25" t="n">
        <v>17172.5</v>
      </c>
      <c r="CG20" s="25" t="n">
        <f aca="false">SUM(CF20,CD20,CB20,BZ20,BX20,BV20,BT20,BR20,BP20,BN20,BL20,BJ20,BH20)</f>
        <v>1765629.35</v>
      </c>
      <c r="CH20" s="25" t="n">
        <f aca="false">CG20+BF20</f>
        <v>11844657.63</v>
      </c>
      <c r="CI20" s="25" t="n">
        <f aca="false">SUM(CE20,CC20,CA20,BY20,BW20,BU20,BS20,BQ20,BO20,BM20,BK20,BI20,BG20,BD20,BB20,AZ20,AX20,AV20,AT20,AR20,AP20,AN20)</f>
        <v>13164148.86</v>
      </c>
      <c r="CJ20" s="25" t="n">
        <f aca="false">CI20-CH20</f>
        <v>1319491.23</v>
      </c>
      <c r="CK20" s="25" t="n">
        <f aca="false">IF(CE20-CF20+CC20-CD20+CA20-CB20+BU20-BV20+BK20-BL20+BI20-BJ20 &gt; 0, CE20-CF20+CC20-CD20+CA20-CB20+BU20-BV20+BK20-BL20+BI20-BJ20, "-")</f>
        <v>3849.84000000001</v>
      </c>
      <c r="CL20" s="25" t="str">
        <f aca="false">IF(CJ20&lt;0,"⚠ Over Budget","✓ Within Budget")</f>
        <v>✓ Within Budget</v>
      </c>
      <c r="CM20" s="27"/>
    </row>
    <row r="21" customFormat="false" ht="14.25" hidden="false" customHeight="false" outlineLevel="0" collapsed="false">
      <c r="A21" s="16" t="s">
        <v>100</v>
      </c>
      <c r="B21" s="16" t="n">
        <v>2023</v>
      </c>
      <c r="C21" s="16" t="n">
        <v>96</v>
      </c>
      <c r="D21" s="16" t="n">
        <v>1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1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97</v>
      </c>
      <c r="T21" s="16" t="n">
        <v>19</v>
      </c>
      <c r="U21" s="16" t="n">
        <v>78</v>
      </c>
      <c r="V21" s="16" t="n">
        <v>92</v>
      </c>
      <c r="W21" s="16" t="n">
        <v>5</v>
      </c>
      <c r="X21" s="16" t="n">
        <v>29</v>
      </c>
      <c r="Y21" s="16" t="n">
        <v>32</v>
      </c>
      <c r="Z21" s="16" t="n">
        <v>21</v>
      </c>
      <c r="AA21" s="16" t="n">
        <v>10</v>
      </c>
      <c r="AB21" s="16" t="n">
        <v>3</v>
      </c>
      <c r="AC21" s="16" t="n">
        <v>2</v>
      </c>
      <c r="AD21" s="17" t="n">
        <v>0</v>
      </c>
      <c r="AE21" s="17" t="n">
        <v>0</v>
      </c>
      <c r="AF21" s="18" t="n">
        <v>57.2</v>
      </c>
      <c r="AG21" s="19" t="n">
        <v>369505</v>
      </c>
      <c r="AH21" s="19" t="n">
        <v>536284</v>
      </c>
      <c r="AI21" s="19" t="n">
        <v>851346</v>
      </c>
      <c r="AJ21" s="19" t="n">
        <v>1370176</v>
      </c>
      <c r="AK21" s="19" t="n">
        <v>2275001</v>
      </c>
      <c r="AL21" s="19" t="n">
        <v>3705859</v>
      </c>
      <c r="AM21" s="19" t="n">
        <v>1062216.65</v>
      </c>
      <c r="AN21" s="19" t="n">
        <v>9187288.86</v>
      </c>
      <c r="AO21" s="19" t="n">
        <v>8586251.27</v>
      </c>
      <c r="AP21" s="19" t="n">
        <v>918728.89</v>
      </c>
      <c r="AQ21" s="19" t="n">
        <v>858625.13</v>
      </c>
      <c r="AR21" s="19" t="n">
        <v>33408.32</v>
      </c>
      <c r="AS21" s="19" t="n">
        <v>0</v>
      </c>
      <c r="AT21" s="19" t="n">
        <v>459364.44</v>
      </c>
      <c r="AU21" s="19" t="n">
        <v>429312.56</v>
      </c>
      <c r="AV21" s="19" t="n">
        <v>153959.23</v>
      </c>
      <c r="AW21" s="19" t="n">
        <v>122903.59</v>
      </c>
      <c r="AX21" s="19" t="n">
        <v>87671.23</v>
      </c>
      <c r="AY21" s="19" t="n">
        <v>81935.73</v>
      </c>
      <c r="AZ21" s="19" t="n">
        <v>22408.02</v>
      </c>
      <c r="BA21" s="19" t="n">
        <v>0</v>
      </c>
      <c r="BB21" s="19" t="n">
        <v>1535.91</v>
      </c>
      <c r="BC21" s="19" t="n">
        <v>0</v>
      </c>
      <c r="BD21" s="19" t="n">
        <v>304.44</v>
      </c>
      <c r="BE21" s="19" t="n">
        <v>0</v>
      </c>
      <c r="BF21" s="19" t="n">
        <f aca="false">SUM(BE21,BC21,BA21,AY21,AW21,AU21,AS21,AQ21,AO21)</f>
        <v>10079028.28</v>
      </c>
      <c r="BG21" s="19" t="n">
        <v>15274.28</v>
      </c>
      <c r="BH21" s="19" t="n">
        <v>26765.67</v>
      </c>
      <c r="BI21" s="19" t="n">
        <v>80365.29</v>
      </c>
      <c r="BJ21" s="19" t="n">
        <v>75107.75</v>
      </c>
      <c r="BK21" s="19" t="n">
        <v>58447.48</v>
      </c>
      <c r="BL21" s="19" t="n">
        <v>54623.82</v>
      </c>
      <c r="BM21" s="19" t="n">
        <v>143196.34</v>
      </c>
      <c r="BN21" s="19" t="n">
        <v>133828.35</v>
      </c>
      <c r="BO21" s="19" t="n">
        <v>20541.52</v>
      </c>
      <c r="BP21" s="19" t="n">
        <v>0</v>
      </c>
      <c r="BQ21" s="19" t="n">
        <v>763733.88</v>
      </c>
      <c r="BR21" s="19" t="n">
        <v>713769.98</v>
      </c>
      <c r="BS21" s="19" t="n">
        <v>50915.59</v>
      </c>
      <c r="BT21" s="19" t="n">
        <v>38433.77</v>
      </c>
      <c r="BU21" s="19" t="n">
        <v>229682.22</v>
      </c>
      <c r="BV21" s="19" t="n">
        <v>214656.28</v>
      </c>
      <c r="BW21" s="19" t="n">
        <v>24547.94</v>
      </c>
      <c r="BX21" s="19" t="n">
        <v>47795.84</v>
      </c>
      <c r="BY21" s="19" t="n">
        <v>25976.66</v>
      </c>
      <c r="BZ21" s="19" t="n">
        <v>54623.82</v>
      </c>
      <c r="CA21" s="19" t="n">
        <v>81826.48</v>
      </c>
      <c r="CB21" s="19" t="n">
        <v>76473.34</v>
      </c>
      <c r="CC21" s="19" t="n">
        <v>37584.36</v>
      </c>
      <c r="CD21" s="19" t="n">
        <v>64396.88</v>
      </c>
      <c r="CE21" s="19" t="n">
        <v>18374.58</v>
      </c>
      <c r="CF21" s="19" t="n">
        <v>17172.5</v>
      </c>
      <c r="CG21" s="19" t="n">
        <f aca="false">SUM(CF21,CD21,CB21,BZ21,BX21,BV21,BT21,BR21,BP21,BN21,BL21,BJ21,BH21)</f>
        <v>1517648</v>
      </c>
      <c r="CH21" s="19" t="n">
        <f aca="false">CG21+BF21</f>
        <v>11596676.28</v>
      </c>
      <c r="CI21" s="19" t="n">
        <f aca="false">SUM(CE21,CC21,CA21,BY21,BW21,BU21,BS21,BQ21,BO21,BM21,BK21,BI21,BG21,BD21,BB21,AZ21,AX21,AV21,AT21,AR21,AP21,AN21)</f>
        <v>12415135.96</v>
      </c>
      <c r="CJ21" s="19" t="n">
        <f aca="false">CI21-CH21</f>
        <v>818459.68</v>
      </c>
      <c r="CK21" s="19" t="n">
        <f aca="false">IF(CE21-CF21+CC21-CD21+CA21-CB21+BU21-BV21+BK21-BL21+BI21-BJ21 &gt; 0, CE21-CF21+CC21-CD21+CA21-CB21+BU21-BV21+BK21-BL21+BI21-BJ21, "-")</f>
        <v>3849.84000000001</v>
      </c>
      <c r="CL21" s="19" t="str">
        <f aca="false">IF(CJ21&lt;0,"⚠ Over Budget","✓ Within Budget")</f>
        <v>✓ Within Budget</v>
      </c>
      <c r="CM21" s="21"/>
    </row>
    <row r="22" customFormat="false" ht="14.25" hidden="false" customHeight="false" outlineLevel="0" collapsed="false">
      <c r="A22" s="22" t="s">
        <v>101</v>
      </c>
      <c r="B22" s="22" t="n">
        <v>2023</v>
      </c>
      <c r="C22" s="22" t="n">
        <v>97</v>
      </c>
      <c r="D22" s="22" t="n">
        <v>2</v>
      </c>
      <c r="E22" s="22" t="n">
        <v>1</v>
      </c>
      <c r="F22" s="22" t="n">
        <v>1</v>
      </c>
      <c r="G22" s="22" t="n">
        <v>0</v>
      </c>
      <c r="H22" s="22" t="n">
        <v>0</v>
      </c>
      <c r="I22" s="22" t="n">
        <v>0</v>
      </c>
      <c r="J22" s="22" t="n">
        <v>4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101</v>
      </c>
      <c r="T22" s="22" t="n">
        <v>20</v>
      </c>
      <c r="U22" s="22" t="n">
        <v>81</v>
      </c>
      <c r="V22" s="22" t="n">
        <v>96</v>
      </c>
      <c r="W22" s="22" t="n">
        <v>5</v>
      </c>
      <c r="X22" s="22" t="n">
        <v>30</v>
      </c>
      <c r="Y22" s="22" t="n">
        <v>33</v>
      </c>
      <c r="Z22" s="22" t="n">
        <v>22</v>
      </c>
      <c r="AA22" s="22" t="n">
        <v>10</v>
      </c>
      <c r="AB22" s="22" t="n">
        <v>3</v>
      </c>
      <c r="AC22" s="22" t="n">
        <v>3</v>
      </c>
      <c r="AD22" s="23" t="n">
        <v>0</v>
      </c>
      <c r="AE22" s="23" t="n">
        <v>0</v>
      </c>
      <c r="AF22" s="24" t="n">
        <v>56.8</v>
      </c>
      <c r="AG22" s="25" t="n">
        <v>369505</v>
      </c>
      <c r="AH22" s="25" t="n">
        <v>536284</v>
      </c>
      <c r="AI22" s="25" t="n">
        <v>851346</v>
      </c>
      <c r="AJ22" s="25" t="n">
        <v>1370176</v>
      </c>
      <c r="AK22" s="25" t="n">
        <v>2275001</v>
      </c>
      <c r="AL22" s="25" t="n">
        <v>3705859</v>
      </c>
      <c r="AM22" s="25" t="n">
        <v>1062216.65</v>
      </c>
      <c r="AN22" s="25" t="n">
        <v>9187288.86</v>
      </c>
      <c r="AO22" s="25" t="n">
        <v>8586251.27</v>
      </c>
      <c r="AP22" s="25" t="n">
        <v>918728.89</v>
      </c>
      <c r="AQ22" s="25" t="n">
        <v>858625.13</v>
      </c>
      <c r="AR22" s="25" t="n">
        <v>33408.32</v>
      </c>
      <c r="AS22" s="25" t="n">
        <v>0</v>
      </c>
      <c r="AT22" s="25" t="n">
        <v>459364.44</v>
      </c>
      <c r="AU22" s="25" t="n">
        <v>429312.56</v>
      </c>
      <c r="AV22" s="25" t="n">
        <v>128299.36</v>
      </c>
      <c r="AW22" s="25" t="n">
        <v>122903.59</v>
      </c>
      <c r="AX22" s="25" t="n">
        <v>87671.23</v>
      </c>
      <c r="AY22" s="25" t="n">
        <v>81935.73</v>
      </c>
      <c r="AZ22" s="25" t="n">
        <v>22408.02</v>
      </c>
      <c r="BA22" s="25" t="n">
        <v>0</v>
      </c>
      <c r="BB22" s="25" t="n">
        <v>1535.91</v>
      </c>
      <c r="BC22" s="25" t="n">
        <v>0</v>
      </c>
      <c r="BD22" s="25" t="n">
        <v>304.44</v>
      </c>
      <c r="BE22" s="25" t="n">
        <v>0</v>
      </c>
      <c r="BF22" s="25" t="n">
        <f aca="false">SUM(BE22,BC22,BA22,AY22,AW22,AU22,AS22,AQ22,AO22)</f>
        <v>10079028.28</v>
      </c>
      <c r="BG22" s="25" t="n">
        <v>81826.48</v>
      </c>
      <c r="BH22" s="25" t="n">
        <v>57355.01</v>
      </c>
      <c r="BI22" s="25" t="n">
        <v>80365.29</v>
      </c>
      <c r="BJ22" s="25" t="n">
        <v>75107.75</v>
      </c>
      <c r="BK22" s="25" t="n">
        <v>58447.48</v>
      </c>
      <c r="BL22" s="25" t="n">
        <v>54623.82</v>
      </c>
      <c r="BM22" s="25" t="n">
        <v>143196.34</v>
      </c>
      <c r="BN22" s="25" t="n">
        <v>133828.35</v>
      </c>
      <c r="BO22" s="25" t="n">
        <v>8216.61</v>
      </c>
      <c r="BP22" s="25" t="n">
        <v>0</v>
      </c>
      <c r="BQ22" s="25" t="n">
        <v>763733.88</v>
      </c>
      <c r="BR22" s="25" t="n">
        <v>713769.98</v>
      </c>
      <c r="BS22" s="25" t="n">
        <v>50915.59</v>
      </c>
      <c r="BT22" s="25" t="n">
        <v>38433.77</v>
      </c>
      <c r="BU22" s="25" t="n">
        <v>229682.22</v>
      </c>
      <c r="BV22" s="25" t="n">
        <v>214656.28</v>
      </c>
      <c r="BW22" s="25" t="n">
        <v>49095.89</v>
      </c>
      <c r="BX22" s="25" t="n">
        <v>47795.84</v>
      </c>
      <c r="BY22" s="25" t="n">
        <v>56696.19</v>
      </c>
      <c r="BZ22" s="25" t="n">
        <v>99350.8</v>
      </c>
      <c r="CA22" s="25" t="n">
        <v>81826.48</v>
      </c>
      <c r="CB22" s="25" t="n">
        <v>76473.34</v>
      </c>
      <c r="CC22" s="25" t="n">
        <v>37584.36</v>
      </c>
      <c r="CD22" s="25" t="n">
        <v>64396.88</v>
      </c>
      <c r="CE22" s="25" t="n">
        <v>18374.58</v>
      </c>
      <c r="CF22" s="25" t="n">
        <v>17172.5</v>
      </c>
      <c r="CG22" s="25" t="n">
        <f aca="false">SUM(CF22,CD22,CB22,BZ22,BX22,BV22,BT22,BR22,BP22,BN22,BL22,BJ22,BH22)</f>
        <v>1592964.32</v>
      </c>
      <c r="CH22" s="25" t="n">
        <f aca="false">CG22+BF22</f>
        <v>11671992.6</v>
      </c>
      <c r="CI22" s="25" t="n">
        <f aca="false">SUM(CE22,CC22,CA22,BY22,BW22,BU22,BS22,BQ22,BO22,BM22,BK22,BI22,BG22,BD22,BB22,AZ22,AX22,AV22,AT22,AR22,AP22,AN22)</f>
        <v>12498970.86</v>
      </c>
      <c r="CJ22" s="25" t="n">
        <f aca="false">CI22-CH22</f>
        <v>826978.26</v>
      </c>
      <c r="CK22" s="25" t="n">
        <f aca="false">IF(CE22-CF22+CC22-CD22+CA22-CB22+BU22-BV22+BK22-BL22+BI22-BJ22 &gt; 0, CE22-CF22+CC22-CD22+CA22-CB22+BU22-BV22+BK22-BL22+BI22-BJ22, "-")</f>
        <v>3849.84000000001</v>
      </c>
      <c r="CL22" s="25" t="str">
        <f aca="false">IF(CJ22&lt;0,"⚠ Over Budget","✓ Within Budget")</f>
        <v>✓ Within Budget</v>
      </c>
      <c r="CM22" s="27"/>
    </row>
    <row r="23" customFormat="false" ht="14.25" hidden="false" customHeight="false" outlineLevel="0" collapsed="false">
      <c r="A23" s="16" t="s">
        <v>102</v>
      </c>
      <c r="B23" s="16" t="n">
        <v>2023</v>
      </c>
      <c r="C23" s="16" t="n">
        <v>101</v>
      </c>
      <c r="D23" s="16" t="n">
        <v>1</v>
      </c>
      <c r="E23" s="16" t="n">
        <v>1</v>
      </c>
      <c r="F23" s="16" t="n">
        <v>1</v>
      </c>
      <c r="G23" s="16" t="n">
        <v>0</v>
      </c>
      <c r="H23" s="16" t="n">
        <v>0</v>
      </c>
      <c r="I23" s="16" t="n">
        <v>0</v>
      </c>
      <c r="J23" s="16" t="n">
        <v>3</v>
      </c>
      <c r="K23" s="16" t="n">
        <v>1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1</v>
      </c>
      <c r="Q23" s="16" t="n">
        <v>1</v>
      </c>
      <c r="R23" s="16" t="n">
        <v>0</v>
      </c>
      <c r="S23" s="16" t="n">
        <v>103</v>
      </c>
      <c r="T23" s="16" t="n">
        <v>19</v>
      </c>
      <c r="U23" s="16" t="n">
        <v>84</v>
      </c>
      <c r="V23" s="16" t="n">
        <v>98</v>
      </c>
      <c r="W23" s="16" t="n">
        <v>5</v>
      </c>
      <c r="X23" s="16" t="n">
        <v>31</v>
      </c>
      <c r="Y23" s="16" t="n">
        <v>34</v>
      </c>
      <c r="Z23" s="16" t="n">
        <v>23</v>
      </c>
      <c r="AA23" s="16" t="n">
        <v>10</v>
      </c>
      <c r="AB23" s="16" t="n">
        <v>3</v>
      </c>
      <c r="AC23" s="16" t="n">
        <v>2</v>
      </c>
      <c r="AD23" s="17" t="n">
        <v>0.118812</v>
      </c>
      <c r="AE23" s="17" t="n">
        <v>0</v>
      </c>
      <c r="AF23" s="18" t="n">
        <v>56.1</v>
      </c>
      <c r="AG23" s="19" t="n">
        <v>369505</v>
      </c>
      <c r="AH23" s="19" t="n">
        <v>536284</v>
      </c>
      <c r="AI23" s="19" t="n">
        <v>851346</v>
      </c>
      <c r="AJ23" s="19" t="n">
        <v>1370176</v>
      </c>
      <c r="AK23" s="19" t="n">
        <v>2275001</v>
      </c>
      <c r="AL23" s="19" t="n">
        <v>3705859</v>
      </c>
      <c r="AM23" s="19" t="n">
        <v>1062216.65</v>
      </c>
      <c r="AN23" s="19" t="n">
        <v>9282003.17</v>
      </c>
      <c r="AO23" s="19" t="n">
        <v>8674769.32</v>
      </c>
      <c r="AP23" s="19" t="n">
        <v>928200.32</v>
      </c>
      <c r="AQ23" s="19" t="n">
        <v>867476.93</v>
      </c>
      <c r="AR23" s="19" t="n">
        <v>33752.74</v>
      </c>
      <c r="AS23" s="19" t="n">
        <v>0</v>
      </c>
      <c r="AT23" s="19" t="n">
        <v>464100.16</v>
      </c>
      <c r="AU23" s="19" t="n">
        <v>433738.47</v>
      </c>
      <c r="AV23" s="19" t="n">
        <v>142584.23</v>
      </c>
      <c r="AW23" s="19" t="n">
        <v>124170.64</v>
      </c>
      <c r="AX23" s="19" t="n">
        <v>88575.05</v>
      </c>
      <c r="AY23" s="19" t="n">
        <v>82780.42</v>
      </c>
      <c r="AZ23" s="19" t="n">
        <v>291061.16</v>
      </c>
      <c r="BA23" s="19" t="n">
        <v>278820.27</v>
      </c>
      <c r="BB23" s="19" t="n">
        <v>18430.89</v>
      </c>
      <c r="BC23" s="19" t="n">
        <v>17703.61</v>
      </c>
      <c r="BD23" s="19" t="n">
        <v>101.48</v>
      </c>
      <c r="BE23" s="19" t="n">
        <v>0</v>
      </c>
      <c r="BF23" s="19" t="n">
        <f aca="false">SUM(BE23,BC23,BA23,AY23,AW23,AU23,AS23,AQ23,AO23)</f>
        <v>10479459.66</v>
      </c>
      <c r="BG23" s="19" t="n">
        <v>119044.87</v>
      </c>
      <c r="BH23" s="19" t="n">
        <v>69535.56</v>
      </c>
      <c r="BI23" s="19" t="n">
        <v>81193.8</v>
      </c>
      <c r="BJ23" s="19" t="n">
        <v>75882.06</v>
      </c>
      <c r="BK23" s="19" t="n">
        <v>59050.04</v>
      </c>
      <c r="BL23" s="19" t="n">
        <v>55186.95</v>
      </c>
      <c r="BM23" s="19" t="n">
        <v>144672.59</v>
      </c>
      <c r="BN23" s="19" t="n">
        <v>135208.03</v>
      </c>
      <c r="BO23" s="19" t="n">
        <v>57516.27</v>
      </c>
      <c r="BP23" s="19" t="n">
        <v>98548.12</v>
      </c>
      <c r="BQ23" s="19" t="n">
        <v>783316.8</v>
      </c>
      <c r="BR23" s="19" t="n">
        <v>732071.78</v>
      </c>
      <c r="BS23" s="19" t="n">
        <v>44187.1</v>
      </c>
      <c r="BT23" s="19" t="n">
        <v>39419.25</v>
      </c>
      <c r="BU23" s="19" t="n">
        <v>232050.08</v>
      </c>
      <c r="BV23" s="19" t="n">
        <v>216869.23</v>
      </c>
      <c r="BW23" s="19" t="n">
        <v>99204.06</v>
      </c>
      <c r="BX23" s="19" t="n">
        <v>48288.58</v>
      </c>
      <c r="BY23" s="19" t="n">
        <v>26244.46</v>
      </c>
      <c r="BZ23" s="19" t="n">
        <v>55186.95</v>
      </c>
      <c r="CA23" s="19" t="n">
        <v>82670.05</v>
      </c>
      <c r="CB23" s="19" t="n">
        <v>77261.73</v>
      </c>
      <c r="CC23" s="19" t="n">
        <v>45566.2</v>
      </c>
      <c r="CD23" s="19" t="n">
        <v>65060.77</v>
      </c>
      <c r="CE23" s="19" t="n">
        <v>18564.01</v>
      </c>
      <c r="CF23" s="19" t="n">
        <v>17349.54</v>
      </c>
      <c r="CG23" s="19" t="n">
        <f aca="false">SUM(CF23,CD23,CB23,BZ23,BX23,BV23,BT23,BR23,BP23,BN23,BL23,BJ23,BH23)</f>
        <v>1685868.55</v>
      </c>
      <c r="CH23" s="19" t="n">
        <f aca="false">CG23+BF23</f>
        <v>12165328.21</v>
      </c>
      <c r="CI23" s="19" t="n">
        <f aca="false">SUM(CE23,CC23,CA23,BY23,BW23,BU23,BS23,BQ23,BO23,BM23,BK23,BI23,BG23,BD23,BB23,AZ23,AX23,AV23,AT23,AR23,AP23,AN23)</f>
        <v>13042089.53</v>
      </c>
      <c r="CJ23" s="19" t="n">
        <f aca="false">CI23-CH23</f>
        <v>876761.319999998</v>
      </c>
      <c r="CK23" s="19" t="n">
        <f aca="false">IF(CE23-CF23+CC23-CD23+CA23-CB23+BU23-BV23+BK23-BL23+BI23-BJ23 &gt; 0, CE23-CF23+CC23-CD23+CA23-CB23+BU23-BV23+BK23-BL23+BI23-BJ23, "-")</f>
        <v>11483.9</v>
      </c>
      <c r="CL23" s="19" t="str">
        <f aca="false">IF(CJ23&lt;0,"⚠ Over Budget","✓ Within Budget")</f>
        <v>✓ Within Budget</v>
      </c>
      <c r="CM23" s="21"/>
    </row>
    <row r="24" customFormat="false" ht="14.25" hidden="false" customHeight="false" outlineLevel="0" collapsed="false">
      <c r="A24" s="22" t="s">
        <v>103</v>
      </c>
      <c r="B24" s="22" t="n">
        <v>2023</v>
      </c>
      <c r="C24" s="22" t="n">
        <v>103</v>
      </c>
      <c r="D24" s="22" t="n">
        <v>1</v>
      </c>
      <c r="E24" s="22" t="n">
        <v>1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2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105</v>
      </c>
      <c r="T24" s="22" t="n">
        <v>19</v>
      </c>
      <c r="U24" s="22" t="n">
        <v>86</v>
      </c>
      <c r="V24" s="22" t="n">
        <v>100</v>
      </c>
      <c r="W24" s="22" t="n">
        <v>5</v>
      </c>
      <c r="X24" s="22" t="n">
        <v>32</v>
      </c>
      <c r="Y24" s="22" t="n">
        <v>35</v>
      </c>
      <c r="Z24" s="22" t="n">
        <v>23</v>
      </c>
      <c r="AA24" s="22" t="n">
        <v>10</v>
      </c>
      <c r="AB24" s="22" t="n">
        <v>3</v>
      </c>
      <c r="AC24" s="22" t="n">
        <v>2</v>
      </c>
      <c r="AD24" s="23" t="n">
        <v>0</v>
      </c>
      <c r="AE24" s="23" t="n">
        <v>0.0148969138658024</v>
      </c>
      <c r="AF24" s="24" t="n">
        <v>55.7</v>
      </c>
      <c r="AG24" s="25" t="n">
        <v>375812</v>
      </c>
      <c r="AH24" s="25" t="n">
        <v>544906</v>
      </c>
      <c r="AI24" s="25" t="n">
        <v>862040</v>
      </c>
      <c r="AJ24" s="25" t="n">
        <v>1386242</v>
      </c>
      <c r="AK24" s="25" t="n">
        <v>2298255</v>
      </c>
      <c r="AL24" s="25" t="n">
        <v>3747944</v>
      </c>
      <c r="AM24" s="25" t="n">
        <v>1076627.15</v>
      </c>
      <c r="AN24" s="25" t="n">
        <v>9503926.14</v>
      </c>
      <c r="AO24" s="25" t="n">
        <v>8882173.96</v>
      </c>
      <c r="AP24" s="25" t="n">
        <v>950392.61</v>
      </c>
      <c r="AQ24" s="25" t="n">
        <v>888217.4</v>
      </c>
      <c r="AR24" s="25" t="n">
        <v>1105911.41</v>
      </c>
      <c r="AS24" s="25" t="n">
        <v>355286.96</v>
      </c>
      <c r="AT24" s="25" t="n">
        <v>475196.31</v>
      </c>
      <c r="AU24" s="25" t="n">
        <v>444108.7</v>
      </c>
      <c r="AV24" s="25" t="n">
        <v>117850.23</v>
      </c>
      <c r="AW24" s="25" t="n">
        <v>125437.68</v>
      </c>
      <c r="AX24" s="25" t="n">
        <v>89478.88</v>
      </c>
      <c r="AY24" s="25" t="n">
        <v>83625.12</v>
      </c>
      <c r="AZ24" s="25" t="n">
        <v>478236.5</v>
      </c>
      <c r="BA24" s="25" t="n">
        <v>229061.87</v>
      </c>
      <c r="BB24" s="25" t="n">
        <v>18680.94</v>
      </c>
      <c r="BC24" s="25" t="n">
        <v>17943.79</v>
      </c>
      <c r="BD24" s="25" t="n">
        <v>30856.9</v>
      </c>
      <c r="BE24" s="25" t="n">
        <v>53831.36</v>
      </c>
      <c r="BF24" s="25" t="n">
        <f aca="false">SUM(BE24,BC24,BA24,AY24,AW24,AU24,AS24,AQ24,AO24)</f>
        <v>11079686.84</v>
      </c>
      <c r="BG24" s="25" t="n">
        <v>72749.64</v>
      </c>
      <c r="BH24" s="25" t="n">
        <v>54635.08</v>
      </c>
      <c r="BI24" s="25" t="n">
        <v>82022.31</v>
      </c>
      <c r="BJ24" s="25" t="n">
        <v>76656.36</v>
      </c>
      <c r="BK24" s="25" t="n">
        <v>59652.59</v>
      </c>
      <c r="BL24" s="25" t="n">
        <v>55750.08</v>
      </c>
      <c r="BM24" s="25" t="n">
        <v>146148.84</v>
      </c>
      <c r="BN24" s="25" t="n">
        <v>136587.7</v>
      </c>
      <c r="BO24" s="25" t="n">
        <v>57516.27</v>
      </c>
      <c r="BP24" s="25" t="n">
        <v>98548.12</v>
      </c>
      <c r="BQ24" s="25" t="n">
        <v>793108.26</v>
      </c>
      <c r="BR24" s="25" t="n">
        <v>741222.68</v>
      </c>
      <c r="BS24" s="25" t="n">
        <v>40672.22</v>
      </c>
      <c r="BT24" s="25" t="n">
        <v>39911.99</v>
      </c>
      <c r="BU24" s="25" t="n">
        <v>237598.15</v>
      </c>
      <c r="BV24" s="25" t="n">
        <v>222054.35</v>
      </c>
      <c r="BW24" s="25" t="n">
        <v>75162.26</v>
      </c>
      <c r="BX24" s="25" t="n">
        <v>48781.32</v>
      </c>
      <c r="BY24" s="25" t="n">
        <v>984128.49</v>
      </c>
      <c r="BZ24" s="25" t="n">
        <v>323348.29</v>
      </c>
      <c r="CA24" s="25" t="n">
        <v>83513.62</v>
      </c>
      <c r="CB24" s="25" t="n">
        <v>78050.11</v>
      </c>
      <c r="CC24" s="25" t="n">
        <v>62207.52</v>
      </c>
      <c r="CD24" s="25" t="n">
        <v>66616.3</v>
      </c>
      <c r="CE24" s="25" t="n">
        <v>19007.85</v>
      </c>
      <c r="CF24" s="25" t="n">
        <v>17764.35</v>
      </c>
      <c r="CG24" s="25" t="n">
        <f aca="false">SUM(CF24,CD24,CB24,BZ24,BX24,BV24,BT24,BR24,BP24,BN24,BL24,BJ24,BH24)</f>
        <v>1959926.73</v>
      </c>
      <c r="CH24" s="25" t="n">
        <f aca="false">CG24+BF24</f>
        <v>13039613.57</v>
      </c>
      <c r="CI24" s="25" t="n">
        <f aca="false">SUM(CE24,CC24,CA24,BY24,BW24,BU24,BS24,BQ24,BO24,BM24,BK24,BI24,BG24,BD24,BB24,AZ24,AX24,AV24,AT24,AR24,AP24,AN24)</f>
        <v>15484017.94</v>
      </c>
      <c r="CJ24" s="25" t="n">
        <f aca="false">CI24-CH24</f>
        <v>2444404.37</v>
      </c>
      <c r="CK24" s="25" t="n">
        <f aca="false">IF(CE24-CF24+CC24-CD24+CA24-CB24+BU24-BV24+BK24-BL24+BI24-BJ24 &gt; 0, CE24-CF24+CC24-CD24+CA24-CB24+BU24-BV24+BK24-BL24+BI24-BJ24, "-")</f>
        <v>27110.49</v>
      </c>
      <c r="CL24" s="25" t="str">
        <f aca="false">IF(CJ24&lt;0,"⚠ Over Budget","✓ Within Budget")</f>
        <v>✓ Within Budget</v>
      </c>
      <c r="CM24" s="27"/>
    </row>
    <row r="25" customFormat="false" ht="14.25" hidden="false" customHeight="false" outlineLevel="0" collapsed="false">
      <c r="A25" s="16" t="s">
        <v>104</v>
      </c>
      <c r="B25" s="16" t="n">
        <v>2023</v>
      </c>
      <c r="C25" s="16" t="n">
        <v>105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1</v>
      </c>
      <c r="S25" s="16" t="n">
        <v>104</v>
      </c>
      <c r="T25" s="16" t="n">
        <v>19</v>
      </c>
      <c r="U25" s="16" t="n">
        <v>85</v>
      </c>
      <c r="V25" s="16" t="n">
        <v>99</v>
      </c>
      <c r="W25" s="16" t="n">
        <v>5</v>
      </c>
      <c r="X25" s="16" t="n">
        <v>31</v>
      </c>
      <c r="Y25" s="16" t="n">
        <v>34</v>
      </c>
      <c r="Z25" s="16" t="n">
        <v>23</v>
      </c>
      <c r="AA25" s="16" t="n">
        <v>10</v>
      </c>
      <c r="AB25" s="16" t="n">
        <v>3</v>
      </c>
      <c r="AC25" s="16" t="n">
        <v>3</v>
      </c>
      <c r="AD25" s="17" t="n">
        <v>0</v>
      </c>
      <c r="AE25" s="17" t="n">
        <v>0</v>
      </c>
      <c r="AF25" s="18" t="n">
        <v>56.5</v>
      </c>
      <c r="AG25" s="19" t="n">
        <v>375812</v>
      </c>
      <c r="AH25" s="19" t="n">
        <v>544906</v>
      </c>
      <c r="AI25" s="19" t="n">
        <v>862040</v>
      </c>
      <c r="AJ25" s="19" t="n">
        <v>1386242</v>
      </c>
      <c r="AK25" s="19" t="n">
        <v>2298255</v>
      </c>
      <c r="AL25" s="19" t="n">
        <v>3747944</v>
      </c>
      <c r="AM25" s="19" t="n">
        <v>1076627.15</v>
      </c>
      <c r="AN25" s="19" t="n">
        <v>9503926.14</v>
      </c>
      <c r="AO25" s="19" t="n">
        <v>8882173.96</v>
      </c>
      <c r="AP25" s="19" t="n">
        <v>950392.61</v>
      </c>
      <c r="AQ25" s="19" t="n">
        <v>888217.4</v>
      </c>
      <c r="AR25" s="19" t="n">
        <v>112319.13</v>
      </c>
      <c r="AS25" s="19" t="n">
        <v>0</v>
      </c>
      <c r="AT25" s="19" t="n">
        <v>475196.31</v>
      </c>
      <c r="AU25" s="19" t="n">
        <v>444108.7</v>
      </c>
      <c r="AV25" s="19" t="n">
        <v>139674.35</v>
      </c>
      <c r="AW25" s="19" t="n">
        <v>167250.24</v>
      </c>
      <c r="AX25" s="19" t="n">
        <v>89478.88</v>
      </c>
      <c r="AY25" s="19" t="n">
        <v>83625.12</v>
      </c>
      <c r="AZ25" s="19" t="n">
        <v>46360.62</v>
      </c>
      <c r="BA25" s="19" t="n">
        <v>0</v>
      </c>
      <c r="BB25" s="19" t="n">
        <v>311.35</v>
      </c>
      <c r="BC25" s="19" t="n">
        <v>0</v>
      </c>
      <c r="BD25" s="19" t="n">
        <v>102.86</v>
      </c>
      <c r="BE25" s="19" t="n">
        <v>0</v>
      </c>
      <c r="BF25" s="19" t="n">
        <f aca="false">SUM(BE25,BC25,BA25,AY25,AW25,AU25,AS25,AQ25,AO25)</f>
        <v>10465375.42</v>
      </c>
      <c r="BG25" s="19" t="n">
        <v>95019.94</v>
      </c>
      <c r="BH25" s="19" t="n">
        <v>62440.09</v>
      </c>
      <c r="BI25" s="19" t="n">
        <v>82022.31</v>
      </c>
      <c r="BJ25" s="19" t="n">
        <v>76656.36</v>
      </c>
      <c r="BK25" s="19" t="n">
        <v>59652.59</v>
      </c>
      <c r="BL25" s="19" t="n">
        <v>55750.08</v>
      </c>
      <c r="BM25" s="19" t="n">
        <v>146148.84</v>
      </c>
      <c r="BN25" s="19" t="n">
        <v>136587.7</v>
      </c>
      <c r="BO25" s="19" t="n">
        <v>4108.3</v>
      </c>
      <c r="BP25" s="19" t="n">
        <v>0</v>
      </c>
      <c r="BQ25" s="19" t="n">
        <v>793108.26</v>
      </c>
      <c r="BR25" s="19" t="n">
        <v>741222.68</v>
      </c>
      <c r="BS25" s="19" t="n">
        <v>36605</v>
      </c>
      <c r="BT25" s="19" t="n">
        <v>39911.99</v>
      </c>
      <c r="BU25" s="19" t="n">
        <v>237598.15</v>
      </c>
      <c r="BV25" s="19" t="n">
        <v>222054.35</v>
      </c>
      <c r="BW25" s="19" t="n">
        <v>50108.17</v>
      </c>
      <c r="BX25" s="19" t="n">
        <v>48781.32</v>
      </c>
      <c r="BY25" s="19" t="n">
        <v>206548.22</v>
      </c>
      <c r="BZ25" s="19" t="n">
        <v>144776.79</v>
      </c>
      <c r="CA25" s="19" t="n">
        <v>83513.62</v>
      </c>
      <c r="CB25" s="19" t="n">
        <v>78050.11</v>
      </c>
      <c r="CC25" s="19" t="n">
        <v>62207.52</v>
      </c>
      <c r="CD25" s="19" t="n">
        <v>66616.3</v>
      </c>
      <c r="CE25" s="19" t="n">
        <v>19007.85</v>
      </c>
      <c r="CF25" s="19" t="n">
        <v>17764.35</v>
      </c>
      <c r="CG25" s="19" t="n">
        <f aca="false">SUM(CF25,CD25,CB25,BZ25,BX25,BV25,BT25,BR25,BP25,BN25,BL25,BJ25,BH25)</f>
        <v>1690612.12</v>
      </c>
      <c r="CH25" s="19" t="n">
        <f aca="false">CG25+BF25</f>
        <v>12155987.54</v>
      </c>
      <c r="CI25" s="19" t="n">
        <f aca="false">SUM(CE25,CC25,CA25,BY25,BW25,BU25,BS25,BQ25,BO25,BM25,BK25,BI25,BG25,BD25,BB25,AZ25,AX25,AV25,AT25,AR25,AP25,AN25)</f>
        <v>13193411.02</v>
      </c>
      <c r="CJ25" s="19" t="n">
        <f aca="false">CI25-CH25</f>
        <v>1037423.48</v>
      </c>
      <c r="CK25" s="19" t="n">
        <f aca="false">IF(CE25-CF25+CC25-CD25+CA25-CB25+BU25-BV25+BK25-BL25+BI25-BJ25 &gt; 0, CE25-CF25+CC25-CD25+CA25-CB25+BU25-BV25+BK25-BL25+BI25-BJ25, "-")</f>
        <v>27110.49</v>
      </c>
      <c r="CL25" s="19" t="str">
        <f aca="false">IF(CJ25&lt;0,"⚠ Over Budget","✓ Within Budget")</f>
        <v>✓ Within Budget</v>
      </c>
      <c r="CM25" s="21"/>
    </row>
    <row r="26" customFormat="false" ht="18.75" hidden="false" customHeight="true" outlineLevel="0" collapsed="false">
      <c r="A26" s="22" t="s">
        <v>105</v>
      </c>
      <c r="B26" s="22" t="n">
        <v>2023</v>
      </c>
      <c r="C26" s="22" t="n">
        <v>104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1</v>
      </c>
      <c r="S26" s="22" t="n">
        <v>103</v>
      </c>
      <c r="T26" s="22" t="n">
        <v>19</v>
      </c>
      <c r="U26" s="22" t="n">
        <v>84</v>
      </c>
      <c r="V26" s="22" t="n">
        <v>98</v>
      </c>
      <c r="W26" s="22" t="n">
        <v>5</v>
      </c>
      <c r="X26" s="22" t="n">
        <v>31</v>
      </c>
      <c r="Y26" s="22" t="n">
        <v>34</v>
      </c>
      <c r="Z26" s="22" t="n">
        <v>23</v>
      </c>
      <c r="AA26" s="22" t="n">
        <v>10</v>
      </c>
      <c r="AB26" s="22" t="n">
        <v>3</v>
      </c>
      <c r="AC26" s="22" t="n">
        <v>2</v>
      </c>
      <c r="AD26" s="23" t="n">
        <v>0</v>
      </c>
      <c r="AE26" s="23" t="n">
        <v>0</v>
      </c>
      <c r="AF26" s="24" t="n">
        <v>57.1</v>
      </c>
      <c r="AG26" s="25" t="n">
        <v>375812</v>
      </c>
      <c r="AH26" s="25" t="n">
        <v>544906</v>
      </c>
      <c r="AI26" s="25" t="n">
        <v>862040</v>
      </c>
      <c r="AJ26" s="25" t="n">
        <v>1386242</v>
      </c>
      <c r="AK26" s="25" t="n">
        <v>2298255</v>
      </c>
      <c r="AL26" s="25" t="n">
        <v>3747944</v>
      </c>
      <c r="AM26" s="25" t="n">
        <v>1076627.15</v>
      </c>
      <c r="AN26" s="25" t="n">
        <v>9503926.14</v>
      </c>
      <c r="AO26" s="25" t="n">
        <v>8882173.96</v>
      </c>
      <c r="AP26" s="25" t="n">
        <v>950392.61</v>
      </c>
      <c r="AQ26" s="25" t="n">
        <v>888217.4</v>
      </c>
      <c r="AR26" s="25" t="n">
        <v>4147167.77</v>
      </c>
      <c r="AS26" s="25" t="n">
        <v>2120798.14</v>
      </c>
      <c r="AT26" s="25" t="n">
        <v>475196.31</v>
      </c>
      <c r="AU26" s="25" t="n">
        <v>444108.7</v>
      </c>
      <c r="AV26" s="25" t="n">
        <v>122215.06</v>
      </c>
      <c r="AW26" s="25" t="n">
        <v>167250.24</v>
      </c>
      <c r="AX26" s="25" t="n">
        <v>89478.88</v>
      </c>
      <c r="AY26" s="25" t="n">
        <v>83625.12</v>
      </c>
      <c r="AZ26" s="25" t="n">
        <v>433580.3</v>
      </c>
      <c r="BA26" s="25" t="n">
        <v>276897.08</v>
      </c>
      <c r="BB26" s="25" t="n">
        <v>311.35</v>
      </c>
      <c r="BC26" s="25" t="n">
        <v>0</v>
      </c>
      <c r="BD26" s="25" t="n">
        <v>102.86</v>
      </c>
      <c r="BE26" s="25" t="n">
        <v>0</v>
      </c>
      <c r="BF26" s="25" t="n">
        <f aca="false">SUM(BE26,BC26,BA26,AY26,AW26,AU26,AS26,AQ26,AO26)</f>
        <v>12863070.64</v>
      </c>
      <c r="BG26" s="25" t="n">
        <v>15589.21</v>
      </c>
      <c r="BH26" s="25" t="n">
        <v>27317.54</v>
      </c>
      <c r="BI26" s="25" t="n">
        <v>82022.31</v>
      </c>
      <c r="BJ26" s="25" t="n">
        <v>76656.36</v>
      </c>
      <c r="BK26" s="25" t="n">
        <v>59652.59</v>
      </c>
      <c r="BL26" s="25" t="n">
        <v>55750.08</v>
      </c>
      <c r="BM26" s="25" t="n">
        <v>146148.84</v>
      </c>
      <c r="BN26" s="25" t="n">
        <v>136587.7</v>
      </c>
      <c r="BO26" s="25" t="n">
        <v>4108.3</v>
      </c>
      <c r="BP26" s="25" t="n">
        <v>0</v>
      </c>
      <c r="BQ26" s="25" t="n">
        <v>793108.26</v>
      </c>
      <c r="BR26" s="25" t="n">
        <v>741222.68</v>
      </c>
      <c r="BS26" s="25" t="n">
        <v>32537.77</v>
      </c>
      <c r="BT26" s="25" t="n">
        <v>39911.99</v>
      </c>
      <c r="BU26" s="25" t="n">
        <v>237598.15</v>
      </c>
      <c r="BV26" s="25" t="n">
        <v>222054.35</v>
      </c>
      <c r="BW26" s="25" t="n">
        <v>25054.09</v>
      </c>
      <c r="BX26" s="25" t="n">
        <v>48781.32</v>
      </c>
      <c r="BY26" s="25" t="n">
        <v>291744.75</v>
      </c>
      <c r="BZ26" s="25" t="n">
        <v>1437074.73</v>
      </c>
      <c r="CA26" s="25" t="n">
        <v>83513.62</v>
      </c>
      <c r="CB26" s="25" t="n">
        <v>78050.11</v>
      </c>
      <c r="CC26" s="25" t="n">
        <v>38879.7</v>
      </c>
      <c r="CD26" s="25" t="n">
        <v>1123114.09</v>
      </c>
      <c r="CE26" s="25" t="n">
        <v>19007.85</v>
      </c>
      <c r="CF26" s="25" t="n">
        <v>17764.35</v>
      </c>
      <c r="CG26" s="25" t="n">
        <f aca="false">SUM(CF26,CD26,CB26,BZ26,BX26,BV26,BT26,BR26,BP26,BN26,BL26,BJ26,BH26)</f>
        <v>4004285.3</v>
      </c>
      <c r="CH26" s="25" t="n">
        <f aca="false">CG26+BF26</f>
        <v>16867355.94</v>
      </c>
      <c r="CI26" s="25" t="n">
        <f aca="false">SUM(CE26,CC26,CA26,BY26,BW26,BU26,BS26,BQ26,BO26,BM26,BK26,BI26,BG26,BD26,BB26,AZ26,AX26,AV26,AT26,AR26,AP26,AN26)</f>
        <v>17551336.72</v>
      </c>
      <c r="CJ26" s="25" t="n">
        <f aca="false">CI26-CH26</f>
        <v>683980.779999998</v>
      </c>
      <c r="CK26" s="25" t="str">
        <f aca="false">IF(CE26-CF26+CC26-CD26+CA26-CB26+BU26-BV26+BK26-BL26+BI26-BJ26 &gt; 0, CE26-CF26+CC26-CD26+CA26-CB26+BU26-BV26+BK26-BL26+BI26-BJ26, "-")</f>
        <v>-</v>
      </c>
      <c r="CL26" s="25" t="str">
        <f aca="false">IF(CJ26&lt;0,"⚠ Over Budget","✓ Within Budget")</f>
        <v>✓ Within Budget</v>
      </c>
      <c r="CM26" s="27" t="s">
        <v>118</v>
      </c>
    </row>
    <row r="27" customFormat="false" ht="14.25" hidden="false" customHeight="false" outlineLevel="0" collapsed="false">
      <c r="A27" s="28" t="s">
        <v>92</v>
      </c>
      <c r="B27" s="28" t="n">
        <v>2024</v>
      </c>
      <c r="C27" s="28" t="n">
        <v>103</v>
      </c>
      <c r="D27" s="28" t="n">
        <v>2</v>
      </c>
      <c r="E27" s="28" t="n">
        <v>2</v>
      </c>
      <c r="F27" s="28" t="n">
        <v>1</v>
      </c>
      <c r="G27" s="28" t="n">
        <v>0</v>
      </c>
      <c r="H27" s="28" t="n">
        <v>0</v>
      </c>
      <c r="I27" s="28" t="n">
        <v>0</v>
      </c>
      <c r="J27" s="28" t="n">
        <v>5</v>
      </c>
      <c r="K27" s="28" t="n">
        <v>1</v>
      </c>
      <c r="L27" s="28" t="n">
        <v>1</v>
      </c>
      <c r="M27" s="28" t="n">
        <v>0</v>
      </c>
      <c r="N27" s="28" t="n">
        <v>0</v>
      </c>
      <c r="O27" s="28" t="n">
        <v>0</v>
      </c>
      <c r="P27" s="28" t="n">
        <v>0</v>
      </c>
      <c r="Q27" s="28" t="n">
        <v>2</v>
      </c>
      <c r="R27" s="28" t="n">
        <v>0</v>
      </c>
      <c r="S27" s="28" t="n">
        <v>106</v>
      </c>
      <c r="T27" s="28" t="n">
        <v>18</v>
      </c>
      <c r="U27" s="28" t="n">
        <v>88</v>
      </c>
      <c r="V27" s="28" t="n">
        <v>101</v>
      </c>
      <c r="W27" s="28" t="n">
        <v>5</v>
      </c>
      <c r="X27" s="28" t="n">
        <v>32</v>
      </c>
      <c r="Y27" s="28" t="n">
        <v>35</v>
      </c>
      <c r="Z27" s="28" t="n">
        <v>23</v>
      </c>
      <c r="AA27" s="28" t="n">
        <v>11</v>
      </c>
      <c r="AB27" s="28" t="n">
        <v>3</v>
      </c>
      <c r="AC27" s="28" t="n">
        <v>2</v>
      </c>
      <c r="AD27" s="29" t="n">
        <v>0.23301</v>
      </c>
      <c r="AE27" s="29" t="n">
        <v>0</v>
      </c>
      <c r="AF27" s="30" t="n">
        <v>57.8</v>
      </c>
      <c r="AG27" s="31" t="n">
        <v>375812</v>
      </c>
      <c r="AH27" s="31" t="n">
        <v>544906</v>
      </c>
      <c r="AI27" s="31" t="n">
        <v>862040</v>
      </c>
      <c r="AJ27" s="31" t="n">
        <v>1386242</v>
      </c>
      <c r="AK27" s="31" t="n">
        <v>2298255</v>
      </c>
      <c r="AL27" s="31" t="n">
        <v>3747944</v>
      </c>
      <c r="AM27" s="31" t="n">
        <v>1027044.33</v>
      </c>
      <c r="AN27" s="31" t="n">
        <v>9157811.9</v>
      </c>
      <c r="AO27" s="31" t="n">
        <v>9607882.01</v>
      </c>
      <c r="AP27" s="31" t="n">
        <v>915781.19</v>
      </c>
      <c r="AQ27" s="31" t="n">
        <v>855870.27</v>
      </c>
      <c r="AR27" s="31" t="n">
        <v>149855.1</v>
      </c>
      <c r="AS27" s="31" t="n">
        <v>513522.16</v>
      </c>
      <c r="AT27" s="31" t="n">
        <v>457890.6</v>
      </c>
      <c r="AU27" s="31" t="n">
        <v>427935.14</v>
      </c>
      <c r="AV27" s="31" t="n">
        <v>134587.69</v>
      </c>
      <c r="AW27" s="31" t="n">
        <v>161159.32</v>
      </c>
      <c r="AX27" s="31" t="n">
        <v>86220.24</v>
      </c>
      <c r="AY27" s="31" t="n">
        <v>80579.66</v>
      </c>
      <c r="AZ27" s="31" t="n">
        <v>22336.13</v>
      </c>
      <c r="BA27" s="31" t="n">
        <v>0</v>
      </c>
      <c r="BB27" s="31" t="n">
        <v>17820.61</v>
      </c>
      <c r="BC27" s="31" t="n">
        <v>1799984.38</v>
      </c>
      <c r="BD27" s="31" t="n">
        <v>141291.96</v>
      </c>
      <c r="BE27" s="31" t="n">
        <v>102704.43</v>
      </c>
      <c r="BF27" s="31" t="n">
        <f aca="false">SUM(BE27,BC27,BA27,AY27,AW27,AU27,AS27,AQ27,AO27)</f>
        <v>13549637.37</v>
      </c>
      <c r="BG27" s="31" t="n">
        <v>10014.32</v>
      </c>
      <c r="BH27" s="31" t="n">
        <v>26322.69</v>
      </c>
      <c r="BI27" s="31" t="n">
        <v>79035.22</v>
      </c>
      <c r="BJ27" s="31" t="n">
        <v>73864.69</v>
      </c>
      <c r="BK27" s="31" t="n">
        <v>57480.16</v>
      </c>
      <c r="BL27" s="31" t="n">
        <v>53719.77</v>
      </c>
      <c r="BM27" s="31" t="n">
        <v>140826.39</v>
      </c>
      <c r="BN27" s="31" t="n">
        <v>131613.45</v>
      </c>
      <c r="BO27" s="31" t="n">
        <v>164602.27</v>
      </c>
      <c r="BP27" s="31" t="n">
        <v>981481.68</v>
      </c>
      <c r="BQ27" s="31" t="n">
        <v>775263.63</v>
      </c>
      <c r="BR27" s="31" t="n">
        <v>724545.45</v>
      </c>
      <c r="BS27" s="31" t="n">
        <v>35781.4</v>
      </c>
      <c r="BT27" s="31" t="n">
        <v>39013.99</v>
      </c>
      <c r="BU27" s="31" t="n">
        <v>228945.3</v>
      </c>
      <c r="BV27" s="31" t="n">
        <v>213967.57</v>
      </c>
      <c r="BW27" s="31" t="n">
        <v>24141.67</v>
      </c>
      <c r="BX27" s="31" t="n">
        <v>47004.8</v>
      </c>
      <c r="BY27" s="31" t="n">
        <v>25546.74</v>
      </c>
      <c r="BZ27" s="31" t="n">
        <v>53719.77</v>
      </c>
      <c r="CA27" s="31" t="n">
        <v>80472.22</v>
      </c>
      <c r="CB27" s="31" t="n">
        <v>75207.68</v>
      </c>
      <c r="CC27" s="31" t="n">
        <v>37463.78</v>
      </c>
      <c r="CD27" s="31" t="n">
        <v>64190.27</v>
      </c>
      <c r="CE27" s="31" t="n">
        <v>18315.62</v>
      </c>
      <c r="CF27" s="31" t="n">
        <v>17117.41</v>
      </c>
      <c r="CG27" s="31" t="n">
        <f aca="false">SUM(CF27,CD27,CB27,BZ27,BX27,BV27,BT27,BR27,BP27,BN27,BL27,BJ27,BH27)</f>
        <v>2501769.22</v>
      </c>
      <c r="CH27" s="31" t="n">
        <f aca="false">CG27+BF27</f>
        <v>16051406.59</v>
      </c>
      <c r="CI27" s="31" t="n">
        <f aca="false">SUM(CE27,CC27,CA27,BY27,BW27,BU27,BS27,BQ27,BO27,BM27,BK27,BI27,BG27,BD27,BB27,AZ27,AX27,AV27,AT27,AR27,AP27,AN27)</f>
        <v>12761484.14</v>
      </c>
      <c r="CJ27" s="31" t="n">
        <f aca="false">CI27-CH27</f>
        <v>-3289922.45</v>
      </c>
      <c r="CK27" s="31" t="n">
        <f aca="false">IF(CE27-CF27+CC27-CD27+CA27-CB27+BU27-BV27+BK27-BL27+BI27-BJ27 &gt; 0, CE27-CF27+CC27-CD27+CA27-CB27+BU27-BV27+BK27-BL27+BI27-BJ27, "-")</f>
        <v>3644.91</v>
      </c>
      <c r="CL27" s="31" t="str">
        <f aca="false">IF(CJ27&lt;0,"⚠ Over Budget","✓ Within Budget")</f>
        <v>⚠ Over Budget</v>
      </c>
      <c r="CM27" s="33" t="s">
        <v>106</v>
      </c>
    </row>
    <row r="28" customFormat="false" ht="14.25" hidden="false" customHeight="false" outlineLevel="0" collapsed="false">
      <c r="A28" s="22" t="s">
        <v>93</v>
      </c>
      <c r="B28" s="22" t="n">
        <v>2024</v>
      </c>
      <c r="C28" s="22" t="n">
        <v>106</v>
      </c>
      <c r="D28" s="22" t="n">
        <v>2</v>
      </c>
      <c r="E28" s="22" t="n">
        <v>1</v>
      </c>
      <c r="F28" s="22" t="n">
        <v>1</v>
      </c>
      <c r="G28" s="22" t="n">
        <v>0</v>
      </c>
      <c r="H28" s="22" t="n">
        <v>0</v>
      </c>
      <c r="I28" s="22" t="n">
        <v>0</v>
      </c>
      <c r="J28" s="22" t="n">
        <v>4</v>
      </c>
      <c r="K28" s="22" t="n">
        <v>1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1</v>
      </c>
      <c r="Q28" s="22" t="n">
        <v>1</v>
      </c>
      <c r="R28" s="22" t="n">
        <v>1</v>
      </c>
      <c r="S28" s="22" t="n">
        <v>108</v>
      </c>
      <c r="T28" s="22" t="n">
        <v>19</v>
      </c>
      <c r="U28" s="22" t="n">
        <v>89</v>
      </c>
      <c r="V28" s="22" t="n">
        <v>103</v>
      </c>
      <c r="W28" s="22" t="n">
        <v>5</v>
      </c>
      <c r="X28" s="22" t="n">
        <v>32</v>
      </c>
      <c r="Y28" s="22" t="n">
        <v>36</v>
      </c>
      <c r="Z28" s="22" t="n">
        <v>24</v>
      </c>
      <c r="AA28" s="22" t="n">
        <v>11</v>
      </c>
      <c r="AB28" s="22" t="n">
        <v>3</v>
      </c>
      <c r="AC28" s="22" t="n">
        <v>2</v>
      </c>
      <c r="AD28" s="23" t="n">
        <v>0.113208</v>
      </c>
      <c r="AE28" s="23" t="n">
        <v>0</v>
      </c>
      <c r="AF28" s="24" t="n">
        <v>58.2</v>
      </c>
      <c r="AG28" s="25" t="n">
        <v>375812</v>
      </c>
      <c r="AH28" s="25" t="n">
        <v>544906</v>
      </c>
      <c r="AI28" s="25" t="n">
        <v>862040</v>
      </c>
      <c r="AJ28" s="25" t="n">
        <v>1386242</v>
      </c>
      <c r="AK28" s="25" t="n">
        <v>2298255</v>
      </c>
      <c r="AL28" s="25" t="n">
        <v>3747944</v>
      </c>
      <c r="AM28" s="25" t="n">
        <v>1027044.33</v>
      </c>
      <c r="AN28" s="25" t="n">
        <v>9340968.14</v>
      </c>
      <c r="AO28" s="25" t="n">
        <v>8729876.77</v>
      </c>
      <c r="AP28" s="25" t="n">
        <v>934096.81</v>
      </c>
      <c r="AQ28" s="25" t="n">
        <v>872987.68</v>
      </c>
      <c r="AR28" s="25" t="n">
        <v>25475.37</v>
      </c>
      <c r="AS28" s="25" t="n">
        <v>0</v>
      </c>
      <c r="AT28" s="25" t="n">
        <v>467048.41</v>
      </c>
      <c r="AU28" s="25" t="n">
        <v>436493.84</v>
      </c>
      <c r="AV28" s="25" t="n">
        <v>137279.44</v>
      </c>
      <c r="AW28" s="25" t="n">
        <v>164382.51</v>
      </c>
      <c r="AX28" s="25" t="n">
        <v>87944.64</v>
      </c>
      <c r="AY28" s="25" t="n">
        <v>82191.25</v>
      </c>
      <c r="AZ28" s="25" t="n">
        <v>22782.85</v>
      </c>
      <c r="BA28" s="25" t="n">
        <v>0</v>
      </c>
      <c r="BB28" s="25" t="n">
        <v>17820.61</v>
      </c>
      <c r="BC28" s="25" t="n">
        <v>17117.41</v>
      </c>
      <c r="BD28" s="25" t="n">
        <v>294.36</v>
      </c>
      <c r="BE28" s="25" t="n">
        <v>0</v>
      </c>
      <c r="BF28" s="25" t="n">
        <f aca="false">SUM(BE28,BC28,BA28,AY28,AW28,AU28,AS28,AQ28,AO28)</f>
        <v>10303049.46</v>
      </c>
      <c r="BG28" s="25" t="n">
        <v>10214.61</v>
      </c>
      <c r="BH28" s="25" t="n">
        <v>26849.14</v>
      </c>
      <c r="BI28" s="25" t="n">
        <v>80615.92</v>
      </c>
      <c r="BJ28" s="25" t="n">
        <v>75341.98</v>
      </c>
      <c r="BK28" s="25" t="n">
        <v>58629.76</v>
      </c>
      <c r="BL28" s="25" t="n">
        <v>54794.17</v>
      </c>
      <c r="BM28" s="25" t="n">
        <v>143642.91</v>
      </c>
      <c r="BN28" s="25" t="n">
        <v>134245.71</v>
      </c>
      <c r="BO28" s="25" t="n">
        <v>54867.42</v>
      </c>
      <c r="BP28" s="25" t="n">
        <v>94009.6</v>
      </c>
      <c r="BQ28" s="25" t="n">
        <v>784604.15</v>
      </c>
      <c r="BR28" s="25" t="n">
        <v>733274.91</v>
      </c>
      <c r="BS28" s="25" t="n">
        <v>36212.5</v>
      </c>
      <c r="BT28" s="25" t="n">
        <v>39484.03</v>
      </c>
      <c r="BU28" s="25" t="n">
        <v>233524.2</v>
      </c>
      <c r="BV28" s="25" t="n">
        <v>218246.92</v>
      </c>
      <c r="BW28" s="25" t="n">
        <v>24624.5</v>
      </c>
      <c r="BX28" s="25" t="n">
        <v>47944.9</v>
      </c>
      <c r="BY28" s="25" t="n">
        <v>26057.67</v>
      </c>
      <c r="BZ28" s="25" t="n">
        <v>54794.17</v>
      </c>
      <c r="CA28" s="25" t="n">
        <v>82081.67</v>
      </c>
      <c r="CB28" s="25" t="n">
        <v>76711.84</v>
      </c>
      <c r="CC28" s="25" t="n">
        <v>38213.05</v>
      </c>
      <c r="CD28" s="25" t="n">
        <v>65474.08</v>
      </c>
      <c r="CE28" s="25" t="n">
        <v>18681.94</v>
      </c>
      <c r="CF28" s="25" t="n">
        <v>17459.75</v>
      </c>
      <c r="CG28" s="25" t="n">
        <f aca="false">SUM(CF28,CD28,CB28,BZ28,BX28,BV28,BT28,BR28,BP28,BN28,BL28,BJ28,BH28)</f>
        <v>1638631.2</v>
      </c>
      <c r="CH28" s="25" t="n">
        <f aca="false">CG28+BF28</f>
        <v>11941680.66</v>
      </c>
      <c r="CI28" s="25" t="n">
        <f aca="false">SUM(CE28,CC28,CA28,BY28,BW28,BU28,BS28,BQ28,BO28,BM28,BK28,BI28,BG28,BD28,BB28,AZ28,AX28,AV28,AT28,AR28,AP28,AN28)</f>
        <v>12625680.93</v>
      </c>
      <c r="CJ28" s="25" t="n">
        <f aca="false">CI28-CH28</f>
        <v>684000.270000003</v>
      </c>
      <c r="CK28" s="25" t="n">
        <f aca="false">IF(CE28-CF28+CC28-CD28+CA28-CB28+BU28-BV28+BK28-BL28+BI28-BJ28 &gt; 0, CE28-CF28+CC28-CD28+CA28-CB28+BU28-BV28+BK28-BL28+BI28-BJ28, "-")</f>
        <v>3717.8</v>
      </c>
      <c r="CL28" s="25" t="str">
        <f aca="false">IF(CJ28&lt;0,"⚠ Over Budget","✓ Within Budget")</f>
        <v>✓ Within Budget</v>
      </c>
      <c r="CM28" s="27"/>
    </row>
    <row r="29" customFormat="false" ht="14.25" hidden="false" customHeight="false" outlineLevel="0" collapsed="false">
      <c r="A29" s="16" t="s">
        <v>94</v>
      </c>
      <c r="B29" s="16" t="n">
        <v>2024</v>
      </c>
      <c r="C29" s="16" t="n">
        <v>108</v>
      </c>
      <c r="D29" s="16" t="n">
        <v>2</v>
      </c>
      <c r="E29" s="16" t="n">
        <v>1</v>
      </c>
      <c r="F29" s="16" t="n">
        <v>1</v>
      </c>
      <c r="G29" s="16" t="n">
        <v>0</v>
      </c>
      <c r="H29" s="16" t="n">
        <v>0</v>
      </c>
      <c r="I29" s="16" t="n">
        <v>0</v>
      </c>
      <c r="J29" s="16" t="n">
        <v>4</v>
      </c>
      <c r="K29" s="16" t="n">
        <v>1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1</v>
      </c>
      <c r="Q29" s="16" t="n">
        <v>1</v>
      </c>
      <c r="R29" s="16" t="n">
        <v>1</v>
      </c>
      <c r="S29" s="16" t="n">
        <v>110</v>
      </c>
      <c r="T29" s="16" t="n">
        <v>19</v>
      </c>
      <c r="U29" s="16" t="n">
        <v>91</v>
      </c>
      <c r="V29" s="16" t="n">
        <v>104</v>
      </c>
      <c r="W29" s="16" t="n">
        <v>6</v>
      </c>
      <c r="X29" s="16" t="n">
        <v>33</v>
      </c>
      <c r="Y29" s="16" t="n">
        <v>36</v>
      </c>
      <c r="Z29" s="16" t="n">
        <v>24</v>
      </c>
      <c r="AA29" s="16" t="n">
        <v>11</v>
      </c>
      <c r="AB29" s="16" t="n">
        <v>3</v>
      </c>
      <c r="AC29" s="16" t="n">
        <v>3</v>
      </c>
      <c r="AD29" s="17" t="n">
        <v>0.111111</v>
      </c>
      <c r="AE29" s="17" t="n">
        <v>0</v>
      </c>
      <c r="AF29" s="18" t="n">
        <v>61.5</v>
      </c>
      <c r="AG29" s="19" t="n">
        <v>375812</v>
      </c>
      <c r="AH29" s="19" t="n">
        <v>544906</v>
      </c>
      <c r="AI29" s="19" t="n">
        <v>862040</v>
      </c>
      <c r="AJ29" s="19" t="n">
        <v>1386242</v>
      </c>
      <c r="AK29" s="19" t="n">
        <v>2298255</v>
      </c>
      <c r="AL29" s="19" t="n">
        <v>3747944</v>
      </c>
      <c r="AM29" s="19" t="n">
        <v>1027044.33</v>
      </c>
      <c r="AN29" s="19" t="n">
        <v>9798858.74</v>
      </c>
      <c r="AO29" s="19" t="n">
        <v>9157811.9</v>
      </c>
      <c r="AP29" s="19" t="n">
        <v>979885.87</v>
      </c>
      <c r="AQ29" s="19" t="n">
        <v>915781.19</v>
      </c>
      <c r="AR29" s="19" t="n">
        <v>44540.27</v>
      </c>
      <c r="AS29" s="19" t="n">
        <v>0</v>
      </c>
      <c r="AT29" s="19" t="n">
        <v>489942.94</v>
      </c>
      <c r="AU29" s="19" t="n">
        <v>457890.6</v>
      </c>
      <c r="AV29" s="19" t="n">
        <v>135008.27</v>
      </c>
      <c r="AW29" s="19" t="n">
        <v>129330.35</v>
      </c>
      <c r="AX29" s="19" t="n">
        <v>92255.65</v>
      </c>
      <c r="AY29" s="19" t="n">
        <v>86220.24</v>
      </c>
      <c r="AZ29" s="19" t="n">
        <v>490198.83</v>
      </c>
      <c r="BA29" s="19" t="n">
        <v>293489.37</v>
      </c>
      <c r="BB29" s="19" t="n">
        <v>74252.53</v>
      </c>
      <c r="BC29" s="19" t="n">
        <v>42793.51</v>
      </c>
      <c r="BD29" s="19" t="n">
        <v>294.36</v>
      </c>
      <c r="BE29" s="19" t="n">
        <v>0</v>
      </c>
      <c r="BF29" s="19" t="n">
        <f aca="false">SUM(BE29,BC29,BA29,AY29,AW29,AU29,AS29,AQ29,AO29)</f>
        <v>11083317.16</v>
      </c>
      <c r="BG29" s="19" t="n">
        <v>10715.32</v>
      </c>
      <c r="BH29" s="19" t="n">
        <v>28165.28</v>
      </c>
      <c r="BI29" s="19" t="n">
        <v>84567.68</v>
      </c>
      <c r="BJ29" s="19" t="n">
        <v>79035.22</v>
      </c>
      <c r="BK29" s="19" t="n">
        <v>61503.77</v>
      </c>
      <c r="BL29" s="19" t="n">
        <v>57480.16</v>
      </c>
      <c r="BM29" s="19" t="n">
        <v>150684.23</v>
      </c>
      <c r="BN29" s="19" t="n">
        <v>140826.39</v>
      </c>
      <c r="BO29" s="19" t="n">
        <v>137168.56</v>
      </c>
      <c r="BP29" s="19" t="n">
        <v>235024.01</v>
      </c>
      <c r="BQ29" s="19" t="n">
        <v>831306.78</v>
      </c>
      <c r="BR29" s="19" t="n">
        <v>776922.23</v>
      </c>
      <c r="BS29" s="19" t="n">
        <v>42631.12</v>
      </c>
      <c r="BT29" s="19" t="n">
        <v>41834.27</v>
      </c>
      <c r="BU29" s="19" t="n">
        <v>244971.47</v>
      </c>
      <c r="BV29" s="19" t="n">
        <v>228945.3</v>
      </c>
      <c r="BW29" s="19" t="n">
        <v>25831.58</v>
      </c>
      <c r="BX29" s="19" t="n">
        <v>50295.14</v>
      </c>
      <c r="BY29" s="19" t="n">
        <v>185013.93</v>
      </c>
      <c r="BZ29" s="19" t="n">
        <v>162103.33</v>
      </c>
      <c r="CA29" s="19" t="n">
        <v>86105.28</v>
      </c>
      <c r="CB29" s="19" t="n">
        <v>80472.22</v>
      </c>
      <c r="CC29" s="19" t="n">
        <v>597939.09</v>
      </c>
      <c r="CD29" s="19" t="n">
        <v>204901.25</v>
      </c>
      <c r="CE29" s="19" t="n">
        <v>19597.72</v>
      </c>
      <c r="CF29" s="19" t="n">
        <v>18315.62</v>
      </c>
      <c r="CG29" s="19" t="n">
        <f aca="false">SUM(CF29,CD29,CB29,BZ29,BX29,BV29,BT29,BR29,BP29,BN29,BL29,BJ29,BH29)</f>
        <v>2104320.42</v>
      </c>
      <c r="CH29" s="19" t="n">
        <f aca="false">CG29+BF29</f>
        <v>13187637.58</v>
      </c>
      <c r="CI29" s="19" t="n">
        <f aca="false">SUM(CE29,CC29,CA29,BY29,BW29,BU29,BS29,BQ29,BO29,BM29,BK29,BI29,BG29,BD29,BB29,AZ29,AX29,AV29,AT29,AR29,AP29,AN29)</f>
        <v>14583273.99</v>
      </c>
      <c r="CJ29" s="19" t="n">
        <f aca="false">CI29-CH29</f>
        <v>1395636.41</v>
      </c>
      <c r="CK29" s="19" t="n">
        <f aca="false">IF(CE29-CF29+CC29-CD29+CA29-CB29+BU29-BV29+BK29-BL29+BI29-BJ29 &gt; 0, CE29-CF29+CC29-CD29+CA29-CB29+BU29-BV29+BK29-BL29+BI29-BJ29, "-")</f>
        <v>425535.24</v>
      </c>
      <c r="CL29" s="19" t="str">
        <f aca="false">IF(CJ29&lt;0,"⚠ Over Budget","✓ Within Budget")</f>
        <v>✓ Within Budget</v>
      </c>
      <c r="CM29" s="21"/>
    </row>
    <row r="30" customFormat="false" ht="14.25" hidden="false" customHeight="false" outlineLevel="0" collapsed="false">
      <c r="A30" s="22" t="s">
        <v>96</v>
      </c>
      <c r="B30" s="22" t="n">
        <v>2024</v>
      </c>
      <c r="C30" s="22" t="n">
        <v>110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1</v>
      </c>
      <c r="S30" s="22" t="n">
        <v>109</v>
      </c>
      <c r="T30" s="22" t="n">
        <v>19</v>
      </c>
      <c r="U30" s="22" t="n">
        <v>90</v>
      </c>
      <c r="V30" s="22" t="n">
        <v>104</v>
      </c>
      <c r="W30" s="22" t="n">
        <v>5</v>
      </c>
      <c r="X30" s="22" t="n">
        <v>33</v>
      </c>
      <c r="Y30" s="22" t="n">
        <v>36</v>
      </c>
      <c r="Z30" s="22" t="n">
        <v>24</v>
      </c>
      <c r="AA30" s="22" t="n">
        <v>11</v>
      </c>
      <c r="AB30" s="22" t="n">
        <v>3</v>
      </c>
      <c r="AC30" s="22" t="n">
        <v>2</v>
      </c>
      <c r="AD30" s="23" t="n">
        <v>0</v>
      </c>
      <c r="AE30" s="23" t="n">
        <v>0.105061626836888</v>
      </c>
      <c r="AF30" s="24" t="n">
        <v>62.1</v>
      </c>
      <c r="AG30" s="25" t="n">
        <v>418149</v>
      </c>
      <c r="AH30" s="25" t="n">
        <v>605713</v>
      </c>
      <c r="AI30" s="25" t="n">
        <v>946012</v>
      </c>
      <c r="AJ30" s="25" t="n">
        <v>1512829</v>
      </c>
      <c r="AK30" s="25" t="n">
        <v>2485328</v>
      </c>
      <c r="AL30" s="25" t="n">
        <v>4016797</v>
      </c>
      <c r="AM30" s="25" t="n">
        <v>1127620.1</v>
      </c>
      <c r="AN30" s="25" t="n">
        <v>10557343.16</v>
      </c>
      <c r="AO30" s="25" t="n">
        <v>9866675.85</v>
      </c>
      <c r="AP30" s="25" t="n">
        <v>1055734.32</v>
      </c>
      <c r="AQ30" s="25" t="n">
        <v>986667.59</v>
      </c>
      <c r="AR30" s="25" t="n">
        <v>537464.74</v>
      </c>
      <c r="AS30" s="25" t="n">
        <v>690667.31</v>
      </c>
      <c r="AT30" s="25" t="n">
        <v>527867.16</v>
      </c>
      <c r="AU30" s="25" t="n">
        <v>493333.79</v>
      </c>
      <c r="AV30" s="25" t="n">
        <v>158981.7</v>
      </c>
      <c r="AW30" s="25" t="n">
        <v>126912.97</v>
      </c>
      <c r="AX30" s="25" t="n">
        <v>90531.25</v>
      </c>
      <c r="AY30" s="25" t="n">
        <v>84608.64</v>
      </c>
      <c r="AZ30" s="25" t="n">
        <v>670403.61</v>
      </c>
      <c r="BA30" s="25" t="n">
        <v>321104.53</v>
      </c>
      <c r="BB30" s="25" t="n">
        <v>1630.48</v>
      </c>
      <c r="BC30" s="25" t="n">
        <v>0</v>
      </c>
      <c r="BD30" s="25" t="n">
        <v>64636.79</v>
      </c>
      <c r="BE30" s="25" t="n">
        <v>112762.01</v>
      </c>
      <c r="BF30" s="25" t="n">
        <f aca="false">SUM(BE30,BC30,BA30,AY30,AW30,AU30,AS30,AQ30,AO30)</f>
        <v>12682732.69</v>
      </c>
      <c r="BG30" s="25" t="n">
        <v>181759.92</v>
      </c>
      <c r="BH30" s="25" t="n">
        <v>86864.87</v>
      </c>
      <c r="BI30" s="25" t="n">
        <v>82986.98</v>
      </c>
      <c r="BJ30" s="25" t="n">
        <v>77557.92</v>
      </c>
      <c r="BK30" s="25" t="n">
        <v>60354.17</v>
      </c>
      <c r="BL30" s="25" t="n">
        <v>56405.76</v>
      </c>
      <c r="BM30" s="25" t="n">
        <v>147867.71</v>
      </c>
      <c r="BN30" s="25" t="n">
        <v>138194.12</v>
      </c>
      <c r="BO30" s="25" t="n">
        <v>19595.51</v>
      </c>
      <c r="BP30" s="25" t="n">
        <v>0</v>
      </c>
      <c r="BQ30" s="25" t="n">
        <v>812625.73</v>
      </c>
      <c r="BR30" s="25" t="n">
        <v>759463.3</v>
      </c>
      <c r="BS30" s="25" t="n">
        <v>41673.11</v>
      </c>
      <c r="BT30" s="25" t="n">
        <v>40894.18</v>
      </c>
      <c r="BU30" s="25" t="n">
        <v>263933.58</v>
      </c>
      <c r="BV30" s="25" t="n">
        <v>246666.9</v>
      </c>
      <c r="BW30" s="25" t="n">
        <v>101395</v>
      </c>
      <c r="BX30" s="25" t="n">
        <v>49355.04</v>
      </c>
      <c r="BY30" s="25" t="n">
        <v>26824.07</v>
      </c>
      <c r="BZ30" s="25" t="n">
        <v>56405.76</v>
      </c>
      <c r="CA30" s="25" t="n">
        <v>84495.83</v>
      </c>
      <c r="CB30" s="25" t="n">
        <v>78968.07</v>
      </c>
      <c r="CC30" s="25" t="n">
        <v>480789.2</v>
      </c>
      <c r="CD30" s="25" t="n">
        <v>164756.42</v>
      </c>
      <c r="CE30" s="25" t="n">
        <v>21114.69</v>
      </c>
      <c r="CF30" s="25" t="n">
        <v>19733.35</v>
      </c>
      <c r="CG30" s="25" t="n">
        <f aca="false">SUM(CF30,CD30,CB30,BZ30,BX30,BV30,BT30,BR30,BP30,BN30,BL30,BJ30,BH30)</f>
        <v>1775265.69</v>
      </c>
      <c r="CH30" s="25" t="n">
        <f aca="false">CG30+BF30</f>
        <v>14457998.38</v>
      </c>
      <c r="CI30" s="25" t="n">
        <f aca="false">SUM(CE30,CC30,CA30,BY30,BW30,BU30,BS30,BQ30,BO30,BM30,BK30,BI30,BG30,BD30,BB30,AZ30,AX30,AV30,AT30,AR30,AP30,AN30)</f>
        <v>15990008.71</v>
      </c>
      <c r="CJ30" s="25" t="n">
        <f aca="false">CI30-CH30</f>
        <v>1532010.33</v>
      </c>
      <c r="CK30" s="25" t="n">
        <f aca="false">IF(CE30-CF30+CC30-CD30+CA30-CB30+BU30-BV30+BK30-BL30+BI30-BJ30 &gt; 0, CE30-CF30+CC30-CD30+CA30-CB30+BU30-BV30+BK30-BL30+BI30-BJ30, "-")</f>
        <v>349586.03</v>
      </c>
      <c r="CL30" s="25" t="str">
        <f aca="false">IF(CJ30&lt;0,"⚠ Over Budget","✓ Within Budget")</f>
        <v>✓ Within Budget</v>
      </c>
      <c r="CM30" s="27"/>
    </row>
    <row r="31" customFormat="false" ht="14.25" hidden="false" customHeight="false" outlineLevel="0" collapsed="false">
      <c r="A31" s="16" t="s">
        <v>98</v>
      </c>
      <c r="B31" s="16" t="n">
        <v>2024</v>
      </c>
      <c r="C31" s="16" t="n">
        <v>109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109</v>
      </c>
      <c r="T31" s="16" t="n">
        <v>19</v>
      </c>
      <c r="U31" s="16" t="n">
        <v>90</v>
      </c>
      <c r="V31" s="16" t="n">
        <v>104</v>
      </c>
      <c r="W31" s="16" t="n">
        <v>5</v>
      </c>
      <c r="X31" s="16" t="n">
        <v>33</v>
      </c>
      <c r="Y31" s="16" t="n">
        <v>36</v>
      </c>
      <c r="Z31" s="16" t="n">
        <v>24</v>
      </c>
      <c r="AA31" s="16" t="n">
        <v>11</v>
      </c>
      <c r="AB31" s="16" t="n">
        <v>3</v>
      </c>
      <c r="AC31" s="16" t="n">
        <v>2</v>
      </c>
      <c r="AD31" s="17" t="n">
        <v>0</v>
      </c>
      <c r="AE31" s="17" t="n">
        <v>0</v>
      </c>
      <c r="AF31" s="18" t="n">
        <v>61.8</v>
      </c>
      <c r="AG31" s="19" t="n">
        <v>418149</v>
      </c>
      <c r="AH31" s="19" t="n">
        <v>605713</v>
      </c>
      <c r="AI31" s="19" t="n">
        <v>946012</v>
      </c>
      <c r="AJ31" s="19" t="n">
        <v>1512829</v>
      </c>
      <c r="AK31" s="19" t="n">
        <v>2485328</v>
      </c>
      <c r="AL31" s="19" t="n">
        <v>4016797</v>
      </c>
      <c r="AM31" s="19" t="n">
        <v>1127620.1</v>
      </c>
      <c r="AN31" s="19" t="n">
        <v>10557343.16</v>
      </c>
      <c r="AO31" s="19" t="n">
        <v>9866675.85</v>
      </c>
      <c r="AP31" s="19" t="n">
        <v>1055734.32</v>
      </c>
      <c r="AQ31" s="19" t="n">
        <v>986667.59</v>
      </c>
      <c r="AR31" s="19" t="n">
        <v>38390.34</v>
      </c>
      <c r="AS31" s="19" t="n">
        <v>0</v>
      </c>
      <c r="AT31" s="19" t="n">
        <v>527867.16</v>
      </c>
      <c r="AU31" s="19" t="n">
        <v>493333.79</v>
      </c>
      <c r="AV31" s="19" t="n">
        <v>172230.18</v>
      </c>
      <c r="AW31" s="19" t="n">
        <v>126912.97</v>
      </c>
      <c r="AX31" s="19" t="n">
        <v>90531.25</v>
      </c>
      <c r="AY31" s="19" t="n">
        <v>84608.64</v>
      </c>
      <c r="AZ31" s="19" t="n">
        <v>30899.54</v>
      </c>
      <c r="BA31" s="19" t="n">
        <v>0</v>
      </c>
      <c r="BB31" s="19" t="n">
        <v>652.19</v>
      </c>
      <c r="BC31" s="19" t="n">
        <v>0</v>
      </c>
      <c r="BD31" s="19" t="n">
        <v>107.73</v>
      </c>
      <c r="BE31" s="19" t="n">
        <v>0</v>
      </c>
      <c r="BF31" s="19" t="n">
        <f aca="false">SUM(BE31,BC31,BA31,AY31,AW31,AU31,AS31,AQ31,AO31)</f>
        <v>11558198.84</v>
      </c>
      <c r="BG31" s="19" t="n">
        <v>121674</v>
      </c>
      <c r="BH31" s="19" t="n">
        <v>71071.26</v>
      </c>
      <c r="BI31" s="19" t="n">
        <v>82986.98</v>
      </c>
      <c r="BJ31" s="19" t="n">
        <v>77557.92</v>
      </c>
      <c r="BK31" s="19" t="n">
        <v>60354.17</v>
      </c>
      <c r="BL31" s="19" t="n">
        <v>56405.76</v>
      </c>
      <c r="BM31" s="19" t="n">
        <v>147867.71</v>
      </c>
      <c r="BN31" s="19" t="n">
        <v>138194.12</v>
      </c>
      <c r="BO31" s="19" t="n">
        <v>7838.2</v>
      </c>
      <c r="BP31" s="19" t="n">
        <v>0</v>
      </c>
      <c r="BQ31" s="19" t="n">
        <v>812625.73</v>
      </c>
      <c r="BR31" s="19" t="n">
        <v>759463.3</v>
      </c>
      <c r="BS31" s="19" t="n">
        <v>45840.43</v>
      </c>
      <c r="BT31" s="19" t="n">
        <v>40894.18</v>
      </c>
      <c r="BU31" s="19" t="n">
        <v>263933.58</v>
      </c>
      <c r="BV31" s="19" t="n">
        <v>246666.9</v>
      </c>
      <c r="BW31" s="19" t="n">
        <v>76046.25</v>
      </c>
      <c r="BX31" s="19" t="n">
        <v>49355.04</v>
      </c>
      <c r="BY31" s="19" t="n">
        <v>26824.07</v>
      </c>
      <c r="BZ31" s="19" t="n">
        <v>56405.76</v>
      </c>
      <c r="CA31" s="19" t="n">
        <v>84495.83</v>
      </c>
      <c r="CB31" s="19" t="n">
        <v>78968.07</v>
      </c>
      <c r="CC31" s="19" t="n">
        <v>69102.61</v>
      </c>
      <c r="CD31" s="19" t="n">
        <v>74000.07</v>
      </c>
      <c r="CE31" s="19" t="n">
        <v>21114.69</v>
      </c>
      <c r="CF31" s="19" t="n">
        <v>19733.35</v>
      </c>
      <c r="CG31" s="19" t="n">
        <f aca="false">SUM(CF31,CD31,CB31,BZ31,BX31,BV31,BT31,BR31,BP31,BN31,BL31,BJ31,BH31)</f>
        <v>1668715.73</v>
      </c>
      <c r="CH31" s="19" t="n">
        <f aca="false">CG31+BF31</f>
        <v>13226914.57</v>
      </c>
      <c r="CI31" s="19" t="n">
        <f aca="false">SUM(CE31,CC31,CA31,BY31,BW31,BU31,BS31,BQ31,BO31,BM31,BK31,BI31,BG31,BD31,BB31,AZ31,AX31,AV31,AT31,AR31,AP31,AN31)</f>
        <v>14294460.12</v>
      </c>
      <c r="CJ31" s="19" t="n">
        <f aca="false">CI31-CH31</f>
        <v>1067545.55</v>
      </c>
      <c r="CK31" s="19" t="n">
        <f aca="false">IF(CE31-CF31+CC31-CD31+CA31-CB31+BU31-BV31+BK31-BL31+BI31-BJ31 &gt; 0, CE31-CF31+CC31-CD31+CA31-CB31+BU31-BV31+BK31-BL31+BI31-BJ31, "-")</f>
        <v>28655.79</v>
      </c>
      <c r="CL31" s="19" t="str">
        <f aca="false">IF(CJ31&lt;0,"⚠ Over Budget","✓ Within Budget")</f>
        <v>✓ Within Budget</v>
      </c>
      <c r="CM31" s="21"/>
    </row>
    <row r="32" customFormat="false" ht="18.75" hidden="false" customHeight="true" outlineLevel="0" collapsed="false">
      <c r="A32" s="28" t="s">
        <v>99</v>
      </c>
      <c r="B32" s="28" t="n">
        <v>2024</v>
      </c>
      <c r="C32" s="28" t="n">
        <v>109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1</v>
      </c>
      <c r="L32" s="28" t="n">
        <v>1</v>
      </c>
      <c r="M32" s="28" t="n">
        <v>0</v>
      </c>
      <c r="N32" s="28" t="n">
        <v>0</v>
      </c>
      <c r="O32" s="28" t="n">
        <v>0</v>
      </c>
      <c r="P32" s="28" t="n">
        <v>0</v>
      </c>
      <c r="Q32" s="28" t="n">
        <v>2</v>
      </c>
      <c r="R32" s="28" t="n">
        <v>0</v>
      </c>
      <c r="S32" s="28" t="n">
        <v>107</v>
      </c>
      <c r="T32" s="28" t="n">
        <v>13</v>
      </c>
      <c r="U32" s="28" t="n">
        <v>94</v>
      </c>
      <c r="V32" s="28" t="n">
        <v>102</v>
      </c>
      <c r="W32" s="28" t="n">
        <v>5</v>
      </c>
      <c r="X32" s="28" t="n">
        <v>32</v>
      </c>
      <c r="Y32" s="28" t="n">
        <v>35</v>
      </c>
      <c r="Z32" s="28" t="n">
        <v>24</v>
      </c>
      <c r="AA32" s="28" t="n">
        <v>11</v>
      </c>
      <c r="AB32" s="28" t="n">
        <v>3</v>
      </c>
      <c r="AC32" s="28" t="n">
        <v>2</v>
      </c>
      <c r="AD32" s="29" t="n">
        <v>0.220183</v>
      </c>
      <c r="AE32" s="29" t="n">
        <v>0</v>
      </c>
      <c r="AF32" s="30" t="n">
        <v>61.4</v>
      </c>
      <c r="AG32" s="31" t="n">
        <v>418149</v>
      </c>
      <c r="AH32" s="31" t="n">
        <v>605713</v>
      </c>
      <c r="AI32" s="31" t="n">
        <v>946012</v>
      </c>
      <c r="AJ32" s="31" t="n">
        <v>1512829</v>
      </c>
      <c r="AK32" s="31" t="n">
        <v>2485328</v>
      </c>
      <c r="AL32" s="31" t="n">
        <v>4016797</v>
      </c>
      <c r="AM32" s="31" t="n">
        <v>1127620.1</v>
      </c>
      <c r="AN32" s="31" t="n">
        <v>10557343.16</v>
      </c>
      <c r="AO32" s="31" t="n">
        <v>9866675.85</v>
      </c>
      <c r="AP32" s="31" t="n">
        <v>1055734.32</v>
      </c>
      <c r="AQ32" s="31" t="n">
        <v>986667.59</v>
      </c>
      <c r="AR32" s="31" t="n">
        <v>38390.34</v>
      </c>
      <c r="AS32" s="31" t="n">
        <v>0</v>
      </c>
      <c r="AT32" s="31" t="n">
        <v>527867.16</v>
      </c>
      <c r="AU32" s="31" t="n">
        <v>493333.79</v>
      </c>
      <c r="AV32" s="31" t="n">
        <v>198727.13</v>
      </c>
      <c r="AW32" s="31" t="n">
        <v>126912.97</v>
      </c>
      <c r="AX32" s="31" t="n">
        <v>90531.25</v>
      </c>
      <c r="AY32" s="31" t="n">
        <v>84608.64</v>
      </c>
      <c r="AZ32" s="31" t="n">
        <v>30899.54</v>
      </c>
      <c r="BA32" s="31" t="n">
        <v>0</v>
      </c>
      <c r="BB32" s="31" t="n">
        <v>978.29</v>
      </c>
      <c r="BC32" s="31" t="n">
        <v>0</v>
      </c>
      <c r="BD32" s="31" t="n">
        <v>215.46</v>
      </c>
      <c r="BE32" s="31" t="n">
        <v>0</v>
      </c>
      <c r="BF32" s="31" t="n">
        <f aca="false">SUM(BE32,BC32,BA32,AY32,AW32,AU32,AS32,AQ32,AO32)</f>
        <v>11558198.84</v>
      </c>
      <c r="BG32" s="31" t="n">
        <v>21030.07</v>
      </c>
      <c r="BH32" s="31" t="n">
        <v>27638.82</v>
      </c>
      <c r="BI32" s="31" t="n">
        <v>82986.98</v>
      </c>
      <c r="BJ32" s="31" t="n">
        <v>77557.92</v>
      </c>
      <c r="BK32" s="31" t="n">
        <v>60354.17</v>
      </c>
      <c r="BL32" s="31" t="n">
        <v>56405.76</v>
      </c>
      <c r="BM32" s="31" t="n">
        <v>147867.71</v>
      </c>
      <c r="BN32" s="31" t="n">
        <v>138194.12</v>
      </c>
      <c r="BO32" s="31" t="n">
        <v>3919.1</v>
      </c>
      <c r="BP32" s="31" t="n">
        <v>0</v>
      </c>
      <c r="BQ32" s="31" t="n">
        <v>859328.36</v>
      </c>
      <c r="BR32" s="31" t="n">
        <v>2900198.19</v>
      </c>
      <c r="BS32" s="31" t="n">
        <v>57288.56</v>
      </c>
      <c r="BT32" s="31" t="n">
        <v>941996.24</v>
      </c>
      <c r="BU32" s="31" t="n">
        <v>263933.58</v>
      </c>
      <c r="BV32" s="31" t="n">
        <v>246666.9</v>
      </c>
      <c r="BW32" s="31" t="n">
        <v>50697.5</v>
      </c>
      <c r="BX32" s="31" t="n">
        <v>49355.04</v>
      </c>
      <c r="BY32" s="31" t="n">
        <v>790171.22</v>
      </c>
      <c r="BZ32" s="31" t="n">
        <v>332315</v>
      </c>
      <c r="CA32" s="31" t="n">
        <v>84495.83</v>
      </c>
      <c r="CB32" s="31" t="n">
        <v>78968.07</v>
      </c>
      <c r="CC32" s="31" t="n">
        <v>43189.13</v>
      </c>
      <c r="CD32" s="31" t="n">
        <v>74000.07</v>
      </c>
      <c r="CE32" s="31" t="n">
        <v>21114.69</v>
      </c>
      <c r="CF32" s="31" t="n">
        <v>19733.35</v>
      </c>
      <c r="CG32" s="31" t="n">
        <f aca="false">SUM(CF32,CD32,CB32,BZ32,BX32,BV32,BT32,BR32,BP32,BN32,BL32,BJ32,BH32)</f>
        <v>4943029.48</v>
      </c>
      <c r="CH32" s="31" t="n">
        <f aca="false">CG32+BF32</f>
        <v>16501228.32</v>
      </c>
      <c r="CI32" s="31" t="n">
        <f aca="false">SUM(CE32,CC32,CA32,BY32,BW32,BU32,BS32,BQ32,BO32,BM32,BK32,BI32,BG32,BD32,BB32,AZ32,AX32,AV32,AT32,AR32,AP32,AN32)</f>
        <v>14987063.55</v>
      </c>
      <c r="CJ32" s="31" t="n">
        <f aca="false">CI32-CH32</f>
        <v>-1514164.77</v>
      </c>
      <c r="CK32" s="31" t="n">
        <f aca="false">IF(CE32-CF32+CC32-CD32+CA32-CB32+BU32-BV32+BK32-BL32+BI32-BJ32 &gt; 0, CE32-CF32+CC32-CD32+CA32-CB32+BU32-BV32+BK32-BL32+BI32-BJ32, "-")</f>
        <v>2742.30999999998</v>
      </c>
      <c r="CL32" s="31" t="str">
        <f aca="false">IF(CJ32&lt;0,"⚠ Over Budget","✓ Within Budget")</f>
        <v>⚠ Over Budget</v>
      </c>
      <c r="CM32" s="33" t="s">
        <v>108</v>
      </c>
    </row>
    <row r="33" customFormat="false" ht="14.25" hidden="false" customHeight="false" outlineLevel="0" collapsed="false">
      <c r="A33" s="16" t="s">
        <v>100</v>
      </c>
      <c r="B33" s="16" t="n">
        <v>2024</v>
      </c>
      <c r="C33" s="16" t="n">
        <v>107</v>
      </c>
      <c r="D33" s="16" t="n">
        <v>1</v>
      </c>
      <c r="E33" s="16" t="n">
        <v>1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2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109</v>
      </c>
      <c r="T33" s="16" t="n">
        <v>20</v>
      </c>
      <c r="U33" s="16" t="n">
        <v>89</v>
      </c>
      <c r="V33" s="16" t="n">
        <v>104</v>
      </c>
      <c r="W33" s="16" t="n">
        <v>5</v>
      </c>
      <c r="X33" s="16" t="n">
        <v>33</v>
      </c>
      <c r="Y33" s="16" t="n">
        <v>36</v>
      </c>
      <c r="Z33" s="16" t="n">
        <v>24</v>
      </c>
      <c r="AA33" s="16" t="n">
        <v>11</v>
      </c>
      <c r="AB33" s="16" t="n">
        <v>3</v>
      </c>
      <c r="AC33" s="16" t="n">
        <v>2</v>
      </c>
      <c r="AD33" s="17" t="n">
        <v>0</v>
      </c>
      <c r="AE33" s="17" t="n">
        <v>0</v>
      </c>
      <c r="AF33" s="18" t="n">
        <v>61.9</v>
      </c>
      <c r="AG33" s="19" t="n">
        <v>418149</v>
      </c>
      <c r="AH33" s="19" t="n">
        <v>605713</v>
      </c>
      <c r="AI33" s="19" t="n">
        <v>946012</v>
      </c>
      <c r="AJ33" s="19" t="n">
        <v>1512829</v>
      </c>
      <c r="AK33" s="19" t="n">
        <v>2485328</v>
      </c>
      <c r="AL33" s="19" t="n">
        <v>4016797</v>
      </c>
      <c r="AM33" s="19" t="n">
        <v>1127620.1</v>
      </c>
      <c r="AN33" s="19" t="n">
        <v>10557343.16</v>
      </c>
      <c r="AO33" s="19" t="n">
        <v>9866675.85</v>
      </c>
      <c r="AP33" s="19" t="n">
        <v>1055734.32</v>
      </c>
      <c r="AQ33" s="19" t="n">
        <v>986667.59</v>
      </c>
      <c r="AR33" s="19" t="n">
        <v>38390.34</v>
      </c>
      <c r="AS33" s="19" t="n">
        <v>0</v>
      </c>
      <c r="AT33" s="19" t="n">
        <v>527867.16</v>
      </c>
      <c r="AU33" s="19" t="n">
        <v>493333.79</v>
      </c>
      <c r="AV33" s="19" t="n">
        <v>158981.7</v>
      </c>
      <c r="AW33" s="19" t="n">
        <v>126912.97</v>
      </c>
      <c r="AX33" s="19" t="n">
        <v>90531.25</v>
      </c>
      <c r="AY33" s="19" t="n">
        <v>84608.64</v>
      </c>
      <c r="AZ33" s="19" t="n">
        <v>25749.62</v>
      </c>
      <c r="BA33" s="19" t="n">
        <v>0</v>
      </c>
      <c r="BB33" s="19" t="n">
        <v>1630.48</v>
      </c>
      <c r="BC33" s="19" t="n">
        <v>0</v>
      </c>
      <c r="BD33" s="19" t="n">
        <v>323.18</v>
      </c>
      <c r="BE33" s="19" t="n">
        <v>0</v>
      </c>
      <c r="BF33" s="19" t="n">
        <f aca="false">SUM(BE33,BC33,BA33,AY33,AW33,AU33,AS33,AQ33,AO33)</f>
        <v>11558198.84</v>
      </c>
      <c r="BG33" s="19" t="n">
        <v>15772.56</v>
      </c>
      <c r="BH33" s="19" t="n">
        <v>27638.82</v>
      </c>
      <c r="BI33" s="19" t="n">
        <v>82986.98</v>
      </c>
      <c r="BJ33" s="19" t="n">
        <v>77557.92</v>
      </c>
      <c r="BK33" s="19" t="n">
        <v>60354.17</v>
      </c>
      <c r="BL33" s="19" t="n">
        <v>56405.76</v>
      </c>
      <c r="BM33" s="19" t="n">
        <v>147867.71</v>
      </c>
      <c r="BN33" s="19" t="n">
        <v>138194.12</v>
      </c>
      <c r="BO33" s="19" t="n">
        <v>19595.51</v>
      </c>
      <c r="BP33" s="19" t="n">
        <v>0</v>
      </c>
      <c r="BQ33" s="19" t="n">
        <v>803285.2</v>
      </c>
      <c r="BR33" s="19" t="n">
        <v>750733.84</v>
      </c>
      <c r="BS33" s="19" t="n">
        <v>53552.35</v>
      </c>
      <c r="BT33" s="19" t="n">
        <v>40424.13</v>
      </c>
      <c r="BU33" s="19" t="n">
        <v>263933.58</v>
      </c>
      <c r="BV33" s="19" t="n">
        <v>246666.9</v>
      </c>
      <c r="BW33" s="19" t="n">
        <v>25348.75</v>
      </c>
      <c r="BX33" s="19" t="n">
        <v>49355.04</v>
      </c>
      <c r="BY33" s="19" t="n">
        <v>26824.07</v>
      </c>
      <c r="BZ33" s="19" t="n">
        <v>56405.76</v>
      </c>
      <c r="CA33" s="19" t="n">
        <v>84495.83</v>
      </c>
      <c r="CB33" s="19" t="n">
        <v>78968.07</v>
      </c>
      <c r="CC33" s="19" t="n">
        <v>43189.13</v>
      </c>
      <c r="CD33" s="19" t="n">
        <v>74000.07</v>
      </c>
      <c r="CE33" s="19" t="n">
        <v>21114.69</v>
      </c>
      <c r="CF33" s="19" t="n">
        <v>19733.35</v>
      </c>
      <c r="CG33" s="19" t="n">
        <f aca="false">SUM(CF33,CD33,CB33,BZ33,BX33,BV33,BT33,BR33,BP33,BN33,BL33,BJ33,BH33)</f>
        <v>1616083.78</v>
      </c>
      <c r="CH33" s="19" t="n">
        <f aca="false">CG33+BF33</f>
        <v>13174282.62</v>
      </c>
      <c r="CI33" s="19" t="n">
        <f aca="false">SUM(CE33,CC33,CA33,BY33,BW33,BU33,BS33,BQ33,BO33,BM33,BK33,BI33,BG33,BD33,BB33,AZ33,AX33,AV33,AT33,AR33,AP33,AN33)</f>
        <v>14104871.74</v>
      </c>
      <c r="CJ33" s="19" t="n">
        <f aca="false">CI33-CH33</f>
        <v>930589.120000001</v>
      </c>
      <c r="CK33" s="19" t="n">
        <f aca="false">IF(CE33-CF33+CC33-CD33+CA33-CB33+BU33-BV33+BK33-BL33+BI33-BJ33 &gt; 0, CE33-CF33+CC33-CD33+CA33-CB33+BU33-BV33+BK33-BL33+BI33-BJ33, "-")</f>
        <v>2742.30999999998</v>
      </c>
      <c r="CL33" s="19" t="str">
        <f aca="false">IF(CJ33&lt;0,"⚠ Over Budget","✓ Within Budget")</f>
        <v>✓ Within Budget</v>
      </c>
      <c r="CM33" s="21"/>
    </row>
    <row r="34" customFormat="false" ht="14.25" hidden="false" customHeight="false" outlineLevel="0" collapsed="false">
      <c r="A34" s="22" t="s">
        <v>101</v>
      </c>
      <c r="B34" s="22" t="n">
        <v>2024</v>
      </c>
      <c r="C34" s="22" t="n">
        <v>109</v>
      </c>
      <c r="D34" s="22" t="n">
        <v>1</v>
      </c>
      <c r="E34" s="22" t="n">
        <v>1</v>
      </c>
      <c r="F34" s="22" t="n">
        <v>1</v>
      </c>
      <c r="G34" s="22" t="n">
        <v>0</v>
      </c>
      <c r="H34" s="22" t="n">
        <v>0</v>
      </c>
      <c r="I34" s="22" t="n">
        <v>0</v>
      </c>
      <c r="J34" s="22" t="n">
        <v>3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112</v>
      </c>
      <c r="T34" s="22" t="n">
        <v>21</v>
      </c>
      <c r="U34" s="22" t="n">
        <v>91</v>
      </c>
      <c r="V34" s="22" t="n">
        <v>106</v>
      </c>
      <c r="W34" s="22" t="n">
        <v>6</v>
      </c>
      <c r="X34" s="22" t="n">
        <v>34</v>
      </c>
      <c r="Y34" s="22" t="n">
        <v>37</v>
      </c>
      <c r="Z34" s="22" t="n">
        <v>25</v>
      </c>
      <c r="AA34" s="22" t="n">
        <v>11</v>
      </c>
      <c r="AB34" s="22" t="n">
        <v>3</v>
      </c>
      <c r="AC34" s="22" t="n">
        <v>2</v>
      </c>
      <c r="AD34" s="23" t="n">
        <v>0</v>
      </c>
      <c r="AE34" s="23" t="n">
        <v>0</v>
      </c>
      <c r="AF34" s="24" t="n">
        <v>62.3</v>
      </c>
      <c r="AG34" s="25" t="n">
        <v>418149</v>
      </c>
      <c r="AH34" s="25" t="n">
        <v>605713</v>
      </c>
      <c r="AI34" s="25" t="n">
        <v>946012</v>
      </c>
      <c r="AJ34" s="25" t="n">
        <v>1512829</v>
      </c>
      <c r="AK34" s="25" t="n">
        <v>2485328</v>
      </c>
      <c r="AL34" s="25" t="n">
        <v>4016797</v>
      </c>
      <c r="AM34" s="25" t="n">
        <v>1127620.1</v>
      </c>
      <c r="AN34" s="25" t="n">
        <v>10858981.54</v>
      </c>
      <c r="AO34" s="25" t="n">
        <v>10148580.88</v>
      </c>
      <c r="AP34" s="25" t="n">
        <v>1085898.15</v>
      </c>
      <c r="AQ34" s="25" t="n">
        <v>1014858.09</v>
      </c>
      <c r="AR34" s="25" t="n">
        <v>39487.21</v>
      </c>
      <c r="AS34" s="25" t="n">
        <v>0</v>
      </c>
      <c r="AT34" s="25" t="n">
        <v>542949.08</v>
      </c>
      <c r="AU34" s="25" t="n">
        <v>507429.04</v>
      </c>
      <c r="AV34" s="25" t="n">
        <v>136270.03</v>
      </c>
      <c r="AW34" s="25" t="n">
        <v>130539.05</v>
      </c>
      <c r="AX34" s="25" t="n">
        <v>93117.86</v>
      </c>
      <c r="AY34" s="25" t="n">
        <v>87026.03</v>
      </c>
      <c r="AZ34" s="25" t="n">
        <v>26485.32</v>
      </c>
      <c r="BA34" s="25" t="n">
        <v>0</v>
      </c>
      <c r="BB34" s="25" t="n">
        <v>81523.89</v>
      </c>
      <c r="BC34" s="25" t="n">
        <v>46984.17</v>
      </c>
      <c r="BD34" s="25" t="n">
        <v>193910.38</v>
      </c>
      <c r="BE34" s="25" t="n">
        <v>112762.01</v>
      </c>
      <c r="BF34" s="25" t="n">
        <f aca="false">SUM(BE34,BC34,BA34,AY34,AW34,AU34,AS34,AQ34,AO34)</f>
        <v>12048179.27</v>
      </c>
      <c r="BG34" s="25" t="n">
        <v>86910</v>
      </c>
      <c r="BH34" s="25" t="n">
        <v>60918.22</v>
      </c>
      <c r="BI34" s="25" t="n">
        <v>85358.03</v>
      </c>
      <c r="BJ34" s="25" t="n">
        <v>79773.86</v>
      </c>
      <c r="BK34" s="25" t="n">
        <v>62078.57</v>
      </c>
      <c r="BL34" s="25" t="n">
        <v>58017.36</v>
      </c>
      <c r="BM34" s="25" t="n">
        <v>152092.5</v>
      </c>
      <c r="BN34" s="25" t="n">
        <v>142142.52</v>
      </c>
      <c r="BO34" s="25" t="n">
        <v>274337.12</v>
      </c>
      <c r="BP34" s="25" t="n">
        <v>235024.01</v>
      </c>
      <c r="BQ34" s="25" t="n">
        <v>821966.26</v>
      </c>
      <c r="BR34" s="25" t="n">
        <v>768192.76</v>
      </c>
      <c r="BS34" s="25" t="n">
        <v>54797.75</v>
      </c>
      <c r="BT34" s="25" t="n">
        <v>41364.23</v>
      </c>
      <c r="BU34" s="25" t="n">
        <v>271474.54</v>
      </c>
      <c r="BV34" s="25" t="n">
        <v>253714.52</v>
      </c>
      <c r="BW34" s="25" t="n">
        <v>52146</v>
      </c>
      <c r="BX34" s="25" t="n">
        <v>50765.19</v>
      </c>
      <c r="BY34" s="25" t="n">
        <v>72135.05</v>
      </c>
      <c r="BZ34" s="25" t="n">
        <v>126404.88</v>
      </c>
      <c r="CA34" s="25" t="n">
        <v>86910</v>
      </c>
      <c r="CB34" s="25" t="n">
        <v>81224.3</v>
      </c>
      <c r="CC34" s="25" t="n">
        <v>44423.11</v>
      </c>
      <c r="CD34" s="25" t="n">
        <v>76114.36</v>
      </c>
      <c r="CE34" s="25" t="n">
        <v>21717.96</v>
      </c>
      <c r="CF34" s="25" t="n">
        <v>20297.16</v>
      </c>
      <c r="CG34" s="25" t="n">
        <f aca="false">SUM(CF34,CD34,CB34,BZ34,BX34,BV34,BT34,BR34,BP34,BN34,BL34,BJ34,BH34)</f>
        <v>1993953.37</v>
      </c>
      <c r="CH34" s="25" t="n">
        <f aca="false">CG34+BF34</f>
        <v>14042132.64</v>
      </c>
      <c r="CI34" s="25" t="n">
        <f aca="false">SUM(CE34,CC34,CA34,BY34,BW34,BU34,BS34,BQ34,BO34,BM34,BK34,BI34,BG34,BD34,BB34,AZ34,AX34,AV34,AT34,AR34,AP34,AN34)</f>
        <v>15144970.35</v>
      </c>
      <c r="CJ34" s="25" t="n">
        <f aca="false">CI34-CH34</f>
        <v>1102837.71</v>
      </c>
      <c r="CK34" s="25" t="n">
        <f aca="false">IF(CE34-CF34+CC34-CD34+CA34-CB34+BU34-BV34+BK34-BL34+BI34-BJ34 &gt; 0, CE34-CF34+CC34-CD34+CA34-CB34+BU34-BV34+BK34-BL34+BI34-BJ34, "-")</f>
        <v>2820.64999999998</v>
      </c>
      <c r="CL34" s="25" t="str">
        <f aca="false">IF(CJ34&lt;0,"⚠ Over Budget","✓ Within Budget")</f>
        <v>✓ Within Budget</v>
      </c>
      <c r="CM34" s="27"/>
    </row>
    <row r="35" customFormat="false" ht="18.75" hidden="false" customHeight="true" outlineLevel="0" collapsed="false">
      <c r="A35" s="28" t="s">
        <v>102</v>
      </c>
      <c r="B35" s="28" t="n">
        <v>2024</v>
      </c>
      <c r="C35" s="28" t="n">
        <v>112</v>
      </c>
      <c r="D35" s="28" t="n">
        <v>1</v>
      </c>
      <c r="E35" s="28" t="n">
        <v>1</v>
      </c>
      <c r="F35" s="28" t="n">
        <v>0</v>
      </c>
      <c r="G35" s="28" t="n">
        <v>0</v>
      </c>
      <c r="H35" s="28" t="n">
        <v>0</v>
      </c>
      <c r="I35" s="28" t="n">
        <v>0</v>
      </c>
      <c r="J35" s="28" t="n">
        <v>2</v>
      </c>
      <c r="K35" s="28" t="n">
        <v>1</v>
      </c>
      <c r="L35" s="28" t="n">
        <v>0</v>
      </c>
      <c r="M35" s="28" t="n">
        <v>0</v>
      </c>
      <c r="N35" s="28" t="n">
        <v>0</v>
      </c>
      <c r="O35" s="28" t="n">
        <v>0</v>
      </c>
      <c r="P35" s="28" t="n">
        <v>1</v>
      </c>
      <c r="Q35" s="28" t="n">
        <v>1</v>
      </c>
      <c r="R35" s="28" t="n">
        <v>0</v>
      </c>
      <c r="S35" s="28" t="n">
        <v>113</v>
      </c>
      <c r="T35" s="28" t="n">
        <v>20</v>
      </c>
      <c r="U35" s="28" t="n">
        <v>93</v>
      </c>
      <c r="V35" s="28" t="n">
        <v>107</v>
      </c>
      <c r="W35" s="28" t="n">
        <v>6</v>
      </c>
      <c r="X35" s="28" t="n">
        <v>34</v>
      </c>
      <c r="Y35" s="28" t="n">
        <v>37</v>
      </c>
      <c r="Z35" s="28" t="n">
        <v>25</v>
      </c>
      <c r="AA35" s="28" t="n">
        <v>11</v>
      </c>
      <c r="AB35" s="28" t="n">
        <v>3</v>
      </c>
      <c r="AC35" s="28" t="n">
        <v>3</v>
      </c>
      <c r="AD35" s="29" t="n">
        <v>0.107143</v>
      </c>
      <c r="AE35" s="29" t="n">
        <v>0</v>
      </c>
      <c r="AF35" s="30" t="n">
        <v>61.7</v>
      </c>
      <c r="AG35" s="31" t="n">
        <v>418149</v>
      </c>
      <c r="AH35" s="31" t="n">
        <v>605713</v>
      </c>
      <c r="AI35" s="31" t="n">
        <v>946012</v>
      </c>
      <c r="AJ35" s="31" t="n">
        <v>1512829</v>
      </c>
      <c r="AK35" s="31" t="n">
        <v>2485328</v>
      </c>
      <c r="AL35" s="31" t="n">
        <v>4016797</v>
      </c>
      <c r="AM35" s="31" t="n">
        <v>1127620.1</v>
      </c>
      <c r="AN35" s="31" t="n">
        <v>10456797.04</v>
      </c>
      <c r="AO35" s="31" t="n">
        <v>9772707.51</v>
      </c>
      <c r="AP35" s="31" t="n">
        <v>1045679.7</v>
      </c>
      <c r="AQ35" s="31" t="n">
        <v>977270.75</v>
      </c>
      <c r="AR35" s="31" t="n">
        <v>38024.72</v>
      </c>
      <c r="AS35" s="31" t="n">
        <v>0</v>
      </c>
      <c r="AT35" s="31" t="n">
        <v>522839.85</v>
      </c>
      <c r="AU35" s="31" t="n">
        <v>488635.38</v>
      </c>
      <c r="AV35" s="31" t="n">
        <v>144345.29</v>
      </c>
      <c r="AW35" s="31" t="n">
        <v>125704.27</v>
      </c>
      <c r="AX35" s="31" t="n">
        <v>89669.05</v>
      </c>
      <c r="AY35" s="31" t="n">
        <v>83802.85</v>
      </c>
      <c r="AZ35" s="31" t="n">
        <v>348414.7</v>
      </c>
      <c r="BA35" s="31" t="n">
        <v>333761.75</v>
      </c>
      <c r="BB35" s="31" t="n">
        <v>978.29</v>
      </c>
      <c r="BC35" s="31" t="n">
        <v>0</v>
      </c>
      <c r="BD35" s="31" t="n">
        <v>107.73</v>
      </c>
      <c r="BE35" s="31" t="n">
        <v>0</v>
      </c>
      <c r="BF35" s="31" t="n">
        <f aca="false">SUM(BE35,BC35,BA35,AY35,AW35,AU35,AS35,AQ35,AO35)</f>
        <v>11781882.51</v>
      </c>
      <c r="BG35" s="31" t="n">
        <v>120515.2</v>
      </c>
      <c r="BH35" s="31" t="n">
        <v>70394.39</v>
      </c>
      <c r="BI35" s="31" t="n">
        <v>82196.63</v>
      </c>
      <c r="BJ35" s="31" t="n">
        <v>76819.28</v>
      </c>
      <c r="BK35" s="31" t="n">
        <v>59779.36</v>
      </c>
      <c r="BL35" s="31" t="n">
        <v>55868.56</v>
      </c>
      <c r="BM35" s="31" t="n">
        <v>146459.44</v>
      </c>
      <c r="BN35" s="31" t="n">
        <v>1656503.84</v>
      </c>
      <c r="BO35" s="31" t="n">
        <v>3919.1</v>
      </c>
      <c r="BP35" s="31" t="n">
        <v>2822162.31</v>
      </c>
      <c r="BQ35" s="31" t="n">
        <v>803285.2</v>
      </c>
      <c r="BR35" s="31" t="n">
        <v>750733.84</v>
      </c>
      <c r="BS35" s="31" t="n">
        <v>45313.52</v>
      </c>
      <c r="BT35" s="31" t="n">
        <v>40424.13</v>
      </c>
      <c r="BU35" s="31" t="n">
        <v>261419.93</v>
      </c>
      <c r="BV35" s="31" t="n">
        <v>244317.69</v>
      </c>
      <c r="BW35" s="31" t="n">
        <v>100429.33</v>
      </c>
      <c r="BX35" s="31" t="n">
        <v>48884.99</v>
      </c>
      <c r="BY35" s="31" t="n">
        <v>26568.61</v>
      </c>
      <c r="BZ35" s="31" t="n">
        <v>55868.56</v>
      </c>
      <c r="CA35" s="31" t="n">
        <v>83691.11</v>
      </c>
      <c r="CB35" s="31" t="n">
        <v>78215.99</v>
      </c>
      <c r="CC35" s="31" t="n">
        <v>51333.37</v>
      </c>
      <c r="CD35" s="31" t="n">
        <v>73295.31</v>
      </c>
      <c r="CE35" s="31" t="n">
        <v>20913.59</v>
      </c>
      <c r="CF35" s="31" t="n">
        <v>19545.42</v>
      </c>
      <c r="CG35" s="31" t="n">
        <f aca="false">SUM(CF35,CD35,CB35,BZ35,BX35,BV35,BT35,BR35,BP35,BN35,BL35,BJ35,BH35)</f>
        <v>5993034.31</v>
      </c>
      <c r="CH35" s="31" t="n">
        <f aca="false">CG35+BF35</f>
        <v>17774916.82</v>
      </c>
      <c r="CI35" s="31" t="n">
        <f aca="false">SUM(CE35,CC35,CA35,BY35,BW35,BU35,BS35,BQ35,BO35,BM35,BK35,BI35,BG35,BD35,BB35,AZ35,AX35,AV35,AT35,AR35,AP35,AN35)</f>
        <v>14452680.76</v>
      </c>
      <c r="CJ35" s="31" t="n">
        <f aca="false">CI35-CH35</f>
        <v>-3322236.06</v>
      </c>
      <c r="CK35" s="31" t="n">
        <f aca="false">IF(CE35-CF35+CC35-CD35+CA35-CB35+BU35-BV35+BK35-BL35+BI35-BJ35 &gt; 0, CE35-CF35+CC35-CD35+CA35-CB35+BU35-BV35+BK35-BL35+BI35-BJ35, "-")</f>
        <v>11271.74</v>
      </c>
      <c r="CL35" s="31" t="str">
        <f aca="false">IF(CJ35&lt;0,"⚠ Over Budget","✓ Within Budget")</f>
        <v>⚠ Over Budget</v>
      </c>
      <c r="CM35" s="33" t="s">
        <v>117</v>
      </c>
    </row>
    <row r="36" customFormat="false" ht="14.25" hidden="false" customHeight="false" outlineLevel="0" collapsed="false">
      <c r="A36" s="28" t="s">
        <v>103</v>
      </c>
      <c r="B36" s="28" t="n">
        <v>2024</v>
      </c>
      <c r="C36" s="28" t="n">
        <v>113</v>
      </c>
      <c r="D36" s="28" t="n">
        <v>1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1</v>
      </c>
      <c r="J36" s="28" t="n">
        <v>1</v>
      </c>
      <c r="K36" s="28" t="n">
        <v>0</v>
      </c>
      <c r="L36" s="28" t="n">
        <v>0</v>
      </c>
      <c r="M36" s="28" t="n">
        <v>0</v>
      </c>
      <c r="N36" s="28" t="n">
        <v>0</v>
      </c>
      <c r="O36" s="28" t="n">
        <v>0</v>
      </c>
      <c r="P36" s="28" t="n">
        <v>0</v>
      </c>
      <c r="Q36" s="28" t="n">
        <v>0</v>
      </c>
      <c r="R36" s="28" t="n">
        <v>0</v>
      </c>
      <c r="S36" s="28" t="n">
        <v>114</v>
      </c>
      <c r="T36" s="28" t="n">
        <v>19</v>
      </c>
      <c r="U36" s="28" t="n">
        <v>95</v>
      </c>
      <c r="V36" s="28" t="n">
        <v>108</v>
      </c>
      <c r="W36" s="28" t="n">
        <v>6</v>
      </c>
      <c r="X36" s="28" t="n">
        <v>34</v>
      </c>
      <c r="Y36" s="28" t="n">
        <v>38</v>
      </c>
      <c r="Z36" s="28" t="n">
        <v>25</v>
      </c>
      <c r="AA36" s="28" t="n">
        <v>11</v>
      </c>
      <c r="AB36" s="28" t="n">
        <v>3</v>
      </c>
      <c r="AC36" s="28" t="n">
        <v>3</v>
      </c>
      <c r="AD36" s="29" t="n">
        <v>0</v>
      </c>
      <c r="AE36" s="29" t="n">
        <v>0.0164244999432269</v>
      </c>
      <c r="AF36" s="30" t="n">
        <v>60.9</v>
      </c>
      <c r="AG36" s="31" t="n">
        <v>426493</v>
      </c>
      <c r="AH36" s="31" t="n">
        <v>616385</v>
      </c>
      <c r="AI36" s="31" t="n">
        <v>958356</v>
      </c>
      <c r="AJ36" s="31" t="n">
        <v>1530709</v>
      </c>
      <c r="AK36" s="31" t="n">
        <v>2514744</v>
      </c>
      <c r="AL36" s="31" t="n">
        <v>4060077</v>
      </c>
      <c r="AM36" s="31" t="n">
        <v>1144107.66</v>
      </c>
      <c r="AN36" s="31" t="n">
        <v>10915740.53</v>
      </c>
      <c r="AO36" s="31" t="n">
        <v>10201626.66</v>
      </c>
      <c r="AP36" s="31" t="n">
        <v>1091574.05</v>
      </c>
      <c r="AQ36" s="31" t="n">
        <v>1020162.67</v>
      </c>
      <c r="AR36" s="31" t="n">
        <v>1270195.26</v>
      </c>
      <c r="AS36" s="31" t="n">
        <v>3696332.52</v>
      </c>
      <c r="AT36" s="31" t="n">
        <v>545787.03</v>
      </c>
      <c r="AU36" s="31" t="n">
        <v>510081.33</v>
      </c>
      <c r="AV36" s="31" t="n">
        <v>121507.45</v>
      </c>
      <c r="AW36" s="31" t="n">
        <v>129330.35</v>
      </c>
      <c r="AX36" s="31" t="n">
        <v>92255.65</v>
      </c>
      <c r="AY36" s="31" t="n">
        <v>86220.24</v>
      </c>
      <c r="AZ36" s="31" t="n">
        <v>788730.41</v>
      </c>
      <c r="BA36" s="31" t="n">
        <v>1787037.23</v>
      </c>
      <c r="BB36" s="31" t="n">
        <v>29777.72</v>
      </c>
      <c r="BC36" s="31" t="n">
        <v>28602.69</v>
      </c>
      <c r="BD36" s="31" t="n">
        <v>109.3</v>
      </c>
      <c r="BE36" s="31" t="n">
        <v>0</v>
      </c>
      <c r="BF36" s="31" t="n">
        <f aca="false">SUM(BE36,BC36,BA36,AY36,AW36,AU36,AS36,AQ36,AO36)</f>
        <v>17459393.69</v>
      </c>
      <c r="BG36" s="31" t="n">
        <v>75007.26</v>
      </c>
      <c r="BH36" s="31" t="n">
        <v>56330.55</v>
      </c>
      <c r="BI36" s="31" t="n">
        <v>84567.68</v>
      </c>
      <c r="BJ36" s="31" t="n">
        <v>79035.22</v>
      </c>
      <c r="BK36" s="31" t="n">
        <v>61503.77</v>
      </c>
      <c r="BL36" s="31" t="n">
        <v>57480.16</v>
      </c>
      <c r="BM36" s="31" t="n">
        <v>150684.23</v>
      </c>
      <c r="BN36" s="31" t="n">
        <v>140826.39</v>
      </c>
      <c r="BO36" s="31" t="n">
        <v>82301.13</v>
      </c>
      <c r="BP36" s="31" t="n">
        <v>141014.41</v>
      </c>
      <c r="BQ36" s="31" t="n">
        <v>831306.78</v>
      </c>
      <c r="BR36" s="31" t="n">
        <v>776922.23</v>
      </c>
      <c r="BS36" s="31" t="n">
        <v>42631.12</v>
      </c>
      <c r="BT36" s="31" t="n">
        <v>41834.27</v>
      </c>
      <c r="BU36" s="31" t="n">
        <v>272893.51</v>
      </c>
      <c r="BV36" s="31" t="n">
        <v>255040.67</v>
      </c>
      <c r="BW36" s="31" t="n">
        <v>77494.75</v>
      </c>
      <c r="BX36" s="31" t="n">
        <v>50295.14</v>
      </c>
      <c r="BY36" s="31" t="n">
        <v>1383986.79</v>
      </c>
      <c r="BZ36" s="31" t="n">
        <v>454726.97</v>
      </c>
      <c r="CA36" s="31" t="n">
        <v>86105.28</v>
      </c>
      <c r="CB36" s="31" t="n">
        <v>80472.22</v>
      </c>
      <c r="CC36" s="31" t="n">
        <v>71448.48</v>
      </c>
      <c r="CD36" s="31" t="n">
        <v>76512.2</v>
      </c>
      <c r="CE36" s="31" t="n">
        <v>21831.48</v>
      </c>
      <c r="CF36" s="31" t="n">
        <v>20403.25</v>
      </c>
      <c r="CG36" s="31" t="n">
        <f aca="false">SUM(CF36,CD36,CB36,BZ36,BX36,BV36,BT36,BR36,BP36,BN36,BL36,BJ36,BH36)</f>
        <v>2230893.68</v>
      </c>
      <c r="CH36" s="31" t="n">
        <f aca="false">CG36+BF36</f>
        <v>19690287.37</v>
      </c>
      <c r="CI36" s="31" t="n">
        <f aca="false">SUM(CE36,CC36,CA36,BY36,BW36,BU36,BS36,BQ36,BO36,BM36,BK36,BI36,BG36,BD36,BB36,AZ36,AX36,AV36,AT36,AR36,AP36,AN36)</f>
        <v>18097439.66</v>
      </c>
      <c r="CJ36" s="31" t="n">
        <f aca="false">CI36-CH36</f>
        <v>-1592847.71</v>
      </c>
      <c r="CK36" s="31" t="n">
        <f aca="false">IF(CE36-CF36+CC36-CD36+CA36-CB36+BU36-BV36+BK36-BL36+BI36-BJ36 &gt; 0, CE36-CF36+CC36-CD36+CA36-CB36+BU36-BV36+BK36-BL36+BI36-BJ36, "-")</f>
        <v>29406.48</v>
      </c>
      <c r="CL36" s="31" t="str">
        <f aca="false">IF(CJ36&lt;0,"⚠ Over Budget","✓ Within Budget")</f>
        <v>⚠ Over Budget</v>
      </c>
      <c r="CM36" s="33" t="s">
        <v>111</v>
      </c>
    </row>
    <row r="37" customFormat="false" ht="14.25" hidden="false" customHeight="false" outlineLevel="0" collapsed="false">
      <c r="A37" s="16" t="s">
        <v>104</v>
      </c>
      <c r="B37" s="16" t="n">
        <v>2024</v>
      </c>
      <c r="C37" s="16" t="n">
        <v>114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1</v>
      </c>
      <c r="S37" s="16" t="n">
        <v>113</v>
      </c>
      <c r="T37" s="16" t="n">
        <v>19</v>
      </c>
      <c r="U37" s="16" t="n">
        <v>94</v>
      </c>
      <c r="V37" s="16" t="n">
        <v>107</v>
      </c>
      <c r="W37" s="16" t="n">
        <v>6</v>
      </c>
      <c r="X37" s="16" t="n">
        <v>34</v>
      </c>
      <c r="Y37" s="16" t="n">
        <v>37</v>
      </c>
      <c r="Z37" s="16" t="n">
        <v>25</v>
      </c>
      <c r="AA37" s="16" t="n">
        <v>11</v>
      </c>
      <c r="AB37" s="16" t="n">
        <v>3</v>
      </c>
      <c r="AC37" s="16" t="n">
        <v>3</v>
      </c>
      <c r="AD37" s="17" t="n">
        <v>0</v>
      </c>
      <c r="AE37" s="17" t="n">
        <v>0</v>
      </c>
      <c r="AF37" s="18" t="n">
        <v>60.2</v>
      </c>
      <c r="AG37" s="19" t="n">
        <v>426493</v>
      </c>
      <c r="AH37" s="19" t="n">
        <v>616385</v>
      </c>
      <c r="AI37" s="19" t="n">
        <v>958356</v>
      </c>
      <c r="AJ37" s="19" t="n">
        <v>1530709</v>
      </c>
      <c r="AK37" s="19" t="n">
        <v>2514744</v>
      </c>
      <c r="AL37" s="19" t="n">
        <v>4060077</v>
      </c>
      <c r="AM37" s="19" t="n">
        <v>1144107.66</v>
      </c>
      <c r="AN37" s="19" t="n">
        <v>10915740.53</v>
      </c>
      <c r="AO37" s="19" t="n">
        <v>10201626.66</v>
      </c>
      <c r="AP37" s="19" t="n">
        <v>1091574.05</v>
      </c>
      <c r="AQ37" s="19" t="n">
        <v>1020162.67</v>
      </c>
      <c r="AR37" s="19" t="n">
        <v>129004.21</v>
      </c>
      <c r="AS37" s="19" t="n">
        <v>0</v>
      </c>
      <c r="AT37" s="19" t="n">
        <v>545787.03</v>
      </c>
      <c r="AU37" s="19" t="n">
        <v>510081.33</v>
      </c>
      <c r="AV37" s="19" t="n">
        <v>144008.82</v>
      </c>
      <c r="AW37" s="19" t="n">
        <v>172440.47</v>
      </c>
      <c r="AX37" s="19" t="n">
        <v>92255.65</v>
      </c>
      <c r="AY37" s="19" t="n">
        <v>86220.24</v>
      </c>
      <c r="AZ37" s="19" t="n">
        <v>53247.51</v>
      </c>
      <c r="BA37" s="19" t="n">
        <v>0</v>
      </c>
      <c r="BB37" s="19" t="n">
        <v>330.86</v>
      </c>
      <c r="BC37" s="19" t="n">
        <v>0</v>
      </c>
      <c r="BD37" s="19" t="n">
        <v>109.3</v>
      </c>
      <c r="BE37" s="19" t="n">
        <v>0</v>
      </c>
      <c r="BF37" s="19" t="n">
        <f aca="false">SUM(BE37,BC37,BA37,AY37,AW37,AU37,AS37,AQ37,AO37)</f>
        <v>11990531.37</v>
      </c>
      <c r="BG37" s="19" t="n">
        <v>97968.67</v>
      </c>
      <c r="BH37" s="19" t="n">
        <v>64377.78</v>
      </c>
      <c r="BI37" s="19" t="n">
        <v>84567.68</v>
      </c>
      <c r="BJ37" s="19" t="n">
        <v>79035.22</v>
      </c>
      <c r="BK37" s="19" t="n">
        <v>61503.77</v>
      </c>
      <c r="BL37" s="19" t="n">
        <v>57480.16</v>
      </c>
      <c r="BM37" s="19" t="n">
        <v>150684.23</v>
      </c>
      <c r="BN37" s="19" t="n">
        <v>140826.39</v>
      </c>
      <c r="BO37" s="19" t="n">
        <v>3919.1</v>
      </c>
      <c r="BP37" s="19" t="n">
        <v>0</v>
      </c>
      <c r="BQ37" s="19" t="n">
        <v>831306.78</v>
      </c>
      <c r="BR37" s="19" t="n">
        <v>776922.23</v>
      </c>
      <c r="BS37" s="19" t="n">
        <v>38368.01</v>
      </c>
      <c r="BT37" s="19" t="n">
        <v>41834.27</v>
      </c>
      <c r="BU37" s="19" t="n">
        <v>272893.51</v>
      </c>
      <c r="BV37" s="19" t="n">
        <v>255040.67</v>
      </c>
      <c r="BW37" s="19" t="n">
        <v>51663.17</v>
      </c>
      <c r="BX37" s="19" t="n">
        <v>50295.14</v>
      </c>
      <c r="BY37" s="19" t="n">
        <v>210025.24</v>
      </c>
      <c r="BZ37" s="19" t="n">
        <v>147213.95</v>
      </c>
      <c r="CA37" s="19" t="n">
        <v>86105.28</v>
      </c>
      <c r="CB37" s="19" t="n">
        <v>80472.22</v>
      </c>
      <c r="CC37" s="19" t="n">
        <v>71448.48</v>
      </c>
      <c r="CD37" s="19" t="n">
        <v>76512.2</v>
      </c>
      <c r="CE37" s="19" t="n">
        <v>21831.48</v>
      </c>
      <c r="CF37" s="19" t="n">
        <v>20403.25</v>
      </c>
      <c r="CG37" s="19" t="n">
        <f aca="false">SUM(CF37,CD37,CB37,BZ37,BX37,BV37,BT37,BR37,BP37,BN37,BL37,BJ37,BH37)</f>
        <v>1790413.48</v>
      </c>
      <c r="CH37" s="19" t="n">
        <f aca="false">CG37+BF37</f>
        <v>13780944.85</v>
      </c>
      <c r="CI37" s="19" t="n">
        <f aca="false">SUM(CE37,CC37,CA37,BY37,BW37,BU37,BS37,BQ37,BO37,BM37,BK37,BI37,BG37,BD37,BB37,AZ37,AX37,AV37,AT37,AR37,AP37,AN37)</f>
        <v>14954343.36</v>
      </c>
      <c r="CJ37" s="19" t="n">
        <f aca="false">CI37-CH37</f>
        <v>1173398.51</v>
      </c>
      <c r="CK37" s="19" t="n">
        <f aca="false">IF(CE37-CF37+CC37-CD37+CA37-CB37+BU37-BV37+BK37-BL37+BI37-BJ37 &gt; 0, CE37-CF37+CC37-CD37+CA37-CB37+BU37-BV37+BK37-BL37+BI37-BJ37, "-")</f>
        <v>29406.48</v>
      </c>
      <c r="CL37" s="19" t="str">
        <f aca="false">IF(CJ37&lt;0,"⚠ Over Budget","✓ Within Budget")</f>
        <v>✓ Within Budget</v>
      </c>
      <c r="CM37" s="21"/>
    </row>
    <row r="38" customFormat="false" ht="14.25" hidden="false" customHeight="false" outlineLevel="0" collapsed="false">
      <c r="A38" s="22" t="s">
        <v>105</v>
      </c>
      <c r="B38" s="22" t="n">
        <v>2024</v>
      </c>
      <c r="C38" s="22" t="n">
        <v>113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113</v>
      </c>
      <c r="T38" s="22" t="n">
        <v>19</v>
      </c>
      <c r="U38" s="22" t="n">
        <v>94</v>
      </c>
      <c r="V38" s="22" t="n">
        <v>107</v>
      </c>
      <c r="W38" s="22" t="n">
        <v>6</v>
      </c>
      <c r="X38" s="22" t="n">
        <v>34</v>
      </c>
      <c r="Y38" s="22" t="n">
        <v>37</v>
      </c>
      <c r="Z38" s="22" t="n">
        <v>25</v>
      </c>
      <c r="AA38" s="22" t="n">
        <v>11</v>
      </c>
      <c r="AB38" s="22" t="n">
        <v>3</v>
      </c>
      <c r="AC38" s="22" t="n">
        <v>3</v>
      </c>
      <c r="AD38" s="23" t="n">
        <v>0</v>
      </c>
      <c r="AE38" s="23" t="n">
        <v>0</v>
      </c>
      <c r="AF38" s="24" t="n">
        <v>59.8</v>
      </c>
      <c r="AG38" s="25" t="n">
        <v>426493</v>
      </c>
      <c r="AH38" s="25" t="n">
        <v>616385</v>
      </c>
      <c r="AI38" s="25" t="n">
        <v>958356</v>
      </c>
      <c r="AJ38" s="25" t="n">
        <v>1530709</v>
      </c>
      <c r="AK38" s="25" t="n">
        <v>2514744</v>
      </c>
      <c r="AL38" s="25" t="n">
        <v>4060077</v>
      </c>
      <c r="AM38" s="25" t="n">
        <v>1144107.66</v>
      </c>
      <c r="AN38" s="25" t="n">
        <v>10915740.53</v>
      </c>
      <c r="AO38" s="25" t="n">
        <v>10201626.66</v>
      </c>
      <c r="AP38" s="25" t="n">
        <v>1091574.05</v>
      </c>
      <c r="AQ38" s="25" t="n">
        <v>1020162.67</v>
      </c>
      <c r="AR38" s="25" t="n">
        <v>4763232.23</v>
      </c>
      <c r="AS38" s="25" t="n">
        <v>1020162.67</v>
      </c>
      <c r="AT38" s="25" t="n">
        <v>545787.03</v>
      </c>
      <c r="AU38" s="25" t="n">
        <v>510081.33</v>
      </c>
      <c r="AV38" s="25" t="n">
        <v>126007.72</v>
      </c>
      <c r="AW38" s="25" t="n">
        <v>172440.47</v>
      </c>
      <c r="AX38" s="25" t="n">
        <v>92255.65</v>
      </c>
      <c r="AY38" s="25" t="n">
        <v>86220.24</v>
      </c>
      <c r="AZ38" s="25" t="n">
        <v>418599.5</v>
      </c>
      <c r="BA38" s="25" t="n">
        <v>267329.9</v>
      </c>
      <c r="BB38" s="25" t="n">
        <v>330.86</v>
      </c>
      <c r="BC38" s="25" t="n">
        <v>0</v>
      </c>
      <c r="BD38" s="25" t="n">
        <v>109.3</v>
      </c>
      <c r="BE38" s="25" t="n">
        <v>0</v>
      </c>
      <c r="BF38" s="25" t="n">
        <f aca="false">SUM(BE38,BC38,BA38,AY38,AW38,AU38,AS38,AQ38,AO38)</f>
        <v>13278023.94</v>
      </c>
      <c r="BG38" s="25" t="n">
        <v>16072.98</v>
      </c>
      <c r="BH38" s="25" t="n">
        <v>28165.28</v>
      </c>
      <c r="BI38" s="25" t="n">
        <v>84567.68</v>
      </c>
      <c r="BJ38" s="25" t="n">
        <v>79035.22</v>
      </c>
      <c r="BK38" s="25" t="n">
        <v>61503.77</v>
      </c>
      <c r="BL38" s="25" t="n">
        <v>57480.16</v>
      </c>
      <c r="BM38" s="25" t="n">
        <v>150684.23</v>
      </c>
      <c r="BN38" s="25" t="n">
        <v>140826.39</v>
      </c>
      <c r="BO38" s="25" t="n">
        <v>3919.1</v>
      </c>
      <c r="BP38" s="25" t="n">
        <v>0</v>
      </c>
      <c r="BQ38" s="25" t="n">
        <v>831306.78</v>
      </c>
      <c r="BR38" s="25" t="n">
        <v>776922.23</v>
      </c>
      <c r="BS38" s="25" t="n">
        <v>34104.89</v>
      </c>
      <c r="BT38" s="25" t="n">
        <v>41834.27</v>
      </c>
      <c r="BU38" s="25" t="n">
        <v>272893.51</v>
      </c>
      <c r="BV38" s="25" t="n">
        <v>255040.67</v>
      </c>
      <c r="BW38" s="25" t="n">
        <v>25831.58</v>
      </c>
      <c r="BX38" s="25" t="n">
        <v>50295.14</v>
      </c>
      <c r="BY38" s="25" t="n">
        <v>299814.86</v>
      </c>
      <c r="BZ38" s="25" t="n">
        <v>210150.6</v>
      </c>
      <c r="CA38" s="25" t="n">
        <v>86105.28</v>
      </c>
      <c r="CB38" s="25" t="n">
        <v>80472.22</v>
      </c>
      <c r="CC38" s="25" t="n">
        <v>44655.3</v>
      </c>
      <c r="CD38" s="25" t="n">
        <v>76512.2</v>
      </c>
      <c r="CE38" s="25" t="n">
        <v>21831.48</v>
      </c>
      <c r="CF38" s="25" t="n">
        <v>20403.25</v>
      </c>
      <c r="CG38" s="25" t="n">
        <f aca="false">SUM(CF38,CD38,CB38,BZ38,BX38,BV38,BT38,BR38,BP38,BN38,BL38,BJ38,BH38)</f>
        <v>1817137.63</v>
      </c>
      <c r="CH38" s="25" t="n">
        <f aca="false">CG38+BF38</f>
        <v>15095161.57</v>
      </c>
      <c r="CI38" s="25" t="n">
        <f aca="false">SUM(CE38,CC38,CA38,BY38,BW38,BU38,BS38,BQ38,BO38,BM38,BK38,BI38,BG38,BD38,BB38,AZ38,AX38,AV38,AT38,AR38,AP38,AN38)</f>
        <v>19886928.31</v>
      </c>
      <c r="CJ38" s="25" t="n">
        <f aca="false">CI38-CH38</f>
        <v>4791766.74</v>
      </c>
      <c r="CK38" s="25" t="n">
        <f aca="false">IF(CE38-CF38+CC38-CD38+CA38-CB38+BU38-BV38+BK38-BL38+BI38-BJ38 &gt; 0, CE38-CF38+CC38-CD38+CA38-CB38+BU38-BV38+BK38-BL38+BI38-BJ38, "-")</f>
        <v>2613.29999999999</v>
      </c>
      <c r="CL38" s="25" t="str">
        <f aca="false">IF(CJ38&lt;0,"⚠ Over Budget","✓ Within Budget")</f>
        <v>✓ Within Budget</v>
      </c>
      <c r="CM38" s="27"/>
    </row>
    <row r="39" customFormat="false" ht="14.25" hidden="false" customHeight="false" outlineLevel="0" collapsed="false">
      <c r="A39" s="28" t="s">
        <v>92</v>
      </c>
      <c r="B39" s="28" t="n">
        <v>2025</v>
      </c>
      <c r="C39" s="28" t="n">
        <v>113</v>
      </c>
      <c r="D39" s="28" t="n">
        <v>2</v>
      </c>
      <c r="E39" s="28" t="n">
        <v>1</v>
      </c>
      <c r="F39" s="28" t="n">
        <v>1</v>
      </c>
      <c r="G39" s="28" t="n">
        <v>0</v>
      </c>
      <c r="H39" s="28" t="n">
        <v>0</v>
      </c>
      <c r="I39" s="28" t="n">
        <v>0</v>
      </c>
      <c r="J39" s="28" t="n">
        <v>4</v>
      </c>
      <c r="K39" s="28" t="n">
        <v>1</v>
      </c>
      <c r="L39" s="28" t="n">
        <v>1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2</v>
      </c>
      <c r="R39" s="28" t="n">
        <v>0</v>
      </c>
      <c r="S39" s="28" t="n">
        <v>115</v>
      </c>
      <c r="T39" s="28" t="n">
        <v>19</v>
      </c>
      <c r="U39" s="28" t="n">
        <v>96</v>
      </c>
      <c r="V39" s="28" t="n">
        <v>109</v>
      </c>
      <c r="W39" s="28" t="n">
        <v>6</v>
      </c>
      <c r="X39" s="28" t="n">
        <v>34</v>
      </c>
      <c r="Y39" s="28" t="n">
        <v>38</v>
      </c>
      <c r="Z39" s="28" t="n">
        <v>25</v>
      </c>
      <c r="AA39" s="28" t="n">
        <v>12</v>
      </c>
      <c r="AB39" s="28" t="n">
        <v>3</v>
      </c>
      <c r="AC39" s="28" t="n">
        <v>3</v>
      </c>
      <c r="AD39" s="29" t="n">
        <v>0.212389</v>
      </c>
      <c r="AE39" s="29" t="n">
        <v>0</v>
      </c>
      <c r="AF39" s="30" t="n">
        <v>59.4</v>
      </c>
      <c r="AG39" s="31" t="n">
        <v>426493</v>
      </c>
      <c r="AH39" s="31" t="n">
        <v>616385</v>
      </c>
      <c r="AI39" s="31" t="n">
        <v>958356</v>
      </c>
      <c r="AJ39" s="31" t="n">
        <v>1530709</v>
      </c>
      <c r="AK39" s="31" t="n">
        <v>2514744</v>
      </c>
      <c r="AL39" s="31" t="n">
        <v>4060077</v>
      </c>
      <c r="AM39" s="31" t="n">
        <v>1101697.81</v>
      </c>
      <c r="AN39" s="31" t="n">
        <v>10511115.15</v>
      </c>
      <c r="AO39" s="31" t="n">
        <v>10778040.52</v>
      </c>
      <c r="AP39" s="31" t="n">
        <v>1051111.51</v>
      </c>
      <c r="AQ39" s="31" t="n">
        <v>982347.21</v>
      </c>
      <c r="AR39" s="31" t="n">
        <v>172000.07</v>
      </c>
      <c r="AS39" s="31" t="n">
        <v>589408.33</v>
      </c>
      <c r="AT39" s="31" t="n">
        <v>525555.76</v>
      </c>
      <c r="AU39" s="31" t="n">
        <v>491173.61</v>
      </c>
      <c r="AV39" s="31" t="n">
        <v>138670.7</v>
      </c>
      <c r="AW39" s="31" t="n">
        <v>166048.44</v>
      </c>
      <c r="AX39" s="31" t="n">
        <v>88835.91</v>
      </c>
      <c r="AY39" s="31" t="n">
        <v>83024.22</v>
      </c>
      <c r="AZ39" s="31" t="n">
        <v>25636.87</v>
      </c>
      <c r="BA39" s="31" t="n">
        <v>0</v>
      </c>
      <c r="BB39" s="31" t="n">
        <v>19115.95</v>
      </c>
      <c r="BC39" s="31" t="n">
        <v>1646032.26</v>
      </c>
      <c r="BD39" s="31" t="n">
        <v>252.6</v>
      </c>
      <c r="BE39" s="31" t="n">
        <v>0</v>
      </c>
      <c r="BF39" s="31" t="n">
        <f aca="false">SUM(BE39,BC39,BA39,AY39,AW39,AU39,AS39,AQ39,AO39)</f>
        <v>14736074.59</v>
      </c>
      <c r="BG39" s="31" t="n">
        <v>10318.13</v>
      </c>
      <c r="BH39" s="31" t="n">
        <v>27121.24</v>
      </c>
      <c r="BI39" s="31" t="n">
        <v>81432.92</v>
      </c>
      <c r="BJ39" s="31" t="n">
        <v>76105.53</v>
      </c>
      <c r="BK39" s="31" t="n">
        <v>59223.94</v>
      </c>
      <c r="BL39" s="31" t="n">
        <v>55349.48</v>
      </c>
      <c r="BM39" s="31" t="n">
        <v>145098.66</v>
      </c>
      <c r="BN39" s="31" t="n">
        <v>135606.22</v>
      </c>
      <c r="BO39" s="31" t="n">
        <v>158500.78</v>
      </c>
      <c r="BP39" s="31" t="n">
        <v>907953.5</v>
      </c>
      <c r="BQ39" s="31" t="n">
        <v>800491.85</v>
      </c>
      <c r="BR39" s="31" t="n">
        <v>748123.22</v>
      </c>
      <c r="BS39" s="31" t="n">
        <v>36945.78</v>
      </c>
      <c r="BT39" s="31" t="n">
        <v>40283.56</v>
      </c>
      <c r="BU39" s="31" t="n">
        <v>262777.88</v>
      </c>
      <c r="BV39" s="31" t="n">
        <v>245586.8</v>
      </c>
      <c r="BW39" s="31" t="n">
        <v>24874.06</v>
      </c>
      <c r="BX39" s="31" t="n">
        <v>48430.79</v>
      </c>
      <c r="BY39" s="31" t="n">
        <v>26321.75</v>
      </c>
      <c r="BZ39" s="31" t="n">
        <v>55349.48</v>
      </c>
      <c r="CA39" s="31" t="n">
        <v>82913.52</v>
      </c>
      <c r="CB39" s="31" t="n">
        <v>77489.27</v>
      </c>
      <c r="CC39" s="31" t="n">
        <v>43000.02</v>
      </c>
      <c r="CD39" s="31" t="n">
        <v>73676.04</v>
      </c>
      <c r="CE39" s="31" t="n">
        <v>21022.23</v>
      </c>
      <c r="CF39" s="31" t="n">
        <v>19646.94</v>
      </c>
      <c r="CG39" s="31" t="n">
        <f aca="false">SUM(CF39,CD39,CB39,BZ39,BX39,BV39,BT39,BR39,BP39,BN39,BL39,BJ39,BH39)</f>
        <v>2510722.07</v>
      </c>
      <c r="CH39" s="31" t="n">
        <f aca="false">CG39+BF39</f>
        <v>17246796.66</v>
      </c>
      <c r="CI39" s="31" t="n">
        <f aca="false">SUM(CE39,CC39,CA39,BY39,BW39,BU39,BS39,BQ39,BO39,BM39,BK39,BI39,BG39,BD39,BB39,AZ39,AX39,AV39,AT39,AR39,AP39,AN39)</f>
        <v>14285216.04</v>
      </c>
      <c r="CJ39" s="31" t="n">
        <f aca="false">CI39-CH39</f>
        <v>-2961580.62</v>
      </c>
      <c r="CK39" s="31" t="n">
        <f aca="false">IF(CE39-CF39+CC39-CD39+CA39-CB39+BU39-BV39+BK39-BL39+BI39-BJ39 &gt; 0, CE39-CF39+CC39-CD39+CA39-CB39+BU39-BV39+BK39-BL39+BI39-BJ39, "-")</f>
        <v>2516.45000000004</v>
      </c>
      <c r="CL39" s="31" t="str">
        <f aca="false">IF(CJ39&lt;0,"⚠ Over Budget","✓ Within Budget")</f>
        <v>⚠ Over Budget</v>
      </c>
      <c r="CM39" s="33" t="s">
        <v>106</v>
      </c>
    </row>
    <row r="40" customFormat="false" ht="14.25" hidden="false" customHeight="false" outlineLevel="0" collapsed="false">
      <c r="A40" s="22" t="s">
        <v>93</v>
      </c>
      <c r="B40" s="22" t="n">
        <v>2025</v>
      </c>
      <c r="C40" s="22" t="n">
        <v>115</v>
      </c>
      <c r="D40" s="22" t="n">
        <v>2</v>
      </c>
      <c r="E40" s="22" t="n">
        <v>1</v>
      </c>
      <c r="F40" s="22" t="n">
        <v>1</v>
      </c>
      <c r="G40" s="22" t="n">
        <v>0</v>
      </c>
      <c r="H40" s="22" t="n">
        <v>0</v>
      </c>
      <c r="I40" s="22" t="n">
        <v>0</v>
      </c>
      <c r="J40" s="22" t="n">
        <v>4</v>
      </c>
      <c r="K40" s="22" t="n">
        <v>1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1</v>
      </c>
      <c r="Q40" s="22" t="n">
        <v>1</v>
      </c>
      <c r="R40" s="22" t="n">
        <v>1</v>
      </c>
      <c r="S40" s="22" t="n">
        <v>117</v>
      </c>
      <c r="T40" s="22" t="n">
        <v>20</v>
      </c>
      <c r="U40" s="22" t="n">
        <v>97</v>
      </c>
      <c r="V40" s="22" t="n">
        <v>111</v>
      </c>
      <c r="W40" s="22" t="n">
        <v>6</v>
      </c>
      <c r="X40" s="22" t="n">
        <v>35</v>
      </c>
      <c r="Y40" s="22" t="n">
        <v>39</v>
      </c>
      <c r="Z40" s="22" t="n">
        <v>26</v>
      </c>
      <c r="AA40" s="22" t="n">
        <v>12</v>
      </c>
      <c r="AB40" s="22" t="n">
        <v>4</v>
      </c>
      <c r="AC40" s="22" t="n">
        <v>1</v>
      </c>
      <c r="AD40" s="23" t="n">
        <v>0.104348</v>
      </c>
      <c r="AE40" s="23" t="n">
        <v>0</v>
      </c>
      <c r="AF40" s="24" t="n">
        <v>58.9</v>
      </c>
      <c r="AG40" s="25" t="n">
        <v>426493</v>
      </c>
      <c r="AH40" s="25" t="n">
        <v>616385</v>
      </c>
      <c r="AI40" s="25" t="n">
        <v>958356</v>
      </c>
      <c r="AJ40" s="25" t="n">
        <v>1530709</v>
      </c>
      <c r="AK40" s="25" t="n">
        <v>2514744</v>
      </c>
      <c r="AL40" s="25" t="n">
        <v>4060077</v>
      </c>
      <c r="AM40" s="25" t="n">
        <v>1101697.81</v>
      </c>
      <c r="AN40" s="25" t="n">
        <v>10412880.43</v>
      </c>
      <c r="AO40" s="25" t="n">
        <v>9731663.95</v>
      </c>
      <c r="AP40" s="25" t="n">
        <v>1041288.04</v>
      </c>
      <c r="AQ40" s="25" t="n">
        <v>973166.4</v>
      </c>
      <c r="AR40" s="25" t="n">
        <v>28398.76</v>
      </c>
      <c r="AS40" s="25" t="n">
        <v>0</v>
      </c>
      <c r="AT40" s="25" t="n">
        <v>520644.02</v>
      </c>
      <c r="AU40" s="25" t="n">
        <v>486583.2</v>
      </c>
      <c r="AV40" s="25" t="n">
        <v>137374.71</v>
      </c>
      <c r="AW40" s="25" t="n">
        <v>164496.58</v>
      </c>
      <c r="AX40" s="25" t="n">
        <v>88005.67</v>
      </c>
      <c r="AY40" s="25" t="n">
        <v>82248.29</v>
      </c>
      <c r="AZ40" s="25" t="n">
        <v>25397.27</v>
      </c>
      <c r="BA40" s="25" t="n">
        <v>0</v>
      </c>
      <c r="BB40" s="25" t="n">
        <v>47789.86</v>
      </c>
      <c r="BC40" s="25" t="n">
        <v>45904.08</v>
      </c>
      <c r="BD40" s="25" t="n">
        <v>315.75</v>
      </c>
      <c r="BE40" s="25" t="n">
        <v>0</v>
      </c>
      <c r="BF40" s="25" t="n">
        <f aca="false">SUM(BE40,BC40,BA40,AY40,AW40,AU40,AS40,AQ40,AO40)</f>
        <v>11484062.5</v>
      </c>
      <c r="BG40" s="25" t="n">
        <v>10221.7</v>
      </c>
      <c r="BH40" s="25" t="n">
        <v>26867.78</v>
      </c>
      <c r="BI40" s="25" t="n">
        <v>80671.87</v>
      </c>
      <c r="BJ40" s="25" t="n">
        <v>75394.27</v>
      </c>
      <c r="BK40" s="25" t="n">
        <v>58670.45</v>
      </c>
      <c r="BL40" s="25" t="n">
        <v>54832.19</v>
      </c>
      <c r="BM40" s="25" t="n">
        <v>143742.6</v>
      </c>
      <c r="BN40" s="25" t="n">
        <v>134338.88</v>
      </c>
      <c r="BO40" s="25" t="n">
        <v>132083.99</v>
      </c>
      <c r="BP40" s="25" t="n">
        <v>226312.12</v>
      </c>
      <c r="BQ40" s="25" t="n">
        <v>791497.56</v>
      </c>
      <c r="BR40" s="25" t="n">
        <v>739717.34</v>
      </c>
      <c r="BS40" s="25" t="n">
        <v>36530.66</v>
      </c>
      <c r="BT40" s="25" t="n">
        <v>39830.93</v>
      </c>
      <c r="BU40" s="25" t="n">
        <v>260322.01</v>
      </c>
      <c r="BV40" s="25" t="n">
        <v>243291.6</v>
      </c>
      <c r="BW40" s="25" t="n">
        <v>24641.59</v>
      </c>
      <c r="BX40" s="25" t="n">
        <v>47978.17</v>
      </c>
      <c r="BY40" s="25" t="n">
        <v>26075.75</v>
      </c>
      <c r="BZ40" s="25" t="n">
        <v>54832.19</v>
      </c>
      <c r="CA40" s="25" t="n">
        <v>82138.63</v>
      </c>
      <c r="CB40" s="25" t="n">
        <v>76765.07</v>
      </c>
      <c r="CC40" s="25" t="n">
        <v>42598.15</v>
      </c>
      <c r="CD40" s="25" t="n">
        <v>72987.48</v>
      </c>
      <c r="CE40" s="25" t="n">
        <v>20825.76</v>
      </c>
      <c r="CF40" s="25" t="n">
        <v>19463.33</v>
      </c>
      <c r="CG40" s="25" t="n">
        <f aca="false">SUM(CF40,CD40,CB40,BZ40,BX40,BV40,BT40,BR40,BP40,BN40,BL40,BJ40,BH40)</f>
        <v>1812611.35</v>
      </c>
      <c r="CH40" s="25" t="n">
        <f aca="false">CG40+BF40</f>
        <v>13296673.85</v>
      </c>
      <c r="CI40" s="25" t="n">
        <f aca="false">SUM(CE40,CC40,CA40,BY40,BW40,BU40,BS40,BQ40,BO40,BM40,BK40,BI40,BG40,BD40,BB40,AZ40,AX40,AV40,AT40,AR40,AP40,AN40)</f>
        <v>14012115.23</v>
      </c>
      <c r="CJ40" s="25" t="n">
        <f aca="false">CI40-CH40</f>
        <v>715441.380000001</v>
      </c>
      <c r="CK40" s="25" t="n">
        <f aca="false">IF(CE40-CF40+CC40-CD40+CA40-CB40+BU40-BV40+BK40-BL40+BI40-BJ40 &gt; 0, CE40-CF40+CC40-CD40+CA40-CB40+BU40-BV40+BK40-BL40+BI40-BJ40, "-")</f>
        <v>2492.92999999999</v>
      </c>
      <c r="CL40" s="25" t="str">
        <f aca="false">IF(CJ40&lt;0,"⚠ Over Budget","✓ Within Budget")</f>
        <v>✓ Within Budget</v>
      </c>
      <c r="CM40" s="27"/>
    </row>
    <row r="41" customFormat="false" ht="18.75" hidden="false" customHeight="true" outlineLevel="0" collapsed="false">
      <c r="A41" s="28" t="s">
        <v>94</v>
      </c>
      <c r="B41" s="28" t="n">
        <v>2025</v>
      </c>
      <c r="C41" s="28" t="n">
        <v>117</v>
      </c>
      <c r="D41" s="28" t="n">
        <v>2</v>
      </c>
      <c r="E41" s="28" t="n">
        <v>2</v>
      </c>
      <c r="F41" s="28" t="n">
        <v>1</v>
      </c>
      <c r="G41" s="28" t="n">
        <v>0</v>
      </c>
      <c r="H41" s="28" t="n">
        <v>0</v>
      </c>
      <c r="I41" s="28" t="n">
        <v>0</v>
      </c>
      <c r="J41" s="28" t="n">
        <v>5</v>
      </c>
      <c r="K41" s="28" t="n">
        <v>1</v>
      </c>
      <c r="L41" s="28" t="n">
        <v>0</v>
      </c>
      <c r="M41" s="28" t="n">
        <v>0</v>
      </c>
      <c r="N41" s="28" t="n">
        <v>0</v>
      </c>
      <c r="O41" s="28" t="n">
        <v>0</v>
      </c>
      <c r="P41" s="28" t="n">
        <v>1</v>
      </c>
      <c r="Q41" s="28" t="n">
        <v>1</v>
      </c>
      <c r="R41" s="28" t="n">
        <v>0</v>
      </c>
      <c r="S41" s="28" t="n">
        <v>121</v>
      </c>
      <c r="T41" s="28" t="n">
        <v>21</v>
      </c>
      <c r="U41" s="28" t="n">
        <v>100</v>
      </c>
      <c r="V41" s="28" t="n">
        <v>115</v>
      </c>
      <c r="W41" s="28" t="n">
        <v>6</v>
      </c>
      <c r="X41" s="28" t="n">
        <v>36</v>
      </c>
      <c r="Y41" s="28" t="n">
        <v>40</v>
      </c>
      <c r="Z41" s="28" t="n">
        <v>27</v>
      </c>
      <c r="AA41" s="28" t="n">
        <v>12</v>
      </c>
      <c r="AB41" s="28" t="n">
        <v>4</v>
      </c>
      <c r="AC41" s="28" t="n">
        <v>2</v>
      </c>
      <c r="AD41" s="29" t="n">
        <v>0.102564</v>
      </c>
      <c r="AE41" s="29" t="n">
        <v>0</v>
      </c>
      <c r="AF41" s="30" t="n">
        <v>58.5</v>
      </c>
      <c r="AG41" s="31" t="n">
        <v>426493</v>
      </c>
      <c r="AH41" s="31" t="n">
        <v>616385</v>
      </c>
      <c r="AI41" s="31" t="n">
        <v>958356</v>
      </c>
      <c r="AJ41" s="31" t="n">
        <v>1530709</v>
      </c>
      <c r="AK41" s="31" t="n">
        <v>2514744</v>
      </c>
      <c r="AL41" s="31" t="n">
        <v>4060077</v>
      </c>
      <c r="AM41" s="31" t="n">
        <v>1101697.81</v>
      </c>
      <c r="AN41" s="31" t="n">
        <v>10412880.43</v>
      </c>
      <c r="AO41" s="31" t="n">
        <v>11308280.12</v>
      </c>
      <c r="AP41" s="31" t="n">
        <v>1041288.04</v>
      </c>
      <c r="AQ41" s="31" t="n">
        <v>973166.4</v>
      </c>
      <c r="AR41" s="31" t="n">
        <v>47331.27</v>
      </c>
      <c r="AS41" s="31" t="n">
        <v>1576616.17</v>
      </c>
      <c r="AT41" s="31" t="n">
        <v>520644.02</v>
      </c>
      <c r="AU41" s="31" t="n">
        <v>486583.2</v>
      </c>
      <c r="AV41" s="31" t="n">
        <v>128788.79</v>
      </c>
      <c r="AW41" s="31" t="n">
        <v>123372.44</v>
      </c>
      <c r="AX41" s="31" t="n">
        <v>88005.67</v>
      </c>
      <c r="AY41" s="31" t="n">
        <v>82248.29</v>
      </c>
      <c r="AZ41" s="31" t="n">
        <v>388156.81</v>
      </c>
      <c r="BA41" s="31" t="n">
        <v>232395.28</v>
      </c>
      <c r="BB41" s="31" t="n">
        <v>63719.82</v>
      </c>
      <c r="BC41" s="31" t="n">
        <v>36723.26</v>
      </c>
      <c r="BD41" s="31" t="n">
        <v>189452.68</v>
      </c>
      <c r="BE41" s="31" t="n">
        <v>110169.78</v>
      </c>
      <c r="BF41" s="31" t="n">
        <f aca="false">SUM(BE41,BC41,BA41,AY41,AW41,AU41,AS41,AQ41,AO41)</f>
        <v>14929554.94</v>
      </c>
      <c r="BG41" s="31" t="n">
        <v>10221.7</v>
      </c>
      <c r="BH41" s="31" t="n">
        <v>26867.78</v>
      </c>
      <c r="BI41" s="31" t="n">
        <v>80671.87</v>
      </c>
      <c r="BJ41" s="31" t="n">
        <v>75394.27</v>
      </c>
      <c r="BK41" s="31" t="n">
        <v>58670.45</v>
      </c>
      <c r="BL41" s="31" t="n">
        <v>54832.19</v>
      </c>
      <c r="BM41" s="31" t="n">
        <v>143742.6</v>
      </c>
      <c r="BN41" s="31" t="n">
        <v>134338.88</v>
      </c>
      <c r="BO41" s="31" t="n">
        <v>105667.19</v>
      </c>
      <c r="BP41" s="31" t="n">
        <v>181049.7</v>
      </c>
      <c r="BQ41" s="31" t="n">
        <v>791497.56</v>
      </c>
      <c r="BR41" s="31" t="n">
        <v>739717.34</v>
      </c>
      <c r="BS41" s="31" t="n">
        <v>40589.62</v>
      </c>
      <c r="BT41" s="31" t="n">
        <v>39830.93</v>
      </c>
      <c r="BU41" s="31" t="n">
        <v>260322.01</v>
      </c>
      <c r="BV41" s="31" t="n">
        <v>243291.6</v>
      </c>
      <c r="BW41" s="31" t="n">
        <v>24641.59</v>
      </c>
      <c r="BX41" s="31" t="n">
        <v>47978.17</v>
      </c>
      <c r="BY41" s="31" t="n">
        <v>172646.33</v>
      </c>
      <c r="BZ41" s="31" t="n">
        <v>151267.23</v>
      </c>
      <c r="CA41" s="31" t="n">
        <v>82138.63</v>
      </c>
      <c r="CB41" s="31" t="n">
        <v>76765.07</v>
      </c>
      <c r="CC41" s="31" t="n">
        <v>608222.54</v>
      </c>
      <c r="CD41" s="31" t="n">
        <v>2310580.07</v>
      </c>
      <c r="CE41" s="31" t="n">
        <v>20825.76</v>
      </c>
      <c r="CF41" s="31" t="n">
        <v>19463.33</v>
      </c>
      <c r="CG41" s="31" t="n">
        <f aca="false">SUM(CF41,CD41,CB41,BZ41,BX41,BV41,BT41,BR41,BP41,BN41,BL41,BJ41,BH41)</f>
        <v>4101376.56</v>
      </c>
      <c r="CH41" s="31" t="n">
        <f aca="false">CG41+BF41</f>
        <v>19030931.5</v>
      </c>
      <c r="CI41" s="31" t="n">
        <f aca="false">SUM(CE41,CC41,CA41,BY41,BW41,BU41,BS41,BQ41,BO41,BM41,BK41,BI41,BG41,BD41,BB41,AZ41,AX41,AV41,AT41,AR41,AP41,AN41)</f>
        <v>15280125.38</v>
      </c>
      <c r="CJ41" s="31" t="n">
        <f aca="false">CI41-CH41</f>
        <v>-3750806.12</v>
      </c>
      <c r="CK41" s="31" t="str">
        <f aca="false">IF(CE41-CF41+CC41-CD41+CA41-CB41+BU41-BV41+BK41-BL41+BI41-BJ41 &gt; 0, CE41-CF41+CC41-CD41+CA41-CB41+BU41-BV41+BK41-BL41+BI41-BJ41, "-")</f>
        <v>-</v>
      </c>
      <c r="CL41" s="31" t="str">
        <f aca="false">IF(CJ41&lt;0,"⚠ Over Budget","✓ Within Budget")</f>
        <v>⚠ Over Budget</v>
      </c>
      <c r="CM41" s="33" t="s">
        <v>112</v>
      </c>
    </row>
    <row r="42" customFormat="false" ht="18.75" hidden="false" customHeight="true" outlineLevel="0" collapsed="false">
      <c r="A42" s="28" t="s">
        <v>96</v>
      </c>
      <c r="B42" s="28" t="n">
        <v>2025</v>
      </c>
      <c r="C42" s="28" t="n">
        <v>121</v>
      </c>
      <c r="D42" s="28" t="n">
        <v>0</v>
      </c>
      <c r="E42" s="28" t="n">
        <v>0</v>
      </c>
      <c r="F42" s="28" t="n">
        <v>0</v>
      </c>
      <c r="G42" s="28" t="n">
        <v>0</v>
      </c>
      <c r="H42" s="28" t="n">
        <v>0</v>
      </c>
      <c r="I42" s="28" t="n">
        <v>0</v>
      </c>
      <c r="J42" s="28" t="n">
        <v>0</v>
      </c>
      <c r="K42" s="28" t="n">
        <v>0</v>
      </c>
      <c r="L42" s="28" t="n">
        <v>0</v>
      </c>
      <c r="M42" s="28" t="n">
        <v>0</v>
      </c>
      <c r="N42" s="28" t="n">
        <v>0</v>
      </c>
      <c r="O42" s="28" t="n">
        <v>0</v>
      </c>
      <c r="P42" s="28" t="n">
        <v>0</v>
      </c>
      <c r="Q42" s="28" t="n">
        <v>0</v>
      </c>
      <c r="R42" s="28" t="n">
        <v>0</v>
      </c>
      <c r="S42" s="28" t="n">
        <v>121</v>
      </c>
      <c r="T42" s="28" t="n">
        <v>21</v>
      </c>
      <c r="U42" s="28" t="n">
        <v>100</v>
      </c>
      <c r="V42" s="28" t="n">
        <v>115</v>
      </c>
      <c r="W42" s="28" t="n">
        <v>6</v>
      </c>
      <c r="X42" s="28" t="n">
        <v>36</v>
      </c>
      <c r="Y42" s="28" t="n">
        <v>40</v>
      </c>
      <c r="Z42" s="28" t="n">
        <v>27</v>
      </c>
      <c r="AA42" s="28" t="n">
        <v>12</v>
      </c>
      <c r="AB42" s="28" t="n">
        <v>4</v>
      </c>
      <c r="AC42" s="28" t="n">
        <v>2</v>
      </c>
      <c r="AD42" s="29" t="n">
        <v>0</v>
      </c>
      <c r="AE42" s="29" t="n">
        <v>0.106550593332228</v>
      </c>
      <c r="AF42" s="30" t="n">
        <v>58</v>
      </c>
      <c r="AG42" s="31" t="n">
        <v>476225</v>
      </c>
      <c r="AH42" s="31" t="n">
        <v>685137</v>
      </c>
      <c r="AI42" s="31" t="n">
        <v>1055793</v>
      </c>
      <c r="AJ42" s="31" t="n">
        <v>1664712</v>
      </c>
      <c r="AK42" s="31" t="n">
        <v>2706568</v>
      </c>
      <c r="AL42" s="31" t="n">
        <v>4333851</v>
      </c>
      <c r="AM42" s="31" t="n">
        <v>1209906.56</v>
      </c>
      <c r="AN42" s="31" t="n">
        <v>11435633.46</v>
      </c>
      <c r="AO42" s="31" t="n">
        <v>13578017.51</v>
      </c>
      <c r="AP42" s="31" t="n">
        <v>1143563.35</v>
      </c>
      <c r="AQ42" s="31" t="n">
        <v>1068750.79</v>
      </c>
      <c r="AR42" s="31" t="n">
        <v>582177.7</v>
      </c>
      <c r="AS42" s="31" t="n">
        <v>2675131.96</v>
      </c>
      <c r="AT42" s="31" t="n">
        <v>571781.67</v>
      </c>
      <c r="AU42" s="31" t="n">
        <v>534375.4</v>
      </c>
      <c r="AV42" s="31" t="n">
        <v>154546.55</v>
      </c>
      <c r="AW42" s="31" t="n">
        <v>123372.44</v>
      </c>
      <c r="AX42" s="31" t="n">
        <v>88005.67</v>
      </c>
      <c r="AY42" s="31" t="n">
        <v>82248.29</v>
      </c>
      <c r="AZ42" s="31" t="n">
        <v>835861.99</v>
      </c>
      <c r="BA42" s="31" t="n">
        <v>400354.46</v>
      </c>
      <c r="BB42" s="31" t="n">
        <v>1749.46</v>
      </c>
      <c r="BC42" s="31" t="n">
        <v>0</v>
      </c>
      <c r="BD42" s="31" t="n">
        <v>115.59</v>
      </c>
      <c r="BE42" s="31" t="n">
        <v>0</v>
      </c>
      <c r="BF42" s="31" t="n">
        <f aca="false">SUM(BE42,BC42,BA42,AY42,AW42,AU42,AS42,AQ42,AO42)</f>
        <v>18462250.85</v>
      </c>
      <c r="BG42" s="31" t="n">
        <v>176689.31</v>
      </c>
      <c r="BH42" s="31" t="n">
        <v>84441.58</v>
      </c>
      <c r="BI42" s="31" t="n">
        <v>80671.87</v>
      </c>
      <c r="BJ42" s="31" t="n">
        <v>75394.27</v>
      </c>
      <c r="BK42" s="31" t="n">
        <v>58670.45</v>
      </c>
      <c r="BL42" s="31" t="n">
        <v>54832.19</v>
      </c>
      <c r="BM42" s="31" t="n">
        <v>143742.6</v>
      </c>
      <c r="BN42" s="31" t="n">
        <v>134338.88</v>
      </c>
      <c r="BO42" s="31" t="n">
        <v>18869.14</v>
      </c>
      <c r="BP42" s="31" t="n">
        <v>0</v>
      </c>
      <c r="BQ42" s="31" t="n">
        <v>791497.56</v>
      </c>
      <c r="BR42" s="31" t="n">
        <v>739717.34</v>
      </c>
      <c r="BS42" s="31" t="n">
        <v>40589.62</v>
      </c>
      <c r="BT42" s="31" t="n">
        <v>39830.93</v>
      </c>
      <c r="BU42" s="31" t="n">
        <v>285890.84</v>
      </c>
      <c r="BV42" s="31" t="n">
        <v>267187.7</v>
      </c>
      <c r="BW42" s="31" t="n">
        <v>98566.35</v>
      </c>
      <c r="BX42" s="31" t="n">
        <v>47978.17</v>
      </c>
      <c r="BY42" s="31" t="n">
        <v>26075.75</v>
      </c>
      <c r="BZ42" s="31" t="n">
        <v>54832.19</v>
      </c>
      <c r="CA42" s="31" t="n">
        <v>82138.63</v>
      </c>
      <c r="CB42" s="31" t="n">
        <v>76765.07</v>
      </c>
      <c r="CC42" s="31" t="n">
        <v>486129.49</v>
      </c>
      <c r="CD42" s="31" t="n">
        <v>166586.43</v>
      </c>
      <c r="CE42" s="31" t="n">
        <v>22871.27</v>
      </c>
      <c r="CF42" s="31" t="n">
        <v>21375.02</v>
      </c>
      <c r="CG42" s="31" t="n">
        <f aca="false">SUM(CF42,CD42,CB42,BZ42,BX42,BV42,BT42,BR42,BP42,BN42,BL42,BJ42,BH42)</f>
        <v>1763279.77</v>
      </c>
      <c r="CH42" s="31" t="n">
        <f aca="false">CG42+BF42</f>
        <v>20225530.62</v>
      </c>
      <c r="CI42" s="31" t="n">
        <f aca="false">SUM(CE42,CC42,CA42,BY42,BW42,BU42,BS42,BQ42,BO42,BM42,BK42,BI42,BG42,BD42,BB42,AZ42,AX42,AV42,AT42,AR42,AP42,AN42)</f>
        <v>17125838.32</v>
      </c>
      <c r="CJ42" s="31" t="n">
        <f aca="false">CI42-CH42</f>
        <v>-3099692.3</v>
      </c>
      <c r="CK42" s="31" t="n">
        <f aca="false">IF(CE42-CF42+CC42-CD42+CA42-CB42+BU42-BV42+BK42-BL42+BI42-BJ42 &gt; 0, CE42-CF42+CC42-CD42+CA42-CB42+BU42-BV42+BK42-BL42+BI42-BJ42, "-")</f>
        <v>354231.87</v>
      </c>
      <c r="CL42" s="31" t="str">
        <f aca="false">IF(CJ42&lt;0,"⚠ Over Budget","✓ Within Budget")</f>
        <v>⚠ Over Budget</v>
      </c>
      <c r="CM42" s="33" t="s">
        <v>107</v>
      </c>
    </row>
    <row r="43" customFormat="false" ht="14.25" hidden="false" customHeight="false" outlineLevel="0" collapsed="false">
      <c r="A43" s="16" t="s">
        <v>98</v>
      </c>
      <c r="B43" s="16" t="n">
        <v>2025</v>
      </c>
      <c r="C43" s="16" t="n">
        <v>121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1</v>
      </c>
      <c r="S43" s="16" t="n">
        <v>120</v>
      </c>
      <c r="T43" s="16" t="n">
        <v>20</v>
      </c>
      <c r="U43" s="16" t="n">
        <v>100</v>
      </c>
      <c r="V43" s="16" t="n">
        <v>114</v>
      </c>
      <c r="W43" s="16" t="n">
        <v>6</v>
      </c>
      <c r="X43" s="16" t="n">
        <v>36</v>
      </c>
      <c r="Y43" s="16" t="n">
        <v>40</v>
      </c>
      <c r="Z43" s="16" t="n">
        <v>26</v>
      </c>
      <c r="AA43" s="16" t="n">
        <v>12</v>
      </c>
      <c r="AB43" s="16" t="n">
        <v>4</v>
      </c>
      <c r="AC43" s="16" t="n">
        <v>2</v>
      </c>
      <c r="AD43" s="17" t="n">
        <v>0</v>
      </c>
      <c r="AE43" s="17" t="n">
        <v>0</v>
      </c>
      <c r="AF43" s="18" t="n">
        <v>57.6</v>
      </c>
      <c r="AG43" s="19" t="n">
        <v>476225</v>
      </c>
      <c r="AH43" s="19" t="n">
        <v>685137</v>
      </c>
      <c r="AI43" s="19" t="n">
        <v>1055793</v>
      </c>
      <c r="AJ43" s="19" t="n">
        <v>1664712</v>
      </c>
      <c r="AK43" s="19" t="n">
        <v>2706568</v>
      </c>
      <c r="AL43" s="19" t="n">
        <v>4333851</v>
      </c>
      <c r="AM43" s="19" t="n">
        <v>1209906.56</v>
      </c>
      <c r="AN43" s="19" t="n">
        <v>11435633.46</v>
      </c>
      <c r="AO43" s="19" t="n">
        <v>10687507.91</v>
      </c>
      <c r="AP43" s="19" t="n">
        <v>1143563.35</v>
      </c>
      <c r="AQ43" s="19" t="n">
        <v>1068750.79</v>
      </c>
      <c r="AR43" s="19" t="n">
        <v>41584.12</v>
      </c>
      <c r="AS43" s="19" t="n">
        <v>0</v>
      </c>
      <c r="AT43" s="19" t="n">
        <v>571781.67</v>
      </c>
      <c r="AU43" s="19" t="n">
        <v>534375.4</v>
      </c>
      <c r="AV43" s="19" t="n">
        <v>167425.43</v>
      </c>
      <c r="AW43" s="19" t="n">
        <v>123372.44</v>
      </c>
      <c r="AX43" s="19" t="n">
        <v>88005.67</v>
      </c>
      <c r="AY43" s="19" t="n">
        <v>82248.29</v>
      </c>
      <c r="AZ43" s="19" t="n">
        <v>33470.15</v>
      </c>
      <c r="BA43" s="19" t="n">
        <v>0</v>
      </c>
      <c r="BB43" s="19" t="n">
        <v>699.78</v>
      </c>
      <c r="BC43" s="19" t="n">
        <v>0</v>
      </c>
      <c r="BD43" s="19" t="n">
        <v>115.59</v>
      </c>
      <c r="BE43" s="19" t="n">
        <v>0</v>
      </c>
      <c r="BF43" s="19" t="n">
        <f aca="false">SUM(BE43,BC43,BA43,AY43,AW43,AU43,AS43,AQ43,AO43)</f>
        <v>12496254.83</v>
      </c>
      <c r="BG43" s="19" t="n">
        <v>118279.62</v>
      </c>
      <c r="BH43" s="19" t="n">
        <v>69088.57</v>
      </c>
      <c r="BI43" s="19" t="n">
        <v>80671.87</v>
      </c>
      <c r="BJ43" s="19" t="n">
        <v>75394.27</v>
      </c>
      <c r="BK43" s="19" t="n">
        <v>58670.45</v>
      </c>
      <c r="BL43" s="19" t="n">
        <v>54832.19</v>
      </c>
      <c r="BM43" s="19" t="n">
        <v>143742.6</v>
      </c>
      <c r="BN43" s="19" t="n">
        <v>134338.88</v>
      </c>
      <c r="BO43" s="19" t="n">
        <v>7547.66</v>
      </c>
      <c r="BP43" s="19" t="n">
        <v>0</v>
      </c>
      <c r="BQ43" s="19" t="n">
        <v>791497.56</v>
      </c>
      <c r="BR43" s="19" t="n">
        <v>739717.34</v>
      </c>
      <c r="BS43" s="19" t="n">
        <v>44648.58</v>
      </c>
      <c r="BT43" s="19" t="n">
        <v>39830.93</v>
      </c>
      <c r="BU43" s="19" t="n">
        <v>285890.84</v>
      </c>
      <c r="BV43" s="19" t="n">
        <v>267187.7</v>
      </c>
      <c r="BW43" s="19" t="n">
        <v>73924.76</v>
      </c>
      <c r="BX43" s="19" t="n">
        <v>47978.17</v>
      </c>
      <c r="BY43" s="19" t="n">
        <v>26075.75</v>
      </c>
      <c r="BZ43" s="19" t="n">
        <v>54832.19</v>
      </c>
      <c r="CA43" s="19" t="n">
        <v>82138.63</v>
      </c>
      <c r="CB43" s="19" t="n">
        <v>76765.07</v>
      </c>
      <c r="CC43" s="19" t="n">
        <v>74851.42</v>
      </c>
      <c r="CD43" s="19" t="n">
        <v>80156.31</v>
      </c>
      <c r="CE43" s="19" t="n">
        <v>22871.27</v>
      </c>
      <c r="CF43" s="19" t="n">
        <v>21375.02</v>
      </c>
      <c r="CG43" s="19" t="n">
        <f aca="false">SUM(CF43,CD43,CB43,BZ43,BX43,BV43,BT43,BR43,BP43,BN43,BL43,BJ43,BH43)</f>
        <v>1661496.64</v>
      </c>
      <c r="CH43" s="19" t="n">
        <f aca="false">CG43+BF43</f>
        <v>14157751.47</v>
      </c>
      <c r="CI43" s="19" t="n">
        <f aca="false">SUM(CE43,CC43,CA43,BY43,BW43,BU43,BS43,BQ43,BO43,BM43,BK43,BI43,BG43,BD43,BB43,AZ43,AX43,AV43,AT43,AR43,AP43,AN43)</f>
        <v>15293090.23</v>
      </c>
      <c r="CJ43" s="19" t="n">
        <f aca="false">CI43-CH43</f>
        <v>1135338.76</v>
      </c>
      <c r="CK43" s="19" t="n">
        <f aca="false">IF(CE43-CF43+CC43-CD43+CA43-CB43+BU43-BV43+BK43-BL43+BI43-BJ43 &gt; 0, CE43-CF43+CC43-CD43+CA43-CB43+BU43-BV43+BK43-BL43+BI43-BJ43, "-")</f>
        <v>29383.92</v>
      </c>
      <c r="CL43" s="19" t="str">
        <f aca="false">IF(CJ43&lt;0,"⚠ Over Budget","✓ Within Budget")</f>
        <v>✓ Within Budget</v>
      </c>
      <c r="CM43" s="21"/>
    </row>
    <row r="44" customFormat="false" ht="18.75" hidden="false" customHeight="true" outlineLevel="0" collapsed="false">
      <c r="A44" s="28" t="s">
        <v>99</v>
      </c>
      <c r="B44" s="28" t="n">
        <v>2025</v>
      </c>
      <c r="C44" s="28" t="n">
        <v>120</v>
      </c>
      <c r="D44" s="28" t="n">
        <v>0</v>
      </c>
      <c r="E44" s="28" t="n">
        <v>0</v>
      </c>
      <c r="F44" s="28" t="n">
        <v>0</v>
      </c>
      <c r="G44" s="28" t="n">
        <v>0</v>
      </c>
      <c r="H44" s="28" t="n">
        <v>0</v>
      </c>
      <c r="I44" s="28" t="n">
        <v>0</v>
      </c>
      <c r="J44" s="28" t="n">
        <v>0</v>
      </c>
      <c r="K44" s="28" t="n">
        <v>1</v>
      </c>
      <c r="L44" s="28" t="n">
        <v>1</v>
      </c>
      <c r="M44" s="28" t="n">
        <v>0</v>
      </c>
      <c r="N44" s="28" t="n">
        <v>0</v>
      </c>
      <c r="O44" s="28" t="n">
        <v>0</v>
      </c>
      <c r="P44" s="28" t="n">
        <v>0</v>
      </c>
      <c r="Q44" s="28" t="n">
        <v>2</v>
      </c>
      <c r="R44" s="28" t="n">
        <v>0</v>
      </c>
      <c r="S44" s="28" t="n">
        <v>118</v>
      </c>
      <c r="T44" s="28" t="n">
        <v>14</v>
      </c>
      <c r="U44" s="28" t="n">
        <v>104</v>
      </c>
      <c r="V44" s="28" t="n">
        <v>112</v>
      </c>
      <c r="W44" s="28" t="n">
        <v>6</v>
      </c>
      <c r="X44" s="28" t="n">
        <v>35</v>
      </c>
      <c r="Y44" s="28" t="n">
        <v>39</v>
      </c>
      <c r="Z44" s="28" t="n">
        <v>26</v>
      </c>
      <c r="AA44" s="28" t="n">
        <v>12</v>
      </c>
      <c r="AB44" s="28" t="n">
        <v>4</v>
      </c>
      <c r="AC44" s="28" t="n">
        <v>2</v>
      </c>
      <c r="AD44" s="29" t="n">
        <v>0.2</v>
      </c>
      <c r="AE44" s="29" t="n">
        <v>0</v>
      </c>
      <c r="AF44" s="30" t="n">
        <v>57.9</v>
      </c>
      <c r="AG44" s="31" t="n">
        <v>476225</v>
      </c>
      <c r="AH44" s="31" t="n">
        <v>685137</v>
      </c>
      <c r="AI44" s="31" t="n">
        <v>1055793</v>
      </c>
      <c r="AJ44" s="31" t="n">
        <v>1664712</v>
      </c>
      <c r="AK44" s="31" t="n">
        <v>2706568</v>
      </c>
      <c r="AL44" s="31" t="n">
        <v>4333851</v>
      </c>
      <c r="AM44" s="31" t="n">
        <v>1209906.56</v>
      </c>
      <c r="AN44" s="31" t="n">
        <v>11435633.46</v>
      </c>
      <c r="AO44" s="31" t="n">
        <v>10687507.91</v>
      </c>
      <c r="AP44" s="31" t="n">
        <v>1143563.35</v>
      </c>
      <c r="AQ44" s="31" t="n">
        <v>1068750.79</v>
      </c>
      <c r="AR44" s="31" t="n">
        <v>41584.12</v>
      </c>
      <c r="AS44" s="31" t="n">
        <v>0</v>
      </c>
      <c r="AT44" s="31" t="n">
        <v>571781.67</v>
      </c>
      <c r="AU44" s="31" t="n">
        <v>534375.4</v>
      </c>
      <c r="AV44" s="31" t="n">
        <v>193183.18</v>
      </c>
      <c r="AW44" s="31" t="n">
        <v>123372.44</v>
      </c>
      <c r="AX44" s="31" t="n">
        <v>88005.67</v>
      </c>
      <c r="AY44" s="31" t="n">
        <v>82248.29</v>
      </c>
      <c r="AZ44" s="31" t="n">
        <v>33470.15</v>
      </c>
      <c r="BA44" s="31" t="n">
        <v>0</v>
      </c>
      <c r="BB44" s="31" t="n">
        <v>1049.68</v>
      </c>
      <c r="BC44" s="31" t="n">
        <v>0</v>
      </c>
      <c r="BD44" s="31" t="n">
        <v>231.18</v>
      </c>
      <c r="BE44" s="31" t="n">
        <v>0</v>
      </c>
      <c r="BF44" s="31" t="n">
        <f aca="false">SUM(BE44,BC44,BA44,AY44,AW44,AU44,AS44,AQ44,AO44)</f>
        <v>12496254.83</v>
      </c>
      <c r="BG44" s="31" t="n">
        <v>20443.39</v>
      </c>
      <c r="BH44" s="31" t="n">
        <v>26867.78</v>
      </c>
      <c r="BI44" s="31" t="n">
        <v>80671.87</v>
      </c>
      <c r="BJ44" s="31" t="n">
        <v>75394.27</v>
      </c>
      <c r="BK44" s="31" t="n">
        <v>58670.45</v>
      </c>
      <c r="BL44" s="31" t="n">
        <v>54832.19</v>
      </c>
      <c r="BM44" s="31" t="n">
        <v>143742.6</v>
      </c>
      <c r="BN44" s="31" t="n">
        <v>134338.88</v>
      </c>
      <c r="BO44" s="31" t="n">
        <v>3773.83</v>
      </c>
      <c r="BP44" s="31" t="n">
        <v>0</v>
      </c>
      <c r="BQ44" s="31" t="n">
        <v>836469.01</v>
      </c>
      <c r="BR44" s="31" t="n">
        <v>2758532.57</v>
      </c>
      <c r="BS44" s="31" t="n">
        <v>55764.6</v>
      </c>
      <c r="BT44" s="31" t="n">
        <v>889287.98</v>
      </c>
      <c r="BU44" s="31" t="n">
        <v>285890.84</v>
      </c>
      <c r="BV44" s="31" t="n">
        <v>267187.7</v>
      </c>
      <c r="BW44" s="31" t="n">
        <v>49283.18</v>
      </c>
      <c r="BX44" s="31" t="n">
        <v>47978.17</v>
      </c>
      <c r="BY44" s="31" t="n">
        <v>769892.35</v>
      </c>
      <c r="BZ44" s="31" t="n">
        <v>323786.5</v>
      </c>
      <c r="CA44" s="31" t="n">
        <v>82138.63</v>
      </c>
      <c r="CB44" s="31" t="n">
        <v>76765.07</v>
      </c>
      <c r="CC44" s="31" t="n">
        <v>46782.14</v>
      </c>
      <c r="CD44" s="31" t="n">
        <v>80156.31</v>
      </c>
      <c r="CE44" s="31" t="n">
        <v>22871.27</v>
      </c>
      <c r="CF44" s="31" t="n">
        <v>21375.02</v>
      </c>
      <c r="CG44" s="31" t="n">
        <f aca="false">SUM(CF44,CD44,CB44,BZ44,BX44,BV44,BT44,BR44,BP44,BN44,BL44,BJ44,BH44)</f>
        <v>4756502.44</v>
      </c>
      <c r="CH44" s="31" t="n">
        <f aca="false">CG44+BF44</f>
        <v>17252757.27</v>
      </c>
      <c r="CI44" s="31" t="n">
        <f aca="false">SUM(CE44,CC44,CA44,BY44,BW44,BU44,BS44,BQ44,BO44,BM44,BK44,BI44,BG44,BD44,BB44,AZ44,AX44,AV44,AT44,AR44,AP44,AN44)</f>
        <v>15964896.62</v>
      </c>
      <c r="CJ44" s="31" t="n">
        <f aca="false">CI44-CH44</f>
        <v>-1287860.65</v>
      </c>
      <c r="CK44" s="31" t="n">
        <f aca="false">IF(CE44-CF44+CC44-CD44+CA44-CB44+BU44-BV44+BK44-BL44+BI44-BJ44 &gt; 0, CE44-CF44+CC44-CD44+CA44-CB44+BU44-BV44+BK44-BL44+BI44-BJ44, "-")</f>
        <v>1314.64000000001</v>
      </c>
      <c r="CL44" s="31" t="str">
        <f aca="false">IF(CJ44&lt;0,"⚠ Over Budget","✓ Within Budget")</f>
        <v>⚠ Over Budget</v>
      </c>
      <c r="CM44" s="33" t="s">
        <v>108</v>
      </c>
    </row>
    <row r="45" customFormat="false" ht="18.75" hidden="false" customHeight="true" outlineLevel="0" collapsed="false">
      <c r="A45" s="28" t="s">
        <v>100</v>
      </c>
      <c r="B45" s="28" t="n">
        <v>2025</v>
      </c>
      <c r="C45" s="28" t="n">
        <v>118</v>
      </c>
      <c r="D45" s="28" t="n">
        <v>1</v>
      </c>
      <c r="E45" s="28" t="n">
        <v>1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2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120</v>
      </c>
      <c r="T45" s="28" t="n">
        <v>21</v>
      </c>
      <c r="U45" s="28" t="n">
        <v>99</v>
      </c>
      <c r="V45" s="28" t="n">
        <v>114</v>
      </c>
      <c r="W45" s="28" t="n">
        <v>6</v>
      </c>
      <c r="X45" s="28" t="n">
        <v>36</v>
      </c>
      <c r="Y45" s="28" t="n">
        <v>40</v>
      </c>
      <c r="Z45" s="28" t="n">
        <v>26</v>
      </c>
      <c r="AA45" s="28" t="n">
        <v>12</v>
      </c>
      <c r="AB45" s="28" t="n">
        <v>4</v>
      </c>
      <c r="AC45" s="28" t="n">
        <v>2</v>
      </c>
      <c r="AD45" s="29" t="n">
        <v>0</v>
      </c>
      <c r="AE45" s="29" t="n">
        <v>0</v>
      </c>
      <c r="AF45" s="30" t="n">
        <v>58.4</v>
      </c>
      <c r="AG45" s="31" t="n">
        <v>476225</v>
      </c>
      <c r="AH45" s="31" t="n">
        <v>685137</v>
      </c>
      <c r="AI45" s="31" t="n">
        <v>1055793</v>
      </c>
      <c r="AJ45" s="31" t="n">
        <v>1664712</v>
      </c>
      <c r="AK45" s="31" t="n">
        <v>2706568</v>
      </c>
      <c r="AL45" s="31" t="n">
        <v>4333851</v>
      </c>
      <c r="AM45" s="31" t="n">
        <v>1209906.56</v>
      </c>
      <c r="AN45" s="31" t="n">
        <v>12082933.47</v>
      </c>
      <c r="AO45" s="31" t="n">
        <v>12785798.71</v>
      </c>
      <c r="AP45" s="31" t="n">
        <v>1208293.35</v>
      </c>
      <c r="AQ45" s="31" t="n">
        <v>1129246.12</v>
      </c>
      <c r="AR45" s="31" t="n">
        <v>43937.94</v>
      </c>
      <c r="AS45" s="31" t="n">
        <v>0</v>
      </c>
      <c r="AT45" s="31" t="n">
        <v>604146.67</v>
      </c>
      <c r="AU45" s="31" t="n">
        <v>564623.06</v>
      </c>
      <c r="AV45" s="31" t="n">
        <v>163294.46</v>
      </c>
      <c r="AW45" s="31" t="n">
        <v>130355.78</v>
      </c>
      <c r="AX45" s="31" t="n">
        <v>92987.13</v>
      </c>
      <c r="AY45" s="31" t="n">
        <v>86903.86</v>
      </c>
      <c r="AZ45" s="31" t="n">
        <v>29470.57</v>
      </c>
      <c r="BA45" s="31" t="n">
        <v>0</v>
      </c>
      <c r="BB45" s="31" t="n">
        <v>104967.57</v>
      </c>
      <c r="BC45" s="31" t="n">
        <v>2549391.21</v>
      </c>
      <c r="BD45" s="31" t="n">
        <v>346.77</v>
      </c>
      <c r="BE45" s="31" t="n">
        <v>0</v>
      </c>
      <c r="BF45" s="31" t="n">
        <f aca="false">SUM(BE45,BC45,BA45,AY45,AW45,AU45,AS45,AQ45,AO45)</f>
        <v>17246318.74</v>
      </c>
      <c r="BG45" s="31" t="n">
        <v>16200.42</v>
      </c>
      <c r="BH45" s="31" t="n">
        <v>28388.59</v>
      </c>
      <c r="BI45" s="31" t="n">
        <v>85238.2</v>
      </c>
      <c r="BJ45" s="31" t="n">
        <v>79661.87</v>
      </c>
      <c r="BK45" s="31" t="n">
        <v>61991.42</v>
      </c>
      <c r="BL45" s="31" t="n">
        <v>57935.9</v>
      </c>
      <c r="BM45" s="31" t="n">
        <v>151878.97</v>
      </c>
      <c r="BN45" s="31" t="n">
        <v>141942.96</v>
      </c>
      <c r="BO45" s="31" t="n">
        <v>792503.91</v>
      </c>
      <c r="BP45" s="31" t="n">
        <v>1267132.9</v>
      </c>
      <c r="BQ45" s="31" t="n">
        <v>827474.72</v>
      </c>
      <c r="BR45" s="31" t="n">
        <v>773340.86</v>
      </c>
      <c r="BS45" s="31" t="n">
        <v>55164.98</v>
      </c>
      <c r="BT45" s="31" t="n">
        <v>41641.43</v>
      </c>
      <c r="BU45" s="31" t="n">
        <v>302073.34</v>
      </c>
      <c r="BV45" s="31" t="n">
        <v>282311.53</v>
      </c>
      <c r="BW45" s="31" t="n">
        <v>26036.4</v>
      </c>
      <c r="BX45" s="31" t="n">
        <v>50693.92</v>
      </c>
      <c r="BY45" s="31" t="n">
        <v>27551.74</v>
      </c>
      <c r="BZ45" s="31" t="n">
        <v>57935.9</v>
      </c>
      <c r="CA45" s="31" t="n">
        <v>86787.98</v>
      </c>
      <c r="CB45" s="31" t="n">
        <v>81110.27</v>
      </c>
      <c r="CC45" s="31" t="n">
        <v>49430.18</v>
      </c>
      <c r="CD45" s="31" t="n">
        <v>84693.46</v>
      </c>
      <c r="CE45" s="31" t="n">
        <v>24165.87</v>
      </c>
      <c r="CF45" s="31" t="n">
        <v>22584.92</v>
      </c>
      <c r="CG45" s="31" t="n">
        <f aca="false">SUM(CF45,CD45,CB45,BZ45,BX45,BV45,BT45,BR45,BP45,BN45,BL45,BJ45,BH45)</f>
        <v>2969374.51</v>
      </c>
      <c r="CH45" s="31" t="n">
        <f aca="false">CG45+BF45</f>
        <v>20215693.25</v>
      </c>
      <c r="CI45" s="31" t="n">
        <f aca="false">SUM(CE45,CC45,CA45,BY45,BW45,BU45,BS45,BQ45,BO45,BM45,BK45,BI45,BG45,BD45,BB45,AZ45,AX45,AV45,AT45,AR45,AP45,AN45)</f>
        <v>16836876.06</v>
      </c>
      <c r="CJ45" s="31" t="n">
        <f aca="false">CI45-CH45</f>
        <v>-3378817.19</v>
      </c>
      <c r="CK45" s="31" t="n">
        <f aca="false">IF(CE45-CF45+CC45-CD45+CA45-CB45+BU45-BV45+BK45-BL45+BI45-BJ45 &gt; 0, CE45-CF45+CC45-CD45+CA45-CB45+BU45-BV45+BK45-BL45+BI45-BJ45, "-")</f>
        <v>1389.04000000001</v>
      </c>
      <c r="CL45" s="31" t="str">
        <f aca="false">IF(CJ45&lt;0,"⚠ Over Budget","✓ Within Budget")</f>
        <v>⚠ Over Budget</v>
      </c>
      <c r="CM45" s="33" t="s">
        <v>110</v>
      </c>
    </row>
    <row r="46" customFormat="false" ht="14.25" hidden="false" customHeight="false" outlineLevel="0" collapsed="false">
      <c r="A46" s="22" t="s">
        <v>101</v>
      </c>
      <c r="B46" s="22" t="n">
        <v>2025</v>
      </c>
      <c r="C46" s="22" t="n">
        <v>120</v>
      </c>
      <c r="D46" s="22" t="n">
        <v>1</v>
      </c>
      <c r="E46" s="22" t="n">
        <v>1</v>
      </c>
      <c r="F46" s="22" t="n">
        <v>1</v>
      </c>
      <c r="G46" s="22" t="n">
        <v>0</v>
      </c>
      <c r="H46" s="22" t="n">
        <v>0</v>
      </c>
      <c r="I46" s="22" t="n">
        <v>0</v>
      </c>
      <c r="J46" s="22" t="n">
        <v>3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123</v>
      </c>
      <c r="T46" s="22" t="n">
        <v>22</v>
      </c>
      <c r="U46" s="22" t="n">
        <v>101</v>
      </c>
      <c r="V46" s="22" t="n">
        <v>117</v>
      </c>
      <c r="W46" s="22" t="n">
        <v>6</v>
      </c>
      <c r="X46" s="22" t="n">
        <v>37</v>
      </c>
      <c r="Y46" s="22" t="n">
        <v>41</v>
      </c>
      <c r="Z46" s="22" t="n">
        <v>27</v>
      </c>
      <c r="AA46" s="22" t="n">
        <v>12</v>
      </c>
      <c r="AB46" s="22" t="n">
        <v>4</v>
      </c>
      <c r="AC46" s="22" t="n">
        <v>2</v>
      </c>
      <c r="AD46" s="23" t="n">
        <v>0</v>
      </c>
      <c r="AE46" s="23" t="n">
        <v>0</v>
      </c>
      <c r="AF46" s="24" t="n">
        <v>58.8</v>
      </c>
      <c r="AG46" s="25" t="n">
        <v>476225</v>
      </c>
      <c r="AH46" s="25" t="n">
        <v>685137</v>
      </c>
      <c r="AI46" s="25" t="n">
        <v>1055793</v>
      </c>
      <c r="AJ46" s="25" t="n">
        <v>1664712</v>
      </c>
      <c r="AK46" s="25" t="n">
        <v>2706568</v>
      </c>
      <c r="AL46" s="25" t="n">
        <v>4333851</v>
      </c>
      <c r="AM46" s="25" t="n">
        <v>1209906.56</v>
      </c>
      <c r="AN46" s="25" t="n">
        <v>12082933.47</v>
      </c>
      <c r="AO46" s="25" t="n">
        <v>11292461.18</v>
      </c>
      <c r="AP46" s="25" t="n">
        <v>1208293.35</v>
      </c>
      <c r="AQ46" s="25" t="n">
        <v>1129246.12</v>
      </c>
      <c r="AR46" s="25" t="n">
        <v>43937.94</v>
      </c>
      <c r="AS46" s="25" t="n">
        <v>0</v>
      </c>
      <c r="AT46" s="25" t="n">
        <v>604146.67</v>
      </c>
      <c r="AU46" s="25" t="n">
        <v>564623.06</v>
      </c>
      <c r="AV46" s="25" t="n">
        <v>136078.72</v>
      </c>
      <c r="AW46" s="25" t="n">
        <v>130355.78</v>
      </c>
      <c r="AX46" s="25" t="n">
        <v>92987.13</v>
      </c>
      <c r="AY46" s="25" t="n">
        <v>86903.86</v>
      </c>
      <c r="AZ46" s="25" t="n">
        <v>29470.57</v>
      </c>
      <c r="BA46" s="25" t="n">
        <v>0</v>
      </c>
      <c r="BB46" s="25" t="n">
        <v>1749.46</v>
      </c>
      <c r="BC46" s="25" t="n">
        <v>0</v>
      </c>
      <c r="BD46" s="25" t="n">
        <v>346.77</v>
      </c>
      <c r="BE46" s="25" t="n">
        <v>0</v>
      </c>
      <c r="BF46" s="25" t="n">
        <f aca="false">SUM(BE46,BC46,BA46,AY46,AW46,AU46,AS46,AQ46,AO46)</f>
        <v>13203590</v>
      </c>
      <c r="BG46" s="25" t="n">
        <v>86787.98</v>
      </c>
      <c r="BH46" s="25" t="n">
        <v>60832.7</v>
      </c>
      <c r="BI46" s="25" t="n">
        <v>85238.2</v>
      </c>
      <c r="BJ46" s="25" t="n">
        <v>79661.87</v>
      </c>
      <c r="BK46" s="25" t="n">
        <v>61991.42</v>
      </c>
      <c r="BL46" s="25" t="n">
        <v>57935.9</v>
      </c>
      <c r="BM46" s="25" t="n">
        <v>151878.97</v>
      </c>
      <c r="BN46" s="25" t="n">
        <v>141942.96</v>
      </c>
      <c r="BO46" s="25" t="n">
        <v>7547.66</v>
      </c>
      <c r="BP46" s="25" t="n">
        <v>0</v>
      </c>
      <c r="BQ46" s="25" t="n">
        <v>827474.72</v>
      </c>
      <c r="BR46" s="25" t="n">
        <v>773340.86</v>
      </c>
      <c r="BS46" s="25" t="n">
        <v>55164.98</v>
      </c>
      <c r="BT46" s="25" t="n">
        <v>41641.43</v>
      </c>
      <c r="BU46" s="25" t="n">
        <v>302073.34</v>
      </c>
      <c r="BV46" s="25" t="n">
        <v>282311.53</v>
      </c>
      <c r="BW46" s="25" t="n">
        <v>52072.79</v>
      </c>
      <c r="BX46" s="25" t="n">
        <v>50693.92</v>
      </c>
      <c r="BY46" s="25" t="n">
        <v>60315.58</v>
      </c>
      <c r="BZ46" s="25" t="n">
        <v>105693.18</v>
      </c>
      <c r="CA46" s="25" t="n">
        <v>86787.98</v>
      </c>
      <c r="CB46" s="25" t="n">
        <v>81110.27</v>
      </c>
      <c r="CC46" s="25" t="n">
        <v>49430.18</v>
      </c>
      <c r="CD46" s="25" t="n">
        <v>84693.46</v>
      </c>
      <c r="CE46" s="25" t="n">
        <v>24165.87</v>
      </c>
      <c r="CF46" s="25" t="n">
        <v>22584.92</v>
      </c>
      <c r="CG46" s="25" t="n">
        <f aca="false">SUM(CF46,CD46,CB46,BZ46,BX46,BV46,BT46,BR46,BP46,BN46,BL46,BJ46,BH46)</f>
        <v>1782443</v>
      </c>
      <c r="CH46" s="25" t="n">
        <f aca="false">CG46+BF46</f>
        <v>14986033</v>
      </c>
      <c r="CI46" s="25" t="n">
        <f aca="false">SUM(CE46,CC46,CA46,BY46,BW46,BU46,BS46,BQ46,BO46,BM46,BK46,BI46,BG46,BD46,BB46,AZ46,AX46,AV46,AT46,AR46,AP46,AN46)</f>
        <v>16050873.75</v>
      </c>
      <c r="CJ46" s="25" t="n">
        <f aca="false">CI46-CH46</f>
        <v>1064840.75</v>
      </c>
      <c r="CK46" s="25" t="n">
        <f aca="false">IF(CE46-CF46+CC46-CD46+CA46-CB46+BU46-BV46+BK46-BL46+BI46-BJ46 &gt; 0, CE46-CF46+CC46-CD46+CA46-CB46+BU46-BV46+BK46-BL46+BI46-BJ46, "-")</f>
        <v>1389.04000000001</v>
      </c>
      <c r="CL46" s="25" t="str">
        <f aca="false">IF(CJ46&lt;0,"⚠ Over Budget","✓ Within Budget")</f>
        <v>✓ Within Budget</v>
      </c>
      <c r="CM46" s="27"/>
    </row>
    <row r="47" customFormat="false" ht="14.25" hidden="false" customHeight="false" outlineLevel="0" collapsed="false">
      <c r="A47" s="16" t="s">
        <v>102</v>
      </c>
      <c r="B47" s="16" t="n">
        <v>2025</v>
      </c>
      <c r="C47" s="16" t="n">
        <v>123</v>
      </c>
      <c r="D47" s="16" t="n">
        <v>2</v>
      </c>
      <c r="E47" s="16" t="n">
        <v>1</v>
      </c>
      <c r="F47" s="16" t="n">
        <v>1</v>
      </c>
      <c r="G47" s="16" t="n">
        <v>0</v>
      </c>
      <c r="H47" s="16" t="n">
        <v>0</v>
      </c>
      <c r="I47" s="16" t="n">
        <v>0</v>
      </c>
      <c r="J47" s="16" t="n">
        <v>4</v>
      </c>
      <c r="K47" s="16" t="n">
        <v>1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1</v>
      </c>
      <c r="Q47" s="16" t="n">
        <v>1</v>
      </c>
      <c r="R47" s="16" t="n">
        <v>0</v>
      </c>
      <c r="S47" s="16" t="n">
        <v>126</v>
      </c>
      <c r="T47" s="16" t="n">
        <v>21</v>
      </c>
      <c r="U47" s="16" t="n">
        <v>105</v>
      </c>
      <c r="V47" s="16" t="n">
        <v>120</v>
      </c>
      <c r="W47" s="16" t="n">
        <v>6</v>
      </c>
      <c r="X47" s="16" t="n">
        <v>38</v>
      </c>
      <c r="Y47" s="16" t="n">
        <v>42</v>
      </c>
      <c r="Z47" s="16" t="n">
        <v>28</v>
      </c>
      <c r="AA47" s="16" t="n">
        <v>13</v>
      </c>
      <c r="AB47" s="16" t="n">
        <v>4</v>
      </c>
      <c r="AC47" s="16" t="n">
        <v>1</v>
      </c>
      <c r="AD47" s="17" t="n">
        <v>0.097561</v>
      </c>
      <c r="AE47" s="17" t="n">
        <v>0</v>
      </c>
      <c r="AF47" s="18" t="n">
        <v>59.1</v>
      </c>
      <c r="AG47" s="19" t="n">
        <v>476225</v>
      </c>
      <c r="AH47" s="19" t="n">
        <v>685137</v>
      </c>
      <c r="AI47" s="19" t="n">
        <v>1055793</v>
      </c>
      <c r="AJ47" s="19" t="n">
        <v>1664712</v>
      </c>
      <c r="AK47" s="19" t="n">
        <v>2706568</v>
      </c>
      <c r="AL47" s="19" t="n">
        <v>4333851</v>
      </c>
      <c r="AM47" s="19" t="n">
        <v>1209906.56</v>
      </c>
      <c r="AN47" s="19" t="n">
        <v>12190816.8</v>
      </c>
      <c r="AO47" s="19" t="n">
        <v>11393286.73</v>
      </c>
      <c r="AP47" s="19" t="n">
        <v>1219081.68</v>
      </c>
      <c r="AQ47" s="19" t="n">
        <v>1139328.67</v>
      </c>
      <c r="AR47" s="19" t="n">
        <v>44330.24</v>
      </c>
      <c r="AS47" s="19" t="n">
        <v>0</v>
      </c>
      <c r="AT47" s="19" t="n">
        <v>609540.84</v>
      </c>
      <c r="AU47" s="19" t="n">
        <v>569664.34</v>
      </c>
      <c r="AV47" s="19" t="n">
        <v>151023.08</v>
      </c>
      <c r="AW47" s="19" t="n">
        <v>131519.67</v>
      </c>
      <c r="AX47" s="19" t="n">
        <v>93817.37</v>
      </c>
      <c r="AY47" s="19" t="n">
        <v>87679.78</v>
      </c>
      <c r="AZ47" s="19" t="n">
        <v>382703.66</v>
      </c>
      <c r="BA47" s="19" t="n">
        <v>366608.65</v>
      </c>
      <c r="BB47" s="19" t="n">
        <v>31490.27</v>
      </c>
      <c r="BC47" s="19" t="n">
        <v>30247.66</v>
      </c>
      <c r="BD47" s="19" t="n">
        <v>115.59</v>
      </c>
      <c r="BE47" s="19" t="n">
        <v>0</v>
      </c>
      <c r="BF47" s="19" t="n">
        <f aca="false">SUM(BE47,BC47,BA47,AY47,AW47,AU47,AS47,AQ47,AO47)</f>
        <v>13718335.5</v>
      </c>
      <c r="BG47" s="19" t="n">
        <v>126090.54</v>
      </c>
      <c r="BH47" s="19" t="n">
        <v>73651.02</v>
      </c>
      <c r="BI47" s="19" t="n">
        <v>85999.25</v>
      </c>
      <c r="BJ47" s="19" t="n">
        <v>80373.13</v>
      </c>
      <c r="BK47" s="19" t="n">
        <v>62544.91</v>
      </c>
      <c r="BL47" s="19" t="n">
        <v>58453.19</v>
      </c>
      <c r="BM47" s="19" t="n">
        <v>153235.03</v>
      </c>
      <c r="BN47" s="19" t="n">
        <v>143210.31</v>
      </c>
      <c r="BO47" s="19" t="n">
        <v>79250.39</v>
      </c>
      <c r="BP47" s="19" t="n">
        <v>135787.27</v>
      </c>
      <c r="BQ47" s="19" t="n">
        <v>845463.3</v>
      </c>
      <c r="BR47" s="19" t="n">
        <v>790152.62</v>
      </c>
      <c r="BS47" s="19" t="n">
        <v>47692.8</v>
      </c>
      <c r="BT47" s="19" t="n">
        <v>42546.68</v>
      </c>
      <c r="BU47" s="19" t="n">
        <v>304770.42</v>
      </c>
      <c r="BV47" s="19" t="n">
        <v>284832.17</v>
      </c>
      <c r="BW47" s="19" t="n">
        <v>105075.45</v>
      </c>
      <c r="BX47" s="19" t="n">
        <v>51146.54</v>
      </c>
      <c r="BY47" s="19" t="n">
        <v>27797.74</v>
      </c>
      <c r="BZ47" s="19" t="n">
        <v>58453.19</v>
      </c>
      <c r="CA47" s="19" t="n">
        <v>87562.88</v>
      </c>
      <c r="CB47" s="19" t="n">
        <v>81834.46</v>
      </c>
      <c r="CC47" s="19" t="n">
        <v>59845.83</v>
      </c>
      <c r="CD47" s="19" t="n">
        <v>85449.65</v>
      </c>
      <c r="CE47" s="19" t="n">
        <v>24381.63</v>
      </c>
      <c r="CF47" s="19" t="n">
        <v>22786.57</v>
      </c>
      <c r="CG47" s="19" t="n">
        <f aca="false">SUM(CF47,CD47,CB47,BZ47,BX47,BV47,BT47,BR47,BP47,BN47,BL47,BJ47,BH47)</f>
        <v>1908676.8</v>
      </c>
      <c r="CH47" s="19" t="n">
        <f aca="false">CG47+BF47</f>
        <v>15627012.3</v>
      </c>
      <c r="CI47" s="19" t="n">
        <f aca="false">SUM(CE47,CC47,CA47,BY47,BW47,BU47,BS47,BQ47,BO47,BM47,BK47,BI47,BG47,BD47,BB47,AZ47,AX47,AV47,AT47,AR47,AP47,AN47)</f>
        <v>16732629.7</v>
      </c>
      <c r="CJ47" s="19" t="n">
        <f aca="false">CI47-CH47</f>
        <v>1105617.4</v>
      </c>
      <c r="CK47" s="19" t="n">
        <f aca="false">IF(CE47-CF47+CC47-CD47+CA47-CB47+BU47-BV47+BK47-BL47+BI47-BJ47 &gt; 0, CE47-CF47+CC47-CD47+CA47-CB47+BU47-BV47+BK47-BL47+BI47-BJ47, "-")</f>
        <v>11375.75</v>
      </c>
      <c r="CL47" s="19" t="str">
        <f aca="false">IF(CJ47&lt;0,"⚠ Over Budget","✓ Within Budget")</f>
        <v>✓ Within Budget</v>
      </c>
      <c r="CM47" s="21"/>
    </row>
    <row r="48" customFormat="false" ht="14.25" hidden="false" customHeight="false" outlineLevel="0" collapsed="false">
      <c r="A48" s="22" t="s">
        <v>103</v>
      </c>
      <c r="B48" s="22" t="n">
        <v>2025</v>
      </c>
      <c r="C48" s="22" t="n">
        <v>126</v>
      </c>
      <c r="D48" s="22" t="n">
        <v>1</v>
      </c>
      <c r="E48" s="22" t="n">
        <v>1</v>
      </c>
      <c r="F48" s="22" t="n">
        <v>1</v>
      </c>
      <c r="G48" s="22" t="n">
        <v>0</v>
      </c>
      <c r="H48" s="22" t="n">
        <v>0</v>
      </c>
      <c r="I48" s="22" t="n">
        <v>0</v>
      </c>
      <c r="J48" s="22" t="n">
        <v>3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1</v>
      </c>
      <c r="S48" s="22" t="n">
        <v>128</v>
      </c>
      <c r="T48" s="22" t="n">
        <v>22</v>
      </c>
      <c r="U48" s="22" t="n">
        <v>106</v>
      </c>
      <c r="V48" s="22" t="n">
        <v>122</v>
      </c>
      <c r="W48" s="22" t="n">
        <v>6</v>
      </c>
      <c r="X48" s="22" t="n">
        <v>38</v>
      </c>
      <c r="Y48" s="22" t="n">
        <v>42</v>
      </c>
      <c r="Z48" s="22" t="n">
        <v>28</v>
      </c>
      <c r="AA48" s="22" t="n">
        <v>13</v>
      </c>
      <c r="AB48" s="22" t="n">
        <v>4</v>
      </c>
      <c r="AC48" s="22" t="n">
        <v>3</v>
      </c>
      <c r="AD48" s="23" t="n">
        <v>0</v>
      </c>
      <c r="AE48" s="23" t="n">
        <v>0.0154277598436492</v>
      </c>
      <c r="AF48" s="24" t="n">
        <v>59.5</v>
      </c>
      <c r="AG48" s="25" t="n">
        <v>484376</v>
      </c>
      <c r="AH48" s="25" t="n">
        <v>698072</v>
      </c>
      <c r="AI48" s="25" t="n">
        <v>1067605</v>
      </c>
      <c r="AJ48" s="25" t="n">
        <v>1682373</v>
      </c>
      <c r="AK48" s="25" t="n">
        <v>2734924</v>
      </c>
      <c r="AL48" s="25" t="n">
        <v>4382727</v>
      </c>
      <c r="AM48" s="25" t="n">
        <v>1226597.77</v>
      </c>
      <c r="AN48" s="25" t="n">
        <v>12905852.9</v>
      </c>
      <c r="AO48" s="25" t="n">
        <v>12061544.77</v>
      </c>
      <c r="AP48" s="25" t="n">
        <v>1290585.29</v>
      </c>
      <c r="AQ48" s="25" t="n">
        <v>1206154.48</v>
      </c>
      <c r="AR48" s="25" t="n">
        <v>1501771.97</v>
      </c>
      <c r="AS48" s="25" t="n">
        <v>482461.79</v>
      </c>
      <c r="AT48" s="25" t="n">
        <v>645292.65</v>
      </c>
      <c r="AU48" s="25" t="n">
        <v>603077.24</v>
      </c>
      <c r="AV48" s="25" t="n">
        <v>129031.79</v>
      </c>
      <c r="AW48" s="25" t="n">
        <v>137339.13</v>
      </c>
      <c r="AX48" s="25" t="n">
        <v>97968.58</v>
      </c>
      <c r="AY48" s="25" t="n">
        <v>91559.42</v>
      </c>
      <c r="AZ48" s="25" t="n">
        <v>791053.85</v>
      </c>
      <c r="BA48" s="25" t="n">
        <v>378892.61</v>
      </c>
      <c r="BB48" s="25" t="n">
        <v>53207.82</v>
      </c>
      <c r="BC48" s="25" t="n">
        <v>51108.24</v>
      </c>
      <c r="BD48" s="25" t="n">
        <v>117.18</v>
      </c>
      <c r="BE48" s="25" t="n">
        <v>0</v>
      </c>
      <c r="BF48" s="25" t="n">
        <f aca="false">SUM(BE48,BC48,BA48,AY48,AW48,AU48,AS48,AQ48,AO48)</f>
        <v>15012137.68</v>
      </c>
      <c r="BG48" s="25" t="n">
        <v>79652.08</v>
      </c>
      <c r="BH48" s="25" t="n">
        <v>59818.82</v>
      </c>
      <c r="BI48" s="25" t="n">
        <v>89804.53</v>
      </c>
      <c r="BJ48" s="25" t="n">
        <v>83929.47</v>
      </c>
      <c r="BK48" s="25" t="n">
        <v>65312.39</v>
      </c>
      <c r="BL48" s="25" t="n">
        <v>61039.61</v>
      </c>
      <c r="BM48" s="25" t="n">
        <v>160015.35</v>
      </c>
      <c r="BN48" s="25" t="n">
        <v>149547.05</v>
      </c>
      <c r="BO48" s="25" t="n">
        <v>132083.99</v>
      </c>
      <c r="BP48" s="25" t="n">
        <v>226312.12</v>
      </c>
      <c r="BQ48" s="25" t="n">
        <v>881440.46</v>
      </c>
      <c r="BR48" s="25" t="n">
        <v>823776.13</v>
      </c>
      <c r="BS48" s="25" t="n">
        <v>45202.07</v>
      </c>
      <c r="BT48" s="25" t="n">
        <v>44357.18</v>
      </c>
      <c r="BU48" s="25" t="n">
        <v>322646.32</v>
      </c>
      <c r="BV48" s="25" t="n">
        <v>301538.62</v>
      </c>
      <c r="BW48" s="25" t="n">
        <v>82293.61</v>
      </c>
      <c r="BX48" s="25" t="n">
        <v>53409.66</v>
      </c>
      <c r="BY48" s="25" t="n">
        <v>1108772.75</v>
      </c>
      <c r="BZ48" s="25" t="n">
        <v>364301.79</v>
      </c>
      <c r="CA48" s="25" t="n">
        <v>91437.34</v>
      </c>
      <c r="CB48" s="25" t="n">
        <v>85455.46</v>
      </c>
      <c r="CC48" s="25" t="n">
        <v>84474.67</v>
      </c>
      <c r="CD48" s="25" t="n">
        <v>90461.59</v>
      </c>
      <c r="CE48" s="25" t="n">
        <v>25811.71</v>
      </c>
      <c r="CF48" s="25" t="n">
        <v>24123.09</v>
      </c>
      <c r="CG48" s="25" t="n">
        <f aca="false">SUM(CF48,CD48,CB48,BZ48,BX48,BV48,BT48,BR48,BP48,BN48,BL48,BJ48,BH48)</f>
        <v>2368070.59</v>
      </c>
      <c r="CH48" s="25" t="n">
        <f aca="false">CG48+BF48</f>
        <v>17380208.27</v>
      </c>
      <c r="CI48" s="25" t="n">
        <f aca="false">SUM(CE48,CC48,CA48,BY48,BW48,BU48,BS48,BQ48,BO48,BM48,BK48,BI48,BG48,BD48,BB48,AZ48,AX48,AV48,AT48,AR48,AP48,AN48)</f>
        <v>20583829.3</v>
      </c>
      <c r="CJ48" s="25" t="n">
        <f aca="false">CI48-CH48</f>
        <v>3203621.03</v>
      </c>
      <c r="CK48" s="25" t="n">
        <f aca="false">IF(CE48-CF48+CC48-CD48+CA48-CB48+BU48-BV48+BK48-BL48+BI48-BJ48 &gt; 0, CE48-CF48+CC48-CD48+CA48-CB48+BU48-BV48+BK48-BL48+BI48-BJ48, "-")</f>
        <v>32939.12</v>
      </c>
      <c r="CL48" s="25" t="str">
        <f aca="false">IF(CJ48&lt;0,"⚠ Over Budget","✓ Within Budget")</f>
        <v>✓ Within Budget</v>
      </c>
      <c r="CM48" s="27"/>
    </row>
    <row r="49" customFormat="false" ht="18.75" hidden="false" customHeight="true" outlineLevel="0" collapsed="false">
      <c r="A49" s="28" t="s">
        <v>104</v>
      </c>
      <c r="B49" s="28" t="n">
        <v>2025</v>
      </c>
      <c r="C49" s="28" t="n">
        <v>128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0</v>
      </c>
      <c r="S49" s="28" t="n">
        <v>128</v>
      </c>
      <c r="T49" s="28" t="n">
        <v>22</v>
      </c>
      <c r="U49" s="28" t="n">
        <v>106</v>
      </c>
      <c r="V49" s="28" t="n">
        <v>122</v>
      </c>
      <c r="W49" s="28" t="n">
        <v>6</v>
      </c>
      <c r="X49" s="28" t="n">
        <v>38</v>
      </c>
      <c r="Y49" s="28" t="n">
        <v>42</v>
      </c>
      <c r="Z49" s="28" t="n">
        <v>28</v>
      </c>
      <c r="AA49" s="28" t="n">
        <v>13</v>
      </c>
      <c r="AB49" s="28" t="n">
        <v>4</v>
      </c>
      <c r="AC49" s="28" t="n">
        <v>3</v>
      </c>
      <c r="AD49" s="29" t="n">
        <v>0</v>
      </c>
      <c r="AE49" s="29" t="n">
        <v>0</v>
      </c>
      <c r="AF49" s="30" t="n">
        <v>59.8</v>
      </c>
      <c r="AG49" s="31" t="n">
        <v>484376</v>
      </c>
      <c r="AH49" s="31" t="n">
        <v>698072</v>
      </c>
      <c r="AI49" s="31" t="n">
        <v>1067605</v>
      </c>
      <c r="AJ49" s="31" t="n">
        <v>1682373</v>
      </c>
      <c r="AK49" s="31" t="n">
        <v>2734924</v>
      </c>
      <c r="AL49" s="31" t="n">
        <v>4382727</v>
      </c>
      <c r="AM49" s="31" t="n">
        <v>1226597.77</v>
      </c>
      <c r="AN49" s="31" t="n">
        <v>12905852.9</v>
      </c>
      <c r="AO49" s="31" t="n">
        <v>12061544.77</v>
      </c>
      <c r="AP49" s="31" t="n">
        <v>1290585.29</v>
      </c>
      <c r="AQ49" s="31" t="n">
        <v>1206154.48</v>
      </c>
      <c r="AR49" s="31" t="n">
        <v>152523.72</v>
      </c>
      <c r="AS49" s="31" t="n">
        <v>0</v>
      </c>
      <c r="AT49" s="31" t="n">
        <v>645292.65</v>
      </c>
      <c r="AU49" s="31" t="n">
        <v>603077.24</v>
      </c>
      <c r="AV49" s="31" t="n">
        <v>152926.56</v>
      </c>
      <c r="AW49" s="31" t="n">
        <v>183118.84</v>
      </c>
      <c r="AX49" s="31" t="n">
        <v>97968.58</v>
      </c>
      <c r="AY49" s="31" t="n">
        <v>91559.42</v>
      </c>
      <c r="AZ49" s="31" t="n">
        <v>62955.38</v>
      </c>
      <c r="BA49" s="31" t="n">
        <v>0</v>
      </c>
      <c r="BB49" s="31" t="n">
        <v>354.72</v>
      </c>
      <c r="BC49" s="31" t="n">
        <v>0</v>
      </c>
      <c r="BD49" s="31" t="n">
        <v>117.18</v>
      </c>
      <c r="BE49" s="31" t="n">
        <v>0</v>
      </c>
      <c r="BF49" s="31" t="n">
        <f aca="false">SUM(BE49,BC49,BA49,AY49,AW49,AU49,AS49,AQ49,AO49)</f>
        <v>14145454.75</v>
      </c>
      <c r="BG49" s="31" t="n">
        <v>104035.37</v>
      </c>
      <c r="BH49" s="31" t="n">
        <v>68364.37</v>
      </c>
      <c r="BI49" s="31" t="n">
        <v>89804.53</v>
      </c>
      <c r="BJ49" s="31" t="n">
        <v>83929.47</v>
      </c>
      <c r="BK49" s="31" t="n">
        <v>65312.39</v>
      </c>
      <c r="BL49" s="31" t="n">
        <v>61039.61</v>
      </c>
      <c r="BM49" s="31" t="n">
        <v>160015.35</v>
      </c>
      <c r="BN49" s="31" t="n">
        <v>149547.05</v>
      </c>
      <c r="BO49" s="31" t="n">
        <v>3773.83</v>
      </c>
      <c r="BP49" s="31" t="n">
        <v>0</v>
      </c>
      <c r="BQ49" s="31" t="n">
        <v>881440.46</v>
      </c>
      <c r="BR49" s="31" t="n">
        <v>823776.13</v>
      </c>
      <c r="BS49" s="31" t="n">
        <v>40681.87</v>
      </c>
      <c r="BT49" s="31" t="n">
        <v>44357.18</v>
      </c>
      <c r="BU49" s="31" t="n">
        <v>322646.32</v>
      </c>
      <c r="BV49" s="31" t="n">
        <v>301538.62</v>
      </c>
      <c r="BW49" s="31" t="n">
        <v>54862.4</v>
      </c>
      <c r="BX49" s="31" t="n">
        <v>53409.66</v>
      </c>
      <c r="BY49" s="31" t="n">
        <v>241259.84</v>
      </c>
      <c r="BZ49" s="31" t="n">
        <v>3800753.48</v>
      </c>
      <c r="CA49" s="31" t="n">
        <v>91437.34</v>
      </c>
      <c r="CB49" s="31" t="n">
        <v>85455.46</v>
      </c>
      <c r="CC49" s="31" t="n">
        <v>84474.67</v>
      </c>
      <c r="CD49" s="31" t="n">
        <v>90461.59</v>
      </c>
      <c r="CE49" s="31" t="n">
        <v>25811.71</v>
      </c>
      <c r="CF49" s="31" t="n">
        <v>24123.09</v>
      </c>
      <c r="CG49" s="31" t="n">
        <f aca="false">SUM(CF49,CD49,CB49,BZ49,BX49,BV49,BT49,BR49,BP49,BN49,BL49,BJ49,BH49)</f>
        <v>5586755.71</v>
      </c>
      <c r="CH49" s="31" t="n">
        <f aca="false">CG49+BF49</f>
        <v>19732210.46</v>
      </c>
      <c r="CI49" s="31" t="n">
        <f aca="false">SUM(CE49,CC49,CA49,BY49,BW49,BU49,BS49,BQ49,BO49,BM49,BK49,BI49,BG49,BD49,BB49,AZ49,AX49,AV49,AT49,AR49,AP49,AN49)</f>
        <v>17474133.06</v>
      </c>
      <c r="CJ49" s="31" t="n">
        <f aca="false">CI49-CH49</f>
        <v>-2258077.4</v>
      </c>
      <c r="CK49" s="31" t="n">
        <f aca="false">IF(CE49-CF49+CC49-CD49+CA49-CB49+BU49-BV49+BK49-BL49+BI49-BJ49 &gt; 0, CE49-CF49+CC49-CD49+CA49-CB49+BU49-BV49+BK49-BL49+BI49-BJ49, "-")</f>
        <v>32939.12</v>
      </c>
      <c r="CL49" s="31" t="str">
        <f aca="false">IF(CJ49&lt;0,"⚠ Over Budget","✓ Within Budget")</f>
        <v>⚠ Over Budget</v>
      </c>
      <c r="CM49" s="33" t="s">
        <v>109</v>
      </c>
    </row>
    <row r="50" customFormat="false" ht="18.75" hidden="false" customHeight="true" outlineLevel="0" collapsed="false">
      <c r="A50" s="28" t="s">
        <v>105</v>
      </c>
      <c r="B50" s="28" t="n">
        <v>2025</v>
      </c>
      <c r="C50" s="28" t="n">
        <v>128</v>
      </c>
      <c r="D50" s="28" t="n">
        <v>0</v>
      </c>
      <c r="E50" s="28" t="n">
        <v>0</v>
      </c>
      <c r="F50" s="28" t="n">
        <v>0</v>
      </c>
      <c r="G50" s="28" t="n">
        <v>0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128</v>
      </c>
      <c r="T50" s="28" t="n">
        <v>21</v>
      </c>
      <c r="U50" s="28" t="n">
        <v>107</v>
      </c>
      <c r="V50" s="28" t="n">
        <v>122</v>
      </c>
      <c r="W50" s="28" t="n">
        <v>6</v>
      </c>
      <c r="X50" s="28" t="n">
        <v>38</v>
      </c>
      <c r="Y50" s="28" t="n">
        <v>42</v>
      </c>
      <c r="Z50" s="28" t="n">
        <v>28</v>
      </c>
      <c r="AA50" s="28" t="n">
        <v>13</v>
      </c>
      <c r="AB50" s="28" t="n">
        <v>4</v>
      </c>
      <c r="AC50" s="28" t="n">
        <v>3</v>
      </c>
      <c r="AD50" s="29" t="n">
        <v>0</v>
      </c>
      <c r="AE50" s="29" t="n">
        <v>0</v>
      </c>
      <c r="AF50" s="30" t="n">
        <v>60.1</v>
      </c>
      <c r="AG50" s="31" t="n">
        <v>484376</v>
      </c>
      <c r="AH50" s="31" t="n">
        <v>698072</v>
      </c>
      <c r="AI50" s="31" t="n">
        <v>1067605</v>
      </c>
      <c r="AJ50" s="31" t="n">
        <v>1682373</v>
      </c>
      <c r="AK50" s="31" t="n">
        <v>2734924</v>
      </c>
      <c r="AL50" s="31" t="n">
        <v>4382727</v>
      </c>
      <c r="AM50" s="31" t="n">
        <v>1226597.77</v>
      </c>
      <c r="AN50" s="31" t="n">
        <v>12796481.27</v>
      </c>
      <c r="AO50" s="31" t="n">
        <v>11959328.29</v>
      </c>
      <c r="AP50" s="31" t="n">
        <v>1279648.13</v>
      </c>
      <c r="AQ50" s="31" t="n">
        <v>1195932.83</v>
      </c>
      <c r="AR50" s="31" t="n">
        <v>5583919.1</v>
      </c>
      <c r="AS50" s="31" t="n">
        <v>4397755.72</v>
      </c>
      <c r="AT50" s="31" t="n">
        <v>639824.06</v>
      </c>
      <c r="AU50" s="31" t="n">
        <v>597966.41</v>
      </c>
      <c r="AV50" s="31" t="n">
        <v>132676.75</v>
      </c>
      <c r="AW50" s="31" t="n">
        <v>181566.98</v>
      </c>
      <c r="AX50" s="31" t="n">
        <v>97138.34</v>
      </c>
      <c r="AY50" s="31" t="n">
        <v>90783.49</v>
      </c>
      <c r="AZ50" s="31" t="n">
        <v>550611.39</v>
      </c>
      <c r="BA50" s="31" t="n">
        <v>351636.56</v>
      </c>
      <c r="BB50" s="31" t="n">
        <v>354.72</v>
      </c>
      <c r="BC50" s="31" t="n">
        <v>0</v>
      </c>
      <c r="BD50" s="31" t="n">
        <v>35155.17</v>
      </c>
      <c r="BE50" s="31" t="n">
        <v>61329.89</v>
      </c>
      <c r="BF50" s="31" t="n">
        <f aca="false">SUM(BE50,BC50,BA50,AY50,AW50,AU50,AS50,AQ50,AO50)</f>
        <v>18836300.17</v>
      </c>
      <c r="BG50" s="31" t="n">
        <v>16923.66</v>
      </c>
      <c r="BH50" s="31" t="n">
        <v>29655.94</v>
      </c>
      <c r="BI50" s="31" t="n">
        <v>89043.48</v>
      </c>
      <c r="BJ50" s="31" t="n">
        <v>83218.2</v>
      </c>
      <c r="BK50" s="31" t="n">
        <v>64758.89</v>
      </c>
      <c r="BL50" s="31" t="n">
        <v>60522.33</v>
      </c>
      <c r="BM50" s="31" t="n">
        <v>158659.28</v>
      </c>
      <c r="BN50" s="31" t="n">
        <v>148279.7</v>
      </c>
      <c r="BO50" s="31" t="n">
        <v>3773.83</v>
      </c>
      <c r="BP50" s="31" t="n">
        <v>0</v>
      </c>
      <c r="BQ50" s="31" t="n">
        <v>881440.46</v>
      </c>
      <c r="BR50" s="31" t="n">
        <v>823776.13</v>
      </c>
      <c r="BS50" s="31" t="n">
        <v>36161.66</v>
      </c>
      <c r="BT50" s="31" t="n">
        <v>44357.18</v>
      </c>
      <c r="BU50" s="31" t="n">
        <v>319912.03</v>
      </c>
      <c r="BV50" s="31" t="n">
        <v>298983.21</v>
      </c>
      <c r="BW50" s="31" t="n">
        <v>27198.73</v>
      </c>
      <c r="BX50" s="31" t="n">
        <v>52957.04</v>
      </c>
      <c r="BY50" s="31" t="n">
        <v>313922.68</v>
      </c>
      <c r="BZ50" s="31" t="n">
        <v>3421862.15</v>
      </c>
      <c r="CA50" s="31" t="n">
        <v>90662.45</v>
      </c>
      <c r="CB50" s="31" t="n">
        <v>84731.26</v>
      </c>
      <c r="CC50" s="31" t="n">
        <v>52349.24</v>
      </c>
      <c r="CD50" s="31" t="n">
        <v>2834114.58</v>
      </c>
      <c r="CE50" s="31" t="n">
        <v>25592.96</v>
      </c>
      <c r="CF50" s="31" t="n">
        <v>23918.66</v>
      </c>
      <c r="CG50" s="31" t="n">
        <f aca="false">SUM(CF50,CD50,CB50,BZ50,BX50,BV50,BT50,BR50,BP50,BN50,BL50,BJ50,BH50)</f>
        <v>7906376.38</v>
      </c>
      <c r="CH50" s="31" t="n">
        <f aca="false">CG50+BF50</f>
        <v>26742676.55</v>
      </c>
      <c r="CI50" s="31" t="n">
        <f aca="false">SUM(CE50,CC50,CA50,BY50,BW50,BU50,BS50,BQ50,BO50,BM50,BK50,BI50,BG50,BD50,BB50,AZ50,AX50,AV50,AT50,AR50,AP50,AN50)</f>
        <v>23196208.28</v>
      </c>
      <c r="CJ50" s="31" t="n">
        <f aca="false">CI50-CH50</f>
        <v>-3546468.27</v>
      </c>
      <c r="CK50" s="31" t="str">
        <f aca="false">IF(CE50-CF50+CC50-CD50+CA50-CB50+BU50-BV50+BK50-BL50+BI50-BJ50 &gt; 0, CE50-CF50+CC50-CD50+CA50-CB50+BU50-BV50+BK50-BL50+BI50-BJ50, "-")</f>
        <v>-</v>
      </c>
      <c r="CL50" s="31" t="str">
        <f aca="false">IF(CJ50&lt;0,"⚠ Over Budget","✓ Within Budget")</f>
        <v>⚠ Over Budget</v>
      </c>
      <c r="CM50" s="33" t="s">
        <v>118</v>
      </c>
    </row>
    <row r="51" customFormat="false" ht="14.25" hidden="false" customHeight="false" outlineLevel="0" collapsed="false">
      <c r="A51" s="16" t="s">
        <v>92</v>
      </c>
      <c r="B51" s="16" t="n">
        <v>2026</v>
      </c>
      <c r="C51" s="16" t="n">
        <v>128</v>
      </c>
      <c r="D51" s="16" t="n">
        <v>3</v>
      </c>
      <c r="E51" s="16" t="n">
        <v>2</v>
      </c>
      <c r="F51" s="16" t="n">
        <v>1</v>
      </c>
      <c r="G51" s="16" t="n">
        <v>0</v>
      </c>
      <c r="H51" s="16" t="n">
        <v>0</v>
      </c>
      <c r="I51" s="16" t="n">
        <v>1</v>
      </c>
      <c r="J51" s="16" t="n">
        <v>6</v>
      </c>
      <c r="K51" s="16" t="n">
        <v>1</v>
      </c>
      <c r="L51" s="16" t="n">
        <v>1</v>
      </c>
      <c r="M51" s="16" t="n">
        <v>0</v>
      </c>
      <c r="N51" s="16" t="n">
        <v>0</v>
      </c>
      <c r="O51" s="16" t="n">
        <v>0</v>
      </c>
      <c r="P51" s="16" t="n">
        <v>0</v>
      </c>
      <c r="Q51" s="16" t="n">
        <v>2</v>
      </c>
      <c r="R51" s="16" t="n">
        <v>1</v>
      </c>
      <c r="S51" s="16" t="n">
        <v>131</v>
      </c>
      <c r="T51" s="16" t="n">
        <v>21</v>
      </c>
      <c r="U51" s="16" t="n">
        <v>110</v>
      </c>
      <c r="V51" s="16" t="n">
        <v>124</v>
      </c>
      <c r="W51" s="16" t="n">
        <v>7</v>
      </c>
      <c r="X51" s="16" t="n">
        <v>39</v>
      </c>
      <c r="Y51" s="16" t="n">
        <v>43</v>
      </c>
      <c r="Z51" s="16" t="n">
        <v>29</v>
      </c>
      <c r="AA51" s="16" t="n">
        <v>13</v>
      </c>
      <c r="AB51" s="16" t="n">
        <v>4</v>
      </c>
      <c r="AC51" s="16" t="n">
        <v>3</v>
      </c>
      <c r="AD51" s="17" t="n">
        <v>0.1875</v>
      </c>
      <c r="AE51" s="17" t="n">
        <v>0</v>
      </c>
      <c r="AF51" s="18" t="n">
        <v>60.5</v>
      </c>
      <c r="AG51" s="19" t="n">
        <v>484376</v>
      </c>
      <c r="AH51" s="19" t="n">
        <v>698072</v>
      </c>
      <c r="AI51" s="19" t="n">
        <v>1067605</v>
      </c>
      <c r="AJ51" s="19" t="n">
        <v>1682373</v>
      </c>
      <c r="AK51" s="19" t="n">
        <v>2734924</v>
      </c>
      <c r="AL51" s="19" t="n">
        <v>4382727</v>
      </c>
      <c r="AM51" s="19" t="n">
        <v>1184872.83</v>
      </c>
      <c r="AN51" s="19" t="n">
        <v>12678139.24</v>
      </c>
      <c r="AO51" s="19" t="n">
        <v>11848728.26</v>
      </c>
      <c r="AP51" s="19" t="n">
        <v>1267813.92</v>
      </c>
      <c r="AQ51" s="19" t="n">
        <v>1184872.83</v>
      </c>
      <c r="AR51" s="19" t="n">
        <v>207460.46</v>
      </c>
      <c r="AS51" s="19" t="n">
        <v>710923.7</v>
      </c>
      <c r="AT51" s="19" t="n">
        <v>633906.96</v>
      </c>
      <c r="AU51" s="19" t="n">
        <v>592436.41</v>
      </c>
      <c r="AV51" s="19" t="n">
        <v>150228.29</v>
      </c>
      <c r="AW51" s="19" t="n">
        <v>179887.85</v>
      </c>
      <c r="AX51" s="19" t="n">
        <v>96240</v>
      </c>
      <c r="AY51" s="19" t="n">
        <v>89943.93</v>
      </c>
      <c r="AZ51" s="19" t="n">
        <v>30922.29</v>
      </c>
      <c r="BA51" s="19" t="n">
        <v>0</v>
      </c>
      <c r="BB51" s="19" t="n">
        <v>17132.62</v>
      </c>
      <c r="BC51" s="19" t="n">
        <v>49369.7</v>
      </c>
      <c r="BD51" s="19" t="n">
        <v>271.67</v>
      </c>
      <c r="BE51" s="19" t="n">
        <v>0</v>
      </c>
      <c r="BF51" s="19" t="n">
        <f aca="false">SUM(BE51,BC51,BA51,AY51,AW51,AU51,AS51,AQ51,AO51)</f>
        <v>14656162.68</v>
      </c>
      <c r="BG51" s="19" t="n">
        <v>11178.1</v>
      </c>
      <c r="BH51" s="19" t="n">
        <v>29381.68</v>
      </c>
      <c r="BI51" s="19" t="n">
        <v>88220</v>
      </c>
      <c r="BJ51" s="19" t="n">
        <v>82448.6</v>
      </c>
      <c r="BK51" s="19" t="n">
        <v>64160</v>
      </c>
      <c r="BL51" s="19" t="n">
        <v>59962.62</v>
      </c>
      <c r="BM51" s="19" t="n">
        <v>157192</v>
      </c>
      <c r="BN51" s="19" t="n">
        <v>146908.41</v>
      </c>
      <c r="BO51" s="19" t="n">
        <v>127590.91</v>
      </c>
      <c r="BP51" s="19" t="n">
        <v>218613.71</v>
      </c>
      <c r="BQ51" s="19" t="n">
        <v>877521.67</v>
      </c>
      <c r="BR51" s="19" t="n">
        <v>820113.71</v>
      </c>
      <c r="BS51" s="19" t="n">
        <v>40501</v>
      </c>
      <c r="BT51" s="19" t="n">
        <v>44159.97</v>
      </c>
      <c r="BU51" s="19" t="n">
        <v>316953.48</v>
      </c>
      <c r="BV51" s="19" t="n">
        <v>296218.21</v>
      </c>
      <c r="BW51" s="19" t="n">
        <v>26947.2</v>
      </c>
      <c r="BX51" s="19" t="n">
        <v>52467.29</v>
      </c>
      <c r="BY51" s="19" t="n">
        <v>28515.56</v>
      </c>
      <c r="BZ51" s="19" t="n">
        <v>59962.62</v>
      </c>
      <c r="CA51" s="19" t="n">
        <v>89824</v>
      </c>
      <c r="CB51" s="19" t="n">
        <v>83947.66</v>
      </c>
      <c r="CC51" s="19" t="n">
        <v>51865.12</v>
      </c>
      <c r="CD51" s="19" t="n">
        <v>88865.46</v>
      </c>
      <c r="CE51" s="19" t="n">
        <v>25356.28</v>
      </c>
      <c r="CF51" s="19" t="n">
        <v>23697.46</v>
      </c>
      <c r="CG51" s="19" t="n">
        <f aca="false">SUM(CF51,CD51,CB51,BZ51,BX51,BV51,BT51,BR51,BP51,BN51,BL51,BJ51,BH51)</f>
        <v>2006747.4</v>
      </c>
      <c r="CH51" s="19" t="n">
        <f aca="false">CG51+BF51</f>
        <v>16662910.08</v>
      </c>
      <c r="CI51" s="19" t="n">
        <f aca="false">SUM(CE51,CC51,CA51,BY51,BW51,BU51,BS51,BQ51,BO51,BM51,BK51,BI51,BG51,BD51,BB51,AZ51,AX51,AV51,AT51,AR51,AP51,AN51)</f>
        <v>16987940.77</v>
      </c>
      <c r="CJ51" s="19" t="n">
        <f aca="false">CI51-CH51</f>
        <v>325030.69</v>
      </c>
      <c r="CK51" s="19" t="n">
        <f aca="false">IF(CE51-CF51+CC51-CD51+CA51-CB51+BU51-BV51+BK51-BL51+BI51-BJ51 &gt; 0, CE51-CF51+CC51-CD51+CA51-CB51+BU51-BV51+BK51-BL51+BI51-BJ51, "-")</f>
        <v>1238.86999999997</v>
      </c>
      <c r="CL51" s="19" t="str">
        <f aca="false">IF(CJ51&lt;0,"⚠ Over Budget","✓ Within Budget")</f>
        <v>✓ Within Budget</v>
      </c>
      <c r="CM51" s="21"/>
    </row>
    <row r="52" customFormat="false" ht="14.25" hidden="false" customHeight="false" outlineLevel="0" collapsed="false">
      <c r="A52" s="22" t="s">
        <v>93</v>
      </c>
      <c r="B52" s="22" t="n">
        <v>2026</v>
      </c>
      <c r="C52" s="22" t="n">
        <v>131</v>
      </c>
      <c r="D52" s="22" t="n">
        <v>2</v>
      </c>
      <c r="E52" s="22" t="n">
        <v>2</v>
      </c>
      <c r="F52" s="22" t="n">
        <v>1</v>
      </c>
      <c r="G52" s="22" t="n">
        <v>0</v>
      </c>
      <c r="H52" s="22" t="n">
        <v>0</v>
      </c>
      <c r="I52" s="22" t="n">
        <v>0</v>
      </c>
      <c r="J52" s="22" t="n">
        <v>5</v>
      </c>
      <c r="K52" s="22" t="n">
        <v>1</v>
      </c>
      <c r="L52" s="22" t="n">
        <v>1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2</v>
      </c>
      <c r="R52" s="22" t="n">
        <v>0</v>
      </c>
      <c r="S52" s="22" t="n">
        <v>134</v>
      </c>
      <c r="T52" s="22" t="n">
        <v>22</v>
      </c>
      <c r="U52" s="22" t="n">
        <v>112</v>
      </c>
      <c r="V52" s="22" t="n">
        <v>127</v>
      </c>
      <c r="W52" s="22" t="n">
        <v>7</v>
      </c>
      <c r="X52" s="22" t="n">
        <v>40</v>
      </c>
      <c r="Y52" s="22" t="n">
        <v>44</v>
      </c>
      <c r="Z52" s="22" t="n">
        <v>29</v>
      </c>
      <c r="AA52" s="22" t="n">
        <v>13</v>
      </c>
      <c r="AB52" s="22" t="n">
        <v>4</v>
      </c>
      <c r="AC52" s="22" t="n">
        <v>4</v>
      </c>
      <c r="AD52" s="23" t="n">
        <v>0.183206</v>
      </c>
      <c r="AE52" s="23" t="n">
        <v>0</v>
      </c>
      <c r="AF52" s="24" t="n">
        <v>60.8</v>
      </c>
      <c r="AG52" s="25" t="n">
        <v>484376</v>
      </c>
      <c r="AH52" s="25" t="n">
        <v>698072</v>
      </c>
      <c r="AI52" s="25" t="n">
        <v>1067605</v>
      </c>
      <c r="AJ52" s="25" t="n">
        <v>1682373</v>
      </c>
      <c r="AK52" s="25" t="n">
        <v>2734924</v>
      </c>
      <c r="AL52" s="25" t="n">
        <v>4382727</v>
      </c>
      <c r="AM52" s="25" t="n">
        <v>1184872.83</v>
      </c>
      <c r="AN52" s="25" t="n">
        <v>13100743.88</v>
      </c>
      <c r="AO52" s="25" t="n">
        <v>12243685.87</v>
      </c>
      <c r="AP52" s="25" t="n">
        <v>1310074.39</v>
      </c>
      <c r="AQ52" s="25" t="n">
        <v>1224368.59</v>
      </c>
      <c r="AR52" s="25" t="n">
        <v>35729.3</v>
      </c>
      <c r="AS52" s="25" t="n">
        <v>0</v>
      </c>
      <c r="AT52" s="25" t="n">
        <v>655037.19</v>
      </c>
      <c r="AU52" s="25" t="n">
        <v>612184.29</v>
      </c>
      <c r="AV52" s="25" t="n">
        <v>155235.9</v>
      </c>
      <c r="AW52" s="25" t="n">
        <v>185884.11</v>
      </c>
      <c r="AX52" s="25" t="n">
        <v>99448</v>
      </c>
      <c r="AY52" s="25" t="n">
        <v>92942.06</v>
      </c>
      <c r="AZ52" s="25" t="n">
        <v>31953.03</v>
      </c>
      <c r="BA52" s="25" t="n">
        <v>0</v>
      </c>
      <c r="BB52" s="25" t="n">
        <v>41118.29</v>
      </c>
      <c r="BC52" s="25" t="n">
        <v>39495.76</v>
      </c>
      <c r="BD52" s="25" t="n">
        <v>339.59</v>
      </c>
      <c r="BE52" s="25" t="n">
        <v>0</v>
      </c>
      <c r="BF52" s="25" t="n">
        <f aca="false">SUM(BE52,BC52,BA52,AY52,AW52,AU52,AS52,AQ52,AO52)</f>
        <v>14398560.68</v>
      </c>
      <c r="BG52" s="25" t="n">
        <v>11550.7</v>
      </c>
      <c r="BH52" s="25" t="n">
        <v>30361.07</v>
      </c>
      <c r="BI52" s="25" t="n">
        <v>91160.67</v>
      </c>
      <c r="BJ52" s="25" t="n">
        <v>85196.88</v>
      </c>
      <c r="BK52" s="25" t="n">
        <v>66298.67</v>
      </c>
      <c r="BL52" s="25" t="n">
        <v>61961.37</v>
      </c>
      <c r="BM52" s="25" t="n">
        <v>162431.73</v>
      </c>
      <c r="BN52" s="25" t="n">
        <v>151805.36</v>
      </c>
      <c r="BO52" s="25" t="n">
        <v>102072.73</v>
      </c>
      <c r="BP52" s="25" t="n">
        <v>174890.97</v>
      </c>
      <c r="BQ52" s="25" t="n">
        <v>903586.67</v>
      </c>
      <c r="BR52" s="25" t="n">
        <v>844473.52</v>
      </c>
      <c r="BS52" s="25" t="n">
        <v>41704</v>
      </c>
      <c r="BT52" s="25" t="n">
        <v>45471.65</v>
      </c>
      <c r="BU52" s="25" t="n">
        <v>327518.6</v>
      </c>
      <c r="BV52" s="25" t="n">
        <v>306092.15</v>
      </c>
      <c r="BW52" s="25" t="n">
        <v>27845.44</v>
      </c>
      <c r="BX52" s="25" t="n">
        <v>54216.2</v>
      </c>
      <c r="BY52" s="25" t="n">
        <v>29466.07</v>
      </c>
      <c r="BZ52" s="25" t="n">
        <v>61961.37</v>
      </c>
      <c r="CA52" s="25" t="n">
        <v>92818.13</v>
      </c>
      <c r="CB52" s="25" t="n">
        <v>86745.92</v>
      </c>
      <c r="CC52" s="25" t="n">
        <v>53593.95</v>
      </c>
      <c r="CD52" s="25" t="n">
        <v>91827.64</v>
      </c>
      <c r="CE52" s="25" t="n">
        <v>26201.49</v>
      </c>
      <c r="CF52" s="25" t="n">
        <v>24487.37</v>
      </c>
      <c r="CG52" s="25" t="n">
        <f aca="false">SUM(CF52,CD52,CB52,BZ52,BX52,BV52,BT52,BR52,BP52,BN52,BL52,BJ52,BH52)</f>
        <v>2019491.47</v>
      </c>
      <c r="CH52" s="25" t="n">
        <f aca="false">CG52+BF52</f>
        <v>16418052.15</v>
      </c>
      <c r="CI52" s="25" t="n">
        <f aca="false">SUM(CE52,CC52,CA52,BY52,BW52,BU52,BS52,BQ52,BO52,BM52,BK52,BI52,BG52,BD52,BB52,AZ52,AX52,AV52,AT52,AR52,AP52,AN52)</f>
        <v>17365928.42</v>
      </c>
      <c r="CJ52" s="25" t="n">
        <f aca="false">CI52-CH52</f>
        <v>947876.270000001</v>
      </c>
      <c r="CK52" s="25" t="n">
        <f aca="false">IF(CE52-CF52+CC52-CD52+CA52-CB52+BU52-BV52+BK52-BL52+BI52-BJ52 &gt; 0, CE52-CF52+CC52-CD52+CA52-CB52+BU52-BV52+BK52-BL52+BI52-BJ52, "-")</f>
        <v>1280.17999999996</v>
      </c>
      <c r="CL52" s="25" t="str">
        <f aca="false">IF(CJ52&lt;0,"⚠ Over Budget","✓ Within Budget")</f>
        <v>✓ Within Budget</v>
      </c>
      <c r="CM52" s="27"/>
    </row>
    <row r="53" customFormat="false" ht="18.75" hidden="false" customHeight="true" outlineLevel="0" collapsed="false">
      <c r="A53" s="28" t="s">
        <v>94</v>
      </c>
      <c r="B53" s="28" t="n">
        <v>2026</v>
      </c>
      <c r="C53" s="28" t="n">
        <v>134</v>
      </c>
      <c r="D53" s="28" t="n">
        <v>2</v>
      </c>
      <c r="E53" s="28" t="n">
        <v>1</v>
      </c>
      <c r="F53" s="28" t="n">
        <v>1</v>
      </c>
      <c r="G53" s="28" t="n">
        <v>0</v>
      </c>
      <c r="H53" s="28" t="n">
        <v>0</v>
      </c>
      <c r="I53" s="28" t="n">
        <v>0</v>
      </c>
      <c r="J53" s="28" t="n">
        <v>4</v>
      </c>
      <c r="K53" s="28" t="n">
        <v>1</v>
      </c>
      <c r="L53" s="28" t="n">
        <v>0</v>
      </c>
      <c r="M53" s="28" t="n">
        <v>0</v>
      </c>
      <c r="N53" s="28" t="n">
        <v>0</v>
      </c>
      <c r="O53" s="28" t="n">
        <v>0</v>
      </c>
      <c r="P53" s="28" t="n">
        <v>1</v>
      </c>
      <c r="Q53" s="28" t="n">
        <v>1</v>
      </c>
      <c r="R53" s="28" t="n">
        <v>0</v>
      </c>
      <c r="S53" s="28" t="n">
        <v>137</v>
      </c>
      <c r="T53" s="28" t="n">
        <v>22</v>
      </c>
      <c r="U53" s="28" t="n">
        <v>115</v>
      </c>
      <c r="V53" s="28" t="n">
        <v>130</v>
      </c>
      <c r="W53" s="28" t="n">
        <v>7</v>
      </c>
      <c r="X53" s="28" t="n">
        <v>41</v>
      </c>
      <c r="Y53" s="28" t="n">
        <v>45</v>
      </c>
      <c r="Z53" s="28" t="n">
        <v>30</v>
      </c>
      <c r="AA53" s="28" t="n">
        <v>14</v>
      </c>
      <c r="AB53" s="28" t="n">
        <v>4</v>
      </c>
      <c r="AC53" s="28" t="n">
        <v>3</v>
      </c>
      <c r="AD53" s="29" t="n">
        <v>0.089552</v>
      </c>
      <c r="AE53" s="29" t="n">
        <v>0</v>
      </c>
      <c r="AF53" s="30" t="n">
        <v>61.2</v>
      </c>
      <c r="AG53" s="31" t="n">
        <v>484376</v>
      </c>
      <c r="AH53" s="31" t="n">
        <v>698072</v>
      </c>
      <c r="AI53" s="31" t="n">
        <v>1067605</v>
      </c>
      <c r="AJ53" s="31" t="n">
        <v>1682373</v>
      </c>
      <c r="AK53" s="31" t="n">
        <v>2734924</v>
      </c>
      <c r="AL53" s="31" t="n">
        <v>4382727</v>
      </c>
      <c r="AM53" s="31" t="n">
        <v>1184872.83</v>
      </c>
      <c r="AN53" s="31" t="n">
        <v>13523348.52</v>
      </c>
      <c r="AO53" s="31" t="n">
        <v>14662430.44</v>
      </c>
      <c r="AP53" s="31" t="n">
        <v>1352334.85</v>
      </c>
      <c r="AQ53" s="31" t="n">
        <v>1263864.35</v>
      </c>
      <c r="AR53" s="31" t="n">
        <v>61469.77</v>
      </c>
      <c r="AS53" s="31" t="n">
        <v>2023786.96</v>
      </c>
      <c r="AT53" s="31" t="n">
        <v>676167.43</v>
      </c>
      <c r="AU53" s="31" t="n">
        <v>631932.17</v>
      </c>
      <c r="AV53" s="31" t="n">
        <v>150228.29</v>
      </c>
      <c r="AW53" s="31" t="n">
        <v>143910.28</v>
      </c>
      <c r="AX53" s="31" t="n">
        <v>102656</v>
      </c>
      <c r="AY53" s="31" t="n">
        <v>95940.19</v>
      </c>
      <c r="AZ53" s="31" t="n">
        <v>501065.14</v>
      </c>
      <c r="BA53" s="31" t="n">
        <v>299995.19</v>
      </c>
      <c r="BB53" s="31" t="n">
        <v>119928.34</v>
      </c>
      <c r="BC53" s="31" t="n">
        <v>69117.58</v>
      </c>
      <c r="BD53" s="31" t="n">
        <v>203755.81</v>
      </c>
      <c r="BE53" s="31" t="n">
        <v>118487.28</v>
      </c>
      <c r="BF53" s="31" t="n">
        <f aca="false">SUM(BE53,BC53,BA53,AY53,AW53,AU53,AS53,AQ53,AO53)</f>
        <v>19309464.44</v>
      </c>
      <c r="BG53" s="31" t="n">
        <v>11923.3</v>
      </c>
      <c r="BH53" s="31" t="n">
        <v>31340.46</v>
      </c>
      <c r="BI53" s="31" t="n">
        <v>94101.33</v>
      </c>
      <c r="BJ53" s="31" t="n">
        <v>87945.17</v>
      </c>
      <c r="BK53" s="31" t="n">
        <v>68437.33</v>
      </c>
      <c r="BL53" s="31" t="n">
        <v>63960.12</v>
      </c>
      <c r="BM53" s="31" t="n">
        <v>167671.47</v>
      </c>
      <c r="BN53" s="31" t="n">
        <v>156702.31</v>
      </c>
      <c r="BO53" s="31" t="n">
        <v>178627.27</v>
      </c>
      <c r="BP53" s="31" t="n">
        <v>306059.19</v>
      </c>
      <c r="BQ53" s="31" t="n">
        <v>929651.67</v>
      </c>
      <c r="BR53" s="31" t="n">
        <v>868833.33</v>
      </c>
      <c r="BS53" s="31" t="n">
        <v>47674.44</v>
      </c>
      <c r="BT53" s="31" t="n">
        <v>46783.33</v>
      </c>
      <c r="BU53" s="31" t="n">
        <v>338083.71</v>
      </c>
      <c r="BV53" s="31" t="n">
        <v>315966.09</v>
      </c>
      <c r="BW53" s="31" t="n">
        <v>28743.68</v>
      </c>
      <c r="BX53" s="31" t="n">
        <v>55965.11</v>
      </c>
      <c r="BY53" s="31" t="n">
        <v>202140.26</v>
      </c>
      <c r="BZ53" s="31" t="n">
        <v>177108.87</v>
      </c>
      <c r="CA53" s="31" t="n">
        <v>95812.27</v>
      </c>
      <c r="CB53" s="31" t="n">
        <v>89544.17</v>
      </c>
      <c r="CC53" s="31" t="n">
        <v>705647.82</v>
      </c>
      <c r="CD53" s="31" t="n">
        <v>2940193.4</v>
      </c>
      <c r="CE53" s="31" t="n">
        <v>27046.7</v>
      </c>
      <c r="CF53" s="31" t="n">
        <v>25277.29</v>
      </c>
      <c r="CG53" s="31" t="n">
        <f aca="false">SUM(CF53,CD53,CB53,BZ53,BX53,BV53,BT53,BR53,BP53,BN53,BL53,BJ53,BH53)</f>
        <v>5165678.84</v>
      </c>
      <c r="CH53" s="31" t="n">
        <f aca="false">CG53+BF53</f>
        <v>24475143.28</v>
      </c>
      <c r="CI53" s="31" t="n">
        <f aca="false">SUM(CE53,CC53,CA53,BY53,BW53,BU53,BS53,BQ53,BO53,BM53,BK53,BI53,BG53,BD53,BB53,AZ53,AX53,AV53,AT53,AR53,AP53,AN53)</f>
        <v>19586515.4</v>
      </c>
      <c r="CJ53" s="31" t="n">
        <f aca="false">CI53-CH53</f>
        <v>-4888627.88</v>
      </c>
      <c r="CK53" s="31" t="str">
        <f aca="false">IF(CE53-CF53+CC53-CD53+CA53-CB53+BU53-BV53+BK53-BL53+BI53-BJ53 &gt; 0, CE53-CF53+CC53-CD53+CA53-CB53+BU53-BV53+BK53-BL53+BI53-BJ53, "-")</f>
        <v>-</v>
      </c>
      <c r="CL53" s="31" t="str">
        <f aca="false">IF(CJ53&lt;0,"⚠ Over Budget","✓ Within Budget")</f>
        <v>⚠ Over Budget</v>
      </c>
      <c r="CM53" s="33" t="s">
        <v>112</v>
      </c>
    </row>
    <row r="54" customFormat="false" ht="14.25" hidden="false" customHeight="false" outlineLevel="0" collapsed="false">
      <c r="A54" s="22" t="s">
        <v>96</v>
      </c>
      <c r="B54" s="22" t="n">
        <v>2026</v>
      </c>
      <c r="C54" s="22" t="n">
        <v>137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137</v>
      </c>
      <c r="T54" s="22" t="n">
        <v>22</v>
      </c>
      <c r="U54" s="22" t="n">
        <v>115</v>
      </c>
      <c r="V54" s="22" t="n">
        <v>130</v>
      </c>
      <c r="W54" s="22" t="n">
        <v>7</v>
      </c>
      <c r="X54" s="22" t="n">
        <v>41</v>
      </c>
      <c r="Y54" s="22" t="n">
        <v>45</v>
      </c>
      <c r="Z54" s="22" t="n">
        <v>30</v>
      </c>
      <c r="AA54" s="22" t="n">
        <v>14</v>
      </c>
      <c r="AB54" s="22" t="n">
        <v>4</v>
      </c>
      <c r="AC54" s="22" t="n">
        <v>3</v>
      </c>
      <c r="AD54" s="23" t="n">
        <v>0</v>
      </c>
      <c r="AE54" s="23" t="n">
        <v>0.103509746537641</v>
      </c>
      <c r="AF54" s="24" t="n">
        <v>61.5</v>
      </c>
      <c r="AG54" s="25" t="n">
        <v>543450</v>
      </c>
      <c r="AH54" s="25" t="n">
        <v>770672</v>
      </c>
      <c r="AI54" s="25" t="n">
        <v>1165012</v>
      </c>
      <c r="AJ54" s="25" t="n">
        <v>1827675</v>
      </c>
      <c r="AK54" s="25" t="n">
        <v>2944033</v>
      </c>
      <c r="AL54" s="25" t="n">
        <v>4733022</v>
      </c>
      <c r="AM54" s="25" t="n">
        <v>1298450.9</v>
      </c>
      <c r="AN54" s="25" t="n">
        <v>14819652.99</v>
      </c>
      <c r="AO54" s="25" t="n">
        <v>13850142.98</v>
      </c>
      <c r="AP54" s="25" t="n">
        <v>1481965.3</v>
      </c>
      <c r="AQ54" s="25" t="n">
        <v>1385014.3</v>
      </c>
      <c r="AR54" s="25" t="n">
        <v>754455.06</v>
      </c>
      <c r="AS54" s="25" t="n">
        <v>969510.01</v>
      </c>
      <c r="AT54" s="25" t="n">
        <v>740982.65</v>
      </c>
      <c r="AU54" s="25" t="n">
        <v>692507.15</v>
      </c>
      <c r="AV54" s="25" t="n">
        <v>180273.95</v>
      </c>
      <c r="AW54" s="25" t="n">
        <v>143910.28</v>
      </c>
      <c r="AX54" s="25" t="n">
        <v>102656</v>
      </c>
      <c r="AY54" s="25" t="n">
        <v>95940.19</v>
      </c>
      <c r="AZ54" s="25" t="n">
        <v>637663.16</v>
      </c>
      <c r="BA54" s="25" t="n">
        <v>305422.77</v>
      </c>
      <c r="BB54" s="25" t="n">
        <v>1877.49</v>
      </c>
      <c r="BC54" s="25" t="n">
        <v>0</v>
      </c>
      <c r="BD54" s="25" t="n">
        <v>124.05</v>
      </c>
      <c r="BE54" s="25" t="n">
        <v>0</v>
      </c>
      <c r="BF54" s="25" t="n">
        <f aca="false">SUM(BE54,BC54,BA54,AY54,AW54,AU54,AS54,AQ54,AO54)</f>
        <v>17442447.68</v>
      </c>
      <c r="BG54" s="25" t="n">
        <v>206102.83</v>
      </c>
      <c r="BH54" s="25" t="n">
        <v>98498.59</v>
      </c>
      <c r="BI54" s="25" t="n">
        <v>94101.33</v>
      </c>
      <c r="BJ54" s="25" t="n">
        <v>87945.17</v>
      </c>
      <c r="BK54" s="25" t="n">
        <v>68437.33</v>
      </c>
      <c r="BL54" s="25" t="n">
        <v>63960.12</v>
      </c>
      <c r="BM54" s="25" t="n">
        <v>167671.47</v>
      </c>
      <c r="BN54" s="25" t="n">
        <v>156702.31</v>
      </c>
      <c r="BO54" s="25" t="n">
        <v>18227.27</v>
      </c>
      <c r="BP54" s="25" t="n">
        <v>0</v>
      </c>
      <c r="BQ54" s="25" t="n">
        <v>929651.67</v>
      </c>
      <c r="BR54" s="25" t="n">
        <v>868833.33</v>
      </c>
      <c r="BS54" s="25" t="n">
        <v>47674.44</v>
      </c>
      <c r="BT54" s="25" t="n">
        <v>46783.33</v>
      </c>
      <c r="BU54" s="25" t="n">
        <v>370491.32</v>
      </c>
      <c r="BV54" s="25" t="n">
        <v>346253.57</v>
      </c>
      <c r="BW54" s="25" t="n">
        <v>114974.72</v>
      </c>
      <c r="BX54" s="25" t="n">
        <v>55965.11</v>
      </c>
      <c r="BY54" s="25" t="n">
        <v>30416.59</v>
      </c>
      <c r="BZ54" s="25" t="n">
        <v>63960.12</v>
      </c>
      <c r="CA54" s="25" t="n">
        <v>95812.27</v>
      </c>
      <c r="CB54" s="25" t="n">
        <v>89544.17</v>
      </c>
      <c r="CC54" s="25" t="n">
        <v>755361.71</v>
      </c>
      <c r="CD54" s="25" t="n">
        <v>258846.69</v>
      </c>
      <c r="CE54" s="25" t="n">
        <v>29639.31</v>
      </c>
      <c r="CF54" s="25" t="n">
        <v>27700.29</v>
      </c>
      <c r="CG54" s="25" t="n">
        <f aca="false">SUM(CF54,CD54,CB54,BZ54,BX54,BV54,BT54,BR54,BP54,BN54,BL54,BJ54,BH54)</f>
        <v>2164992.8</v>
      </c>
      <c r="CH54" s="25" t="n">
        <f aca="false">CG54+BF54</f>
        <v>19607440.48</v>
      </c>
      <c r="CI54" s="25" t="n">
        <f aca="false">SUM(CE54,CC54,CA54,BY54,BW54,BU54,BS54,BQ54,BO54,BM54,BK54,BI54,BG54,BD54,BB54,AZ54,AX54,AV54,AT54,AR54,AP54,AN54)</f>
        <v>21648212.91</v>
      </c>
      <c r="CJ54" s="25" t="n">
        <f aca="false">CI54-CH54</f>
        <v>2040772.43</v>
      </c>
      <c r="CK54" s="25" t="n">
        <f aca="false">IF(CE54-CF54+CC54-CD54+CA54-CB54+BU54-BV54+BK54-BL54+BI54-BJ54 &gt; 0, CE54-CF54+CC54-CD54+CA54-CB54+BU54-BV54+BK54-BL54+BI54-BJ54, "-")</f>
        <v>539593.26</v>
      </c>
      <c r="CL54" s="25" t="str">
        <f aca="false">IF(CJ54&lt;0,"⚠ Over Budget","✓ Within Budget")</f>
        <v>✓ Within Budget</v>
      </c>
      <c r="CM54" s="27"/>
    </row>
    <row r="55" customFormat="false" ht="14.25" hidden="false" customHeight="false" outlineLevel="0" collapsed="false">
      <c r="A55" s="16" t="s">
        <v>98</v>
      </c>
      <c r="B55" s="16" t="n">
        <v>2026</v>
      </c>
      <c r="C55" s="16" t="n">
        <v>137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137</v>
      </c>
      <c r="T55" s="16" t="n">
        <v>22</v>
      </c>
      <c r="U55" s="16" t="n">
        <v>115</v>
      </c>
      <c r="V55" s="16" t="n">
        <v>130</v>
      </c>
      <c r="W55" s="16" t="n">
        <v>7</v>
      </c>
      <c r="X55" s="16" t="n">
        <v>41</v>
      </c>
      <c r="Y55" s="16" t="n">
        <v>45</v>
      </c>
      <c r="Z55" s="16" t="n">
        <v>30</v>
      </c>
      <c r="AA55" s="16" t="n">
        <v>14</v>
      </c>
      <c r="AB55" s="16" t="n">
        <v>4</v>
      </c>
      <c r="AC55" s="16" t="n">
        <v>3</v>
      </c>
      <c r="AD55" s="17" t="n">
        <v>0</v>
      </c>
      <c r="AE55" s="17" t="n">
        <v>0</v>
      </c>
      <c r="AF55" s="18" t="n">
        <v>61.8</v>
      </c>
      <c r="AG55" s="19" t="n">
        <v>543450</v>
      </c>
      <c r="AH55" s="19" t="n">
        <v>770672</v>
      </c>
      <c r="AI55" s="19" t="n">
        <v>1165012</v>
      </c>
      <c r="AJ55" s="19" t="n">
        <v>1827675</v>
      </c>
      <c r="AK55" s="19" t="n">
        <v>2944033</v>
      </c>
      <c r="AL55" s="19" t="n">
        <v>4733022</v>
      </c>
      <c r="AM55" s="19" t="n">
        <v>1298450.9</v>
      </c>
      <c r="AN55" s="19" t="n">
        <v>14819652.99</v>
      </c>
      <c r="AO55" s="19" t="n">
        <v>13850142.98</v>
      </c>
      <c r="AP55" s="19" t="n">
        <v>1481965.3</v>
      </c>
      <c r="AQ55" s="19" t="n">
        <v>1385014.3</v>
      </c>
      <c r="AR55" s="19" t="n">
        <v>53889.65</v>
      </c>
      <c r="AS55" s="19" t="n">
        <v>0</v>
      </c>
      <c r="AT55" s="19" t="n">
        <v>740982.65</v>
      </c>
      <c r="AU55" s="19" t="n">
        <v>692507.15</v>
      </c>
      <c r="AV55" s="19" t="n">
        <v>195296.78</v>
      </c>
      <c r="AW55" s="19" t="n">
        <v>143910.28</v>
      </c>
      <c r="AX55" s="19" t="n">
        <v>102656</v>
      </c>
      <c r="AY55" s="19" t="n">
        <v>95940.19</v>
      </c>
      <c r="AZ55" s="19" t="n">
        <v>43374.59</v>
      </c>
      <c r="BA55" s="19" t="n">
        <v>0</v>
      </c>
      <c r="BB55" s="19" t="n">
        <v>751</v>
      </c>
      <c r="BC55" s="19" t="n">
        <v>0</v>
      </c>
      <c r="BD55" s="19" t="n">
        <v>124.05</v>
      </c>
      <c r="BE55" s="19" t="n">
        <v>0</v>
      </c>
      <c r="BF55" s="19" t="n">
        <f aca="false">SUM(BE55,BC55,BA55,AY55,AW55,AU55,AS55,AQ55,AO55)</f>
        <v>16167514.9</v>
      </c>
      <c r="BG55" s="19" t="n">
        <v>137969.66</v>
      </c>
      <c r="BH55" s="19" t="n">
        <v>80589.76</v>
      </c>
      <c r="BI55" s="19" t="n">
        <v>94101.33</v>
      </c>
      <c r="BJ55" s="19" t="n">
        <v>87945.17</v>
      </c>
      <c r="BK55" s="19" t="n">
        <v>68437.33</v>
      </c>
      <c r="BL55" s="19" t="n">
        <v>63960.12</v>
      </c>
      <c r="BM55" s="19" t="n">
        <v>167671.47</v>
      </c>
      <c r="BN55" s="19" t="n">
        <v>156702.31</v>
      </c>
      <c r="BO55" s="19" t="n">
        <v>7290.91</v>
      </c>
      <c r="BP55" s="19" t="n">
        <v>0</v>
      </c>
      <c r="BQ55" s="19" t="n">
        <v>929651.67</v>
      </c>
      <c r="BR55" s="19" t="n">
        <v>868833.33</v>
      </c>
      <c r="BS55" s="19" t="n">
        <v>52441.89</v>
      </c>
      <c r="BT55" s="19" t="n">
        <v>46783.33</v>
      </c>
      <c r="BU55" s="19" t="n">
        <v>370491.32</v>
      </c>
      <c r="BV55" s="19" t="n">
        <v>346253.57</v>
      </c>
      <c r="BW55" s="19" t="n">
        <v>86231.04</v>
      </c>
      <c r="BX55" s="19" t="n">
        <v>55965.11</v>
      </c>
      <c r="BY55" s="19" t="n">
        <v>30416.59</v>
      </c>
      <c r="BZ55" s="19" t="n">
        <v>63960.12</v>
      </c>
      <c r="CA55" s="19" t="n">
        <v>95812.27</v>
      </c>
      <c r="CB55" s="19" t="n">
        <v>89544.17</v>
      </c>
      <c r="CC55" s="19" t="n">
        <v>97001.37</v>
      </c>
      <c r="CD55" s="19" t="n">
        <v>103876.07</v>
      </c>
      <c r="CE55" s="19" t="n">
        <v>29639.31</v>
      </c>
      <c r="CF55" s="19" t="n">
        <v>27700.29</v>
      </c>
      <c r="CG55" s="19" t="n">
        <f aca="false">SUM(CF55,CD55,CB55,BZ55,BX55,BV55,BT55,BR55,BP55,BN55,BL55,BJ55,BH55)</f>
        <v>1992113.35</v>
      </c>
      <c r="CH55" s="19" t="n">
        <f aca="false">CG55+BF55</f>
        <v>18159628.25</v>
      </c>
      <c r="CI55" s="19" t="n">
        <f aca="false">SUM(CE55,CC55,CA55,BY55,BW55,BU55,BS55,BQ55,BO55,BM55,BK55,BI55,BG55,BD55,BB55,AZ55,AX55,AV55,AT55,AR55,AP55,AN55)</f>
        <v>19605849.17</v>
      </c>
      <c r="CJ55" s="19" t="n">
        <f aca="false">CI55-CH55</f>
        <v>1446220.92</v>
      </c>
      <c r="CK55" s="19" t="n">
        <f aca="false">IF(CE55-CF55+CC55-CD55+CA55-CB55+BU55-BV55+BK55-BL55+BI55-BJ55 &gt; 0, CE55-CF55+CC55-CD55+CA55-CB55+BU55-BV55+BK55-BL55+BI55-BJ55, "-")</f>
        <v>36203.54</v>
      </c>
      <c r="CL55" s="19" t="str">
        <f aca="false">IF(CJ55&lt;0,"⚠ Over Budget","✓ Within Budget")</f>
        <v>✓ Within Budget</v>
      </c>
      <c r="CM55" s="21"/>
    </row>
    <row r="56" customFormat="false" ht="14.25" hidden="false" customHeight="false" outlineLevel="0" collapsed="false">
      <c r="A56" s="22" t="s">
        <v>99</v>
      </c>
      <c r="B56" s="22" t="n">
        <v>2026</v>
      </c>
      <c r="C56" s="22" t="n">
        <v>137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1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1</v>
      </c>
      <c r="Q56" s="22" t="n">
        <v>1</v>
      </c>
      <c r="R56" s="22" t="n">
        <v>0</v>
      </c>
      <c r="S56" s="22" t="n">
        <v>136</v>
      </c>
      <c r="T56" s="22" t="n">
        <v>24</v>
      </c>
      <c r="U56" s="22" t="n">
        <v>112</v>
      </c>
      <c r="V56" s="22" t="n">
        <v>129</v>
      </c>
      <c r="W56" s="22" t="n">
        <v>7</v>
      </c>
      <c r="X56" s="22" t="n">
        <v>41</v>
      </c>
      <c r="Y56" s="22" t="n">
        <v>45</v>
      </c>
      <c r="Z56" s="22" t="n">
        <v>30</v>
      </c>
      <c r="AA56" s="22" t="n">
        <v>14</v>
      </c>
      <c r="AB56" s="22" t="n">
        <v>4</v>
      </c>
      <c r="AC56" s="22" t="n">
        <v>2</v>
      </c>
      <c r="AD56" s="23" t="n">
        <v>0.087591</v>
      </c>
      <c r="AE56" s="23" t="n">
        <v>0</v>
      </c>
      <c r="AF56" s="24" t="n">
        <v>62.1</v>
      </c>
      <c r="AG56" s="25" t="n">
        <v>543450</v>
      </c>
      <c r="AH56" s="25" t="n">
        <v>770672</v>
      </c>
      <c r="AI56" s="25" t="n">
        <v>1165012</v>
      </c>
      <c r="AJ56" s="25" t="n">
        <v>1827675</v>
      </c>
      <c r="AK56" s="25" t="n">
        <v>2944033</v>
      </c>
      <c r="AL56" s="25" t="n">
        <v>4733022</v>
      </c>
      <c r="AM56" s="25" t="n">
        <v>1298450.9</v>
      </c>
      <c r="AN56" s="25" t="n">
        <v>14703874.45</v>
      </c>
      <c r="AO56" s="25" t="n">
        <v>13741938.74</v>
      </c>
      <c r="AP56" s="25" t="n">
        <v>1470387.45</v>
      </c>
      <c r="AQ56" s="25" t="n">
        <v>1374193.87</v>
      </c>
      <c r="AR56" s="25" t="n">
        <v>53468.63</v>
      </c>
      <c r="AS56" s="25" t="n">
        <v>0</v>
      </c>
      <c r="AT56" s="25" t="n">
        <v>735193.72</v>
      </c>
      <c r="AU56" s="25" t="n">
        <v>687096.94</v>
      </c>
      <c r="AV56" s="25" t="n">
        <v>223581.95</v>
      </c>
      <c r="AW56" s="25" t="n">
        <v>142785.98</v>
      </c>
      <c r="AX56" s="25" t="n">
        <v>101854</v>
      </c>
      <c r="AY56" s="25" t="n">
        <v>95190.65</v>
      </c>
      <c r="AZ56" s="25" t="n">
        <v>43035.73</v>
      </c>
      <c r="BA56" s="25" t="n">
        <v>0</v>
      </c>
      <c r="BB56" s="25" t="n">
        <v>1126.49</v>
      </c>
      <c r="BC56" s="25" t="n">
        <v>0</v>
      </c>
      <c r="BD56" s="25" t="n">
        <v>248.1</v>
      </c>
      <c r="BE56" s="25" t="n">
        <v>0</v>
      </c>
      <c r="BF56" s="25" t="n">
        <f aca="false">SUM(BE56,BC56,BA56,AY56,AW56,AU56,AS56,AQ56,AO56)</f>
        <v>16041206.18</v>
      </c>
      <c r="BG56" s="25" t="n">
        <v>23660.31</v>
      </c>
      <c r="BH56" s="25" t="n">
        <v>31095.61</v>
      </c>
      <c r="BI56" s="25" t="n">
        <v>93366.17</v>
      </c>
      <c r="BJ56" s="25" t="n">
        <v>87258.1</v>
      </c>
      <c r="BK56" s="25" t="n">
        <v>67902.67</v>
      </c>
      <c r="BL56" s="25" t="n">
        <v>63460.44</v>
      </c>
      <c r="BM56" s="25" t="n">
        <v>166361.53</v>
      </c>
      <c r="BN56" s="25" t="n">
        <v>155478.07</v>
      </c>
      <c r="BO56" s="25" t="n">
        <v>3645.45</v>
      </c>
      <c r="BP56" s="25" t="n">
        <v>0</v>
      </c>
      <c r="BQ56" s="25" t="n">
        <v>912275</v>
      </c>
      <c r="BR56" s="25" t="n">
        <v>852593.46</v>
      </c>
      <c r="BS56" s="25" t="n">
        <v>60818.33</v>
      </c>
      <c r="BT56" s="25" t="n">
        <v>45908.88</v>
      </c>
      <c r="BU56" s="25" t="n">
        <v>367596.86</v>
      </c>
      <c r="BV56" s="25" t="n">
        <v>343548.47</v>
      </c>
      <c r="BW56" s="25" t="n">
        <v>57038.24</v>
      </c>
      <c r="BX56" s="25" t="n">
        <v>55527.88</v>
      </c>
      <c r="BY56" s="25" t="n">
        <v>933858.73</v>
      </c>
      <c r="BZ56" s="25" t="n">
        <v>392744.32</v>
      </c>
      <c r="CA56" s="25" t="n">
        <v>95063.73</v>
      </c>
      <c r="CB56" s="25" t="n">
        <v>88844.61</v>
      </c>
      <c r="CC56" s="25" t="n">
        <v>60152.21</v>
      </c>
      <c r="CD56" s="25" t="n">
        <v>103064.54</v>
      </c>
      <c r="CE56" s="25" t="n">
        <v>29407.75</v>
      </c>
      <c r="CF56" s="25" t="n">
        <v>27483.88</v>
      </c>
      <c r="CG56" s="25" t="n">
        <f aca="false">SUM(CF56,CD56,CB56,BZ56,BX56,BV56,BT56,BR56,BP56,BN56,BL56,BJ56,BH56)</f>
        <v>2247008.26</v>
      </c>
      <c r="CH56" s="25" t="n">
        <f aca="false">CG56+BF56</f>
        <v>18288214.44</v>
      </c>
      <c r="CI56" s="25" t="n">
        <f aca="false">SUM(CE56,CC56,CA56,BY56,BW56,BU56,BS56,BQ56,BO56,BM56,BK56,BI56,BG56,BD56,BB56,AZ56,AX56,AV56,AT56,AR56,AP56,AN56)</f>
        <v>20203917.5</v>
      </c>
      <c r="CJ56" s="25" t="n">
        <f aca="false">CI56-CH56</f>
        <v>1915703.06</v>
      </c>
      <c r="CK56" s="25" t="str">
        <f aca="false">IF(CE56-CF56+CC56-CD56+CA56-CB56+BU56-BV56+BK56-BL56+BI56-BJ56 &gt; 0, CE56-CF56+CC56-CD56+CA56-CB56+BU56-BV56+BK56-BL56+BI56-BJ56, "-")</f>
        <v>-</v>
      </c>
      <c r="CL56" s="25" t="str">
        <f aca="false">IF(CJ56&lt;0,"⚠ Over Budget","✓ Within Budget")</f>
        <v>✓ Within Budget</v>
      </c>
      <c r="CM56" s="27"/>
    </row>
    <row r="57" customFormat="false" ht="14.25" hidden="false" customHeight="false" outlineLevel="0" collapsed="false">
      <c r="A57" s="16" t="s">
        <v>100</v>
      </c>
      <c r="B57" s="16" t="n">
        <v>2026</v>
      </c>
      <c r="C57" s="16" t="n">
        <v>136</v>
      </c>
      <c r="D57" s="16" t="n">
        <v>1</v>
      </c>
      <c r="E57" s="16" t="n">
        <v>1</v>
      </c>
      <c r="F57" s="16" t="n">
        <v>1</v>
      </c>
      <c r="G57" s="16" t="n">
        <v>0</v>
      </c>
      <c r="H57" s="16" t="n">
        <v>0</v>
      </c>
      <c r="I57" s="16" t="n">
        <v>0</v>
      </c>
      <c r="J57" s="16" t="n">
        <v>3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139</v>
      </c>
      <c r="T57" s="16" t="n">
        <v>24</v>
      </c>
      <c r="U57" s="16" t="n">
        <v>115</v>
      </c>
      <c r="V57" s="16" t="n">
        <v>132</v>
      </c>
      <c r="W57" s="16" t="n">
        <v>7</v>
      </c>
      <c r="X57" s="16" t="n">
        <v>42</v>
      </c>
      <c r="Y57" s="16" t="n">
        <v>46</v>
      </c>
      <c r="Z57" s="16" t="n">
        <v>31</v>
      </c>
      <c r="AA57" s="16" t="n">
        <v>14</v>
      </c>
      <c r="AB57" s="16" t="n">
        <v>4</v>
      </c>
      <c r="AC57" s="16" t="n">
        <v>2</v>
      </c>
      <c r="AD57" s="17" t="n">
        <v>0</v>
      </c>
      <c r="AE57" s="17" t="n">
        <v>0</v>
      </c>
      <c r="AF57" s="18" t="n">
        <v>62.3</v>
      </c>
      <c r="AG57" s="19" t="n">
        <v>543450</v>
      </c>
      <c r="AH57" s="19" t="n">
        <v>770672</v>
      </c>
      <c r="AI57" s="19" t="n">
        <v>1165012</v>
      </c>
      <c r="AJ57" s="19" t="n">
        <v>1827675</v>
      </c>
      <c r="AK57" s="19" t="n">
        <v>2944033</v>
      </c>
      <c r="AL57" s="19" t="n">
        <v>4733022</v>
      </c>
      <c r="AM57" s="19" t="n">
        <v>1298450.9</v>
      </c>
      <c r="AN57" s="19" t="n">
        <v>14819652.99</v>
      </c>
      <c r="AO57" s="19" t="n">
        <v>13850142.98</v>
      </c>
      <c r="AP57" s="19" t="n">
        <v>1481965.3</v>
      </c>
      <c r="AQ57" s="19" t="n">
        <v>1385014.3</v>
      </c>
      <c r="AR57" s="19" t="n">
        <v>53889.65</v>
      </c>
      <c r="AS57" s="19" t="n">
        <v>0</v>
      </c>
      <c r="AT57" s="19" t="n">
        <v>740982.65</v>
      </c>
      <c r="AU57" s="19" t="n">
        <v>692507.15</v>
      </c>
      <c r="AV57" s="19" t="n">
        <v>180273.95</v>
      </c>
      <c r="AW57" s="19" t="n">
        <v>143910.28</v>
      </c>
      <c r="AX57" s="19" t="n">
        <v>102656</v>
      </c>
      <c r="AY57" s="19" t="n">
        <v>95940.19</v>
      </c>
      <c r="AZ57" s="19" t="n">
        <v>36145.5</v>
      </c>
      <c r="BA57" s="19" t="n">
        <v>0</v>
      </c>
      <c r="BB57" s="19" t="n">
        <v>56324.69</v>
      </c>
      <c r="BC57" s="19" t="n">
        <v>32461.27</v>
      </c>
      <c r="BD57" s="19" t="n">
        <v>223287.18</v>
      </c>
      <c r="BE57" s="19" t="n">
        <v>129845.09</v>
      </c>
      <c r="BF57" s="19" t="n">
        <f aca="false">SUM(BE57,BC57,BA57,AY57,AW57,AU57,AS57,AQ57,AO57)</f>
        <v>16329821.26</v>
      </c>
      <c r="BG57" s="19" t="n">
        <v>17884.96</v>
      </c>
      <c r="BH57" s="19" t="n">
        <v>31340.46</v>
      </c>
      <c r="BI57" s="19" t="n">
        <v>94101.33</v>
      </c>
      <c r="BJ57" s="19" t="n">
        <v>87945.17</v>
      </c>
      <c r="BK57" s="19" t="n">
        <v>68437.33</v>
      </c>
      <c r="BL57" s="19" t="n">
        <v>63960.12</v>
      </c>
      <c r="BM57" s="19" t="n">
        <v>167671.47</v>
      </c>
      <c r="BN57" s="19" t="n">
        <v>156702.31</v>
      </c>
      <c r="BO57" s="19" t="n">
        <v>382772.73</v>
      </c>
      <c r="BP57" s="19" t="n">
        <v>131168.22</v>
      </c>
      <c r="BQ57" s="19" t="n">
        <v>920963.33</v>
      </c>
      <c r="BR57" s="19" t="n">
        <v>860713.4</v>
      </c>
      <c r="BS57" s="19" t="n">
        <v>61397.56</v>
      </c>
      <c r="BT57" s="19" t="n">
        <v>46346.11</v>
      </c>
      <c r="BU57" s="19" t="n">
        <v>370491.32</v>
      </c>
      <c r="BV57" s="19" t="n">
        <v>346253.57</v>
      </c>
      <c r="BW57" s="19" t="n">
        <v>28743.68</v>
      </c>
      <c r="BX57" s="19" t="n">
        <v>55965.11</v>
      </c>
      <c r="BY57" s="19" t="n">
        <v>30416.59</v>
      </c>
      <c r="BZ57" s="19" t="n">
        <v>63960.12</v>
      </c>
      <c r="CA57" s="19" t="n">
        <v>95812.27</v>
      </c>
      <c r="CB57" s="19" t="n">
        <v>89544.17</v>
      </c>
      <c r="CC57" s="19" t="n">
        <v>60625.85</v>
      </c>
      <c r="CD57" s="19" t="n">
        <v>103876.07</v>
      </c>
      <c r="CE57" s="19" t="n">
        <v>29639.31</v>
      </c>
      <c r="CF57" s="19" t="n">
        <v>27700.29</v>
      </c>
      <c r="CG57" s="19" t="n">
        <f aca="false">SUM(CF57,CD57,CB57,BZ57,BX57,BV57,BT57,BR57,BP57,BN57,BL57,BJ57,BH57)</f>
        <v>2065475.12</v>
      </c>
      <c r="CH57" s="19" t="n">
        <f aca="false">CG57+BF57</f>
        <v>18395296.38</v>
      </c>
      <c r="CI57" s="19" t="n">
        <f aca="false">SUM(CE57,CC57,CA57,BY57,BW57,BU57,BS57,BQ57,BO57,BM57,BK57,BI57,BG57,BD57,BB57,AZ57,AX57,AV57,AT57,AR57,AP57,AN57)</f>
        <v>20024135.64</v>
      </c>
      <c r="CJ57" s="19" t="n">
        <f aca="false">CI57-CH57</f>
        <v>1628839.26</v>
      </c>
      <c r="CK57" s="19" t="str">
        <f aca="false">IF(CE57-CF57+CC57-CD57+CA57-CB57+BU57-BV57+BK57-BL57+BI57-BJ57 &gt; 0, CE57-CF57+CC57-CD57+CA57-CB57+BU57-BV57+BK57-BL57+BI57-BJ57, "-")</f>
        <v>-</v>
      </c>
      <c r="CL57" s="19" t="str">
        <f aca="false">IF(CJ57&lt;0,"⚠ Over Budget","✓ Within Budget")</f>
        <v>✓ Within Budget</v>
      </c>
      <c r="CM57" s="21"/>
    </row>
    <row r="58" customFormat="false" ht="14.25" hidden="false" customHeight="false" outlineLevel="0" collapsed="false">
      <c r="A58" s="22" t="s">
        <v>101</v>
      </c>
      <c r="B58" s="22" t="n">
        <v>2026</v>
      </c>
      <c r="C58" s="22" t="n">
        <v>139</v>
      </c>
      <c r="D58" s="22" t="n">
        <v>2</v>
      </c>
      <c r="E58" s="22" t="n">
        <v>1</v>
      </c>
      <c r="F58" s="22" t="n">
        <v>1</v>
      </c>
      <c r="G58" s="22" t="n">
        <v>0</v>
      </c>
      <c r="H58" s="22" t="n">
        <v>0</v>
      </c>
      <c r="I58" s="22" t="n">
        <v>0</v>
      </c>
      <c r="J58" s="22" t="n">
        <v>4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143</v>
      </c>
      <c r="T58" s="22" t="n">
        <v>25</v>
      </c>
      <c r="U58" s="22" t="n">
        <v>118</v>
      </c>
      <c r="V58" s="22" t="n">
        <v>136</v>
      </c>
      <c r="W58" s="22" t="n">
        <v>7</v>
      </c>
      <c r="X58" s="22" t="n">
        <v>43</v>
      </c>
      <c r="Y58" s="22" t="n">
        <v>47</v>
      </c>
      <c r="Z58" s="22" t="n">
        <v>31</v>
      </c>
      <c r="AA58" s="22" t="n">
        <v>14</v>
      </c>
      <c r="AB58" s="22" t="n">
        <v>4</v>
      </c>
      <c r="AC58" s="22" t="n">
        <v>4</v>
      </c>
      <c r="AD58" s="23" t="n">
        <v>0</v>
      </c>
      <c r="AE58" s="23" t="n">
        <v>0</v>
      </c>
      <c r="AF58" s="24" t="n">
        <v>62.5</v>
      </c>
      <c r="AG58" s="25" t="n">
        <v>543450</v>
      </c>
      <c r="AH58" s="25" t="n">
        <v>770672</v>
      </c>
      <c r="AI58" s="25" t="n">
        <v>1165012</v>
      </c>
      <c r="AJ58" s="25" t="n">
        <v>1827675</v>
      </c>
      <c r="AK58" s="25" t="n">
        <v>2944033</v>
      </c>
      <c r="AL58" s="25" t="n">
        <v>4733022</v>
      </c>
      <c r="AM58" s="25" t="n">
        <v>1298450.9</v>
      </c>
      <c r="AN58" s="25" t="n">
        <v>14819652.99</v>
      </c>
      <c r="AO58" s="25" t="n">
        <v>13850142.98</v>
      </c>
      <c r="AP58" s="25" t="n">
        <v>1481965.3</v>
      </c>
      <c r="AQ58" s="25" t="n">
        <v>1385014.3</v>
      </c>
      <c r="AR58" s="25" t="n">
        <v>53889.65</v>
      </c>
      <c r="AS58" s="25" t="n">
        <v>0</v>
      </c>
      <c r="AT58" s="25" t="n">
        <v>740982.65</v>
      </c>
      <c r="AU58" s="25" t="n">
        <v>692507.15</v>
      </c>
      <c r="AV58" s="25" t="n">
        <v>150228.29</v>
      </c>
      <c r="AW58" s="25" t="n">
        <v>143910.28</v>
      </c>
      <c r="AX58" s="25" t="n">
        <v>102656</v>
      </c>
      <c r="AY58" s="25" t="n">
        <v>95940.19</v>
      </c>
      <c r="AZ58" s="25" t="n">
        <v>36145.5</v>
      </c>
      <c r="BA58" s="25" t="n">
        <v>0</v>
      </c>
      <c r="BB58" s="25" t="n">
        <v>1877.49</v>
      </c>
      <c r="BC58" s="25" t="n">
        <v>0</v>
      </c>
      <c r="BD58" s="25" t="n">
        <v>372.15</v>
      </c>
      <c r="BE58" s="25" t="n">
        <v>0</v>
      </c>
      <c r="BF58" s="25" t="n">
        <f aca="false">SUM(BE58,BC58,BA58,AY58,AW58,AU58,AS58,AQ58,AO58)</f>
        <v>16167514.9</v>
      </c>
      <c r="BG58" s="25" t="n">
        <v>95812.27</v>
      </c>
      <c r="BH58" s="25" t="n">
        <v>67158.13</v>
      </c>
      <c r="BI58" s="25" t="n">
        <v>94101.33</v>
      </c>
      <c r="BJ58" s="25" t="n">
        <v>87945.17</v>
      </c>
      <c r="BK58" s="25" t="n">
        <v>68437.33</v>
      </c>
      <c r="BL58" s="25" t="n">
        <v>63960.12</v>
      </c>
      <c r="BM58" s="25" t="n">
        <v>167671.47</v>
      </c>
      <c r="BN58" s="25" t="n">
        <v>156702.31</v>
      </c>
      <c r="BO58" s="25" t="n">
        <v>7290.91</v>
      </c>
      <c r="BP58" s="25" t="n">
        <v>0</v>
      </c>
      <c r="BQ58" s="25" t="n">
        <v>920963.33</v>
      </c>
      <c r="BR58" s="25" t="n">
        <v>860713.4</v>
      </c>
      <c r="BS58" s="25" t="n">
        <v>61397.56</v>
      </c>
      <c r="BT58" s="25" t="n">
        <v>46346.11</v>
      </c>
      <c r="BU58" s="25" t="n">
        <v>370491.32</v>
      </c>
      <c r="BV58" s="25" t="n">
        <v>346253.57</v>
      </c>
      <c r="BW58" s="25" t="n">
        <v>57487.36</v>
      </c>
      <c r="BX58" s="25" t="n">
        <v>55965.11</v>
      </c>
      <c r="BY58" s="25" t="n">
        <v>74355.46</v>
      </c>
      <c r="BZ58" s="25" t="n">
        <v>130295.78</v>
      </c>
      <c r="CA58" s="25" t="n">
        <v>95812.27</v>
      </c>
      <c r="CB58" s="25" t="n">
        <v>89544.17</v>
      </c>
      <c r="CC58" s="25" t="n">
        <v>60625.85</v>
      </c>
      <c r="CD58" s="25" t="n">
        <v>103876.07</v>
      </c>
      <c r="CE58" s="25" t="n">
        <v>29639.31</v>
      </c>
      <c r="CF58" s="25" t="n">
        <v>27700.29</v>
      </c>
      <c r="CG58" s="25" t="n">
        <f aca="false">SUM(CF58,CD58,CB58,BZ58,BX58,BV58,BT58,BR58,BP58,BN58,BL58,BJ58,BH58)</f>
        <v>2036460.23</v>
      </c>
      <c r="CH58" s="25" t="n">
        <f aca="false">CG58+BF58</f>
        <v>18203975.13</v>
      </c>
      <c r="CI58" s="25" t="n">
        <f aca="false">SUM(CE58,CC58,CA58,BY58,BW58,BU58,BS58,BQ58,BO58,BM58,BK58,BI58,BG58,BD58,BB58,AZ58,AX58,AV58,AT58,AR58,AP58,AN58)</f>
        <v>19491855.79</v>
      </c>
      <c r="CJ58" s="25" t="n">
        <f aca="false">CI58-CH58</f>
        <v>1287880.66</v>
      </c>
      <c r="CK58" s="25" t="str">
        <f aca="false">IF(CE58-CF58+CC58-CD58+CA58-CB58+BU58-BV58+BK58-BL58+BI58-BJ58 &gt; 0, CE58-CF58+CC58-CD58+CA58-CB58+BU58-BV58+BK58-BL58+BI58-BJ58, "-")</f>
        <v>-</v>
      </c>
      <c r="CL58" s="25" t="str">
        <f aca="false">IF(CJ58&lt;0,"⚠ Over Budget","✓ Within Budget")</f>
        <v>✓ Within Budget</v>
      </c>
      <c r="CM58" s="27"/>
    </row>
    <row r="59" customFormat="false" ht="14.25" hidden="false" customHeight="false" outlineLevel="0" collapsed="false">
      <c r="A59" s="16" t="s">
        <v>102</v>
      </c>
      <c r="B59" s="16" t="n">
        <v>2026</v>
      </c>
      <c r="C59" s="16" t="n">
        <v>143</v>
      </c>
      <c r="D59" s="16" t="n">
        <v>1</v>
      </c>
      <c r="E59" s="16" t="n">
        <v>1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2</v>
      </c>
      <c r="K59" s="16" t="n">
        <v>1</v>
      </c>
      <c r="L59" s="16" t="n">
        <v>1</v>
      </c>
      <c r="M59" s="16" t="n">
        <v>0</v>
      </c>
      <c r="N59" s="16" t="n">
        <v>0</v>
      </c>
      <c r="O59" s="16" t="n">
        <v>0</v>
      </c>
      <c r="P59" s="16" t="n">
        <v>0</v>
      </c>
      <c r="Q59" s="16" t="n">
        <v>2</v>
      </c>
      <c r="R59" s="16" t="n">
        <v>0</v>
      </c>
      <c r="S59" s="16" t="n">
        <v>143</v>
      </c>
      <c r="T59" s="16" t="n">
        <v>24</v>
      </c>
      <c r="U59" s="16" t="n">
        <v>119</v>
      </c>
      <c r="V59" s="16" t="n">
        <v>136</v>
      </c>
      <c r="W59" s="16" t="n">
        <v>7</v>
      </c>
      <c r="X59" s="16" t="n">
        <v>43</v>
      </c>
      <c r="Y59" s="16" t="n">
        <v>47</v>
      </c>
      <c r="Z59" s="16" t="n">
        <v>31</v>
      </c>
      <c r="AA59" s="16" t="n">
        <v>14</v>
      </c>
      <c r="AB59" s="16" t="n">
        <v>4</v>
      </c>
      <c r="AC59" s="16" t="n">
        <v>4</v>
      </c>
      <c r="AD59" s="17" t="n">
        <v>0.167832</v>
      </c>
      <c r="AE59" s="17" t="n">
        <v>0</v>
      </c>
      <c r="AF59" s="18" t="n">
        <v>62.7</v>
      </c>
      <c r="AG59" s="19" t="n">
        <v>543450</v>
      </c>
      <c r="AH59" s="19" t="n">
        <v>770672</v>
      </c>
      <c r="AI59" s="19" t="n">
        <v>1165012</v>
      </c>
      <c r="AJ59" s="19" t="n">
        <v>1827675</v>
      </c>
      <c r="AK59" s="19" t="n">
        <v>2944033</v>
      </c>
      <c r="AL59" s="19" t="n">
        <v>4733022</v>
      </c>
      <c r="AM59" s="19" t="n">
        <v>1298450.9</v>
      </c>
      <c r="AN59" s="19" t="n">
        <v>15398545.68</v>
      </c>
      <c r="AO59" s="19" t="n">
        <v>14391164.19</v>
      </c>
      <c r="AP59" s="19" t="n">
        <v>1539854.57</v>
      </c>
      <c r="AQ59" s="19" t="n">
        <v>1439116.42</v>
      </c>
      <c r="AR59" s="19" t="n">
        <v>55994.71</v>
      </c>
      <c r="AS59" s="19" t="n">
        <v>0</v>
      </c>
      <c r="AT59" s="19" t="n">
        <v>769927.28</v>
      </c>
      <c r="AU59" s="19" t="n">
        <v>719558.21</v>
      </c>
      <c r="AV59" s="19" t="n">
        <v>171706.24</v>
      </c>
      <c r="AW59" s="19" t="n">
        <v>149531.78</v>
      </c>
      <c r="AX59" s="19" t="n">
        <v>106666</v>
      </c>
      <c r="AY59" s="19" t="n">
        <v>99687.85</v>
      </c>
      <c r="AZ59" s="19" t="n">
        <v>334546.13</v>
      </c>
      <c r="BA59" s="19" t="n">
        <v>320476.44</v>
      </c>
      <c r="BB59" s="19" t="n">
        <v>56324.69</v>
      </c>
      <c r="BC59" s="19" t="n">
        <v>54102.12</v>
      </c>
      <c r="BD59" s="19" t="n">
        <v>124.05</v>
      </c>
      <c r="BE59" s="19" t="n">
        <v>0</v>
      </c>
      <c r="BF59" s="19" t="n">
        <f aca="false">SUM(BE59,BC59,BA59,AY59,AW59,AU59,AS59,AQ59,AO59)</f>
        <v>17173637.01</v>
      </c>
      <c r="BG59" s="19" t="n">
        <v>143359.1</v>
      </c>
      <c r="BH59" s="19" t="n">
        <v>83737.79</v>
      </c>
      <c r="BI59" s="19" t="n">
        <v>97777.17</v>
      </c>
      <c r="BJ59" s="19" t="n">
        <v>91380.53</v>
      </c>
      <c r="BK59" s="19" t="n">
        <v>71110.67</v>
      </c>
      <c r="BL59" s="19" t="n">
        <v>66458.57</v>
      </c>
      <c r="BM59" s="19" t="n">
        <v>174221.13</v>
      </c>
      <c r="BN59" s="19" t="n">
        <v>162823.49</v>
      </c>
      <c r="BO59" s="19" t="n">
        <v>127590.91</v>
      </c>
      <c r="BP59" s="19" t="n">
        <v>218613.71</v>
      </c>
      <c r="BQ59" s="19" t="n">
        <v>964405</v>
      </c>
      <c r="BR59" s="19" t="n">
        <v>901313.08</v>
      </c>
      <c r="BS59" s="19" t="n">
        <v>54402.33</v>
      </c>
      <c r="BT59" s="19" t="n">
        <v>48532.24</v>
      </c>
      <c r="BU59" s="19" t="n">
        <v>384963.64</v>
      </c>
      <c r="BV59" s="19" t="n">
        <v>359779.1</v>
      </c>
      <c r="BW59" s="19" t="n">
        <v>119465.92</v>
      </c>
      <c r="BX59" s="19" t="n">
        <v>58151.25</v>
      </c>
      <c r="BY59" s="19" t="n">
        <v>31604.74</v>
      </c>
      <c r="BZ59" s="19" t="n">
        <v>66458.57</v>
      </c>
      <c r="CA59" s="19" t="n">
        <v>99554.93</v>
      </c>
      <c r="CB59" s="19" t="n">
        <v>93041.99</v>
      </c>
      <c r="CC59" s="19" t="n">
        <v>75592.86</v>
      </c>
      <c r="CD59" s="19" t="n">
        <v>107933.73</v>
      </c>
      <c r="CE59" s="19" t="n">
        <v>30797.09</v>
      </c>
      <c r="CF59" s="19" t="n">
        <v>28782.33</v>
      </c>
      <c r="CG59" s="19" t="n">
        <f aca="false">SUM(CF59,CD59,CB59,BZ59,BX59,BV59,BT59,BR59,BP59,BN59,BL59,BJ59,BH59)</f>
        <v>2287006.38</v>
      </c>
      <c r="CH59" s="19" t="n">
        <f aca="false">CG59+BF59</f>
        <v>19460643.39</v>
      </c>
      <c r="CI59" s="19" t="n">
        <f aca="false">SUM(CE59,CC59,CA59,BY59,BW59,BU59,BS59,BQ59,BO59,BM59,BK59,BI59,BG59,BD59,BB59,AZ59,AX59,AV59,AT59,AR59,AP59,AN59)</f>
        <v>20808534.84</v>
      </c>
      <c r="CJ59" s="19" t="n">
        <f aca="false">CI59-CH59</f>
        <v>1347891.45</v>
      </c>
      <c r="CK59" s="19" t="n">
        <f aca="false">IF(CE59-CF59+CC59-CD59+CA59-CB59+BU59-BV59+BK59-BL59+BI59-BJ59 &gt; 0, CE59-CF59+CC59-CD59+CA59-CB59+BU59-BV59+BK59-BL59+BI59-BJ59, "-")</f>
        <v>12420.11</v>
      </c>
      <c r="CL59" s="19" t="str">
        <f aca="false">IF(CJ59&lt;0,"⚠ Over Budget","✓ Within Budget")</f>
        <v>✓ Within Budget</v>
      </c>
      <c r="CM59" s="21"/>
    </row>
    <row r="60" customFormat="false" ht="14.25" hidden="false" customHeight="false" outlineLevel="0" collapsed="false">
      <c r="A60" s="22" t="s">
        <v>103</v>
      </c>
      <c r="B60" s="22" t="n">
        <v>2026</v>
      </c>
      <c r="C60" s="22" t="n">
        <v>143</v>
      </c>
      <c r="D60" s="22" t="n">
        <v>1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1</v>
      </c>
      <c r="J60" s="22" t="n">
        <v>1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144</v>
      </c>
      <c r="T60" s="22" t="n">
        <v>23</v>
      </c>
      <c r="U60" s="22" t="n">
        <v>121</v>
      </c>
      <c r="V60" s="22" t="n">
        <v>137</v>
      </c>
      <c r="W60" s="22" t="n">
        <v>7</v>
      </c>
      <c r="X60" s="22" t="n">
        <v>43</v>
      </c>
      <c r="Y60" s="22" t="n">
        <v>48</v>
      </c>
      <c r="Z60" s="22" t="n">
        <v>32</v>
      </c>
      <c r="AA60" s="22" t="n">
        <v>14</v>
      </c>
      <c r="AB60" s="22" t="n">
        <v>4</v>
      </c>
      <c r="AC60" s="22" t="n">
        <v>3</v>
      </c>
      <c r="AD60" s="23" t="n">
        <v>0</v>
      </c>
      <c r="AE60" s="23" t="n">
        <v>0.0158095754885062</v>
      </c>
      <c r="AF60" s="24" t="n">
        <v>62.9</v>
      </c>
      <c r="AG60" s="25" t="n">
        <v>553600</v>
      </c>
      <c r="AH60" s="25" t="n">
        <v>784155</v>
      </c>
      <c r="AI60" s="25" t="n">
        <v>1178916</v>
      </c>
      <c r="AJ60" s="25" t="n">
        <v>1851084</v>
      </c>
      <c r="AK60" s="25" t="n">
        <v>2975014</v>
      </c>
      <c r="AL60" s="25" t="n">
        <v>4782816</v>
      </c>
      <c r="AM60" s="25" t="n">
        <v>1316963.71</v>
      </c>
      <c r="AN60" s="25" t="n">
        <v>16087809.22</v>
      </c>
      <c r="AO60" s="25" t="n">
        <v>15035335.72</v>
      </c>
      <c r="AP60" s="25" t="n">
        <v>1608780.92</v>
      </c>
      <c r="AQ60" s="25" t="n">
        <v>1503533.57</v>
      </c>
      <c r="AR60" s="25" t="n">
        <v>1872035.98</v>
      </c>
      <c r="AS60" s="25" t="n">
        <v>601413.43</v>
      </c>
      <c r="AT60" s="25" t="n">
        <v>804390.46</v>
      </c>
      <c r="AU60" s="25" t="n">
        <v>751766.79</v>
      </c>
      <c r="AV60" s="25" t="n">
        <v>144712.1</v>
      </c>
      <c r="AW60" s="25" t="n">
        <v>154028.97</v>
      </c>
      <c r="AX60" s="25" t="n">
        <v>109874</v>
      </c>
      <c r="AY60" s="25" t="n">
        <v>102685.98</v>
      </c>
      <c r="AZ60" s="25" t="n">
        <v>907265.29</v>
      </c>
      <c r="BA60" s="25" t="n">
        <v>434554.64</v>
      </c>
      <c r="BB60" s="25" t="n">
        <v>45702.2</v>
      </c>
      <c r="BC60" s="25" t="n">
        <v>43898.79</v>
      </c>
      <c r="BD60" s="25" t="n">
        <v>125.82</v>
      </c>
      <c r="BE60" s="25" t="n">
        <v>0</v>
      </c>
      <c r="BF60" s="25" t="n">
        <f aca="false">SUM(BE60,BC60,BA60,AY60,AW60,AU60,AS60,AQ60,AO60)</f>
        <v>18627217.89</v>
      </c>
      <c r="BG60" s="25" t="n">
        <v>89331.63</v>
      </c>
      <c r="BH60" s="25" t="n">
        <v>67088.17</v>
      </c>
      <c r="BI60" s="25" t="n">
        <v>100717.83</v>
      </c>
      <c r="BJ60" s="25" t="n">
        <v>94128.82</v>
      </c>
      <c r="BK60" s="25" t="n">
        <v>73249.33</v>
      </c>
      <c r="BL60" s="25" t="n">
        <v>68457.32</v>
      </c>
      <c r="BM60" s="25" t="n">
        <v>179460.87</v>
      </c>
      <c r="BN60" s="25" t="n">
        <v>167720.44</v>
      </c>
      <c r="BO60" s="25" t="n">
        <v>102072.73</v>
      </c>
      <c r="BP60" s="25" t="n">
        <v>174890.97</v>
      </c>
      <c r="BQ60" s="25" t="n">
        <v>999158.33</v>
      </c>
      <c r="BR60" s="25" t="n">
        <v>933792.83</v>
      </c>
      <c r="BS60" s="25" t="n">
        <v>51238.89</v>
      </c>
      <c r="BT60" s="25" t="n">
        <v>50281.15</v>
      </c>
      <c r="BU60" s="25" t="n">
        <v>402195.23</v>
      </c>
      <c r="BV60" s="25" t="n">
        <v>375883.39</v>
      </c>
      <c r="BW60" s="25" t="n">
        <v>92294.16</v>
      </c>
      <c r="BX60" s="25" t="n">
        <v>59900.16</v>
      </c>
      <c r="BY60" s="25" t="n">
        <v>1191673.93</v>
      </c>
      <c r="BZ60" s="25" t="n">
        <v>391540.06</v>
      </c>
      <c r="CA60" s="25" t="n">
        <v>102549.07</v>
      </c>
      <c r="CB60" s="25" t="n">
        <v>95840.25</v>
      </c>
      <c r="CC60" s="25" t="n">
        <v>105302.02</v>
      </c>
      <c r="CD60" s="25" t="n">
        <v>112765.02</v>
      </c>
      <c r="CE60" s="25" t="n">
        <v>32175.62</v>
      </c>
      <c r="CF60" s="25" t="n">
        <v>30070.67</v>
      </c>
      <c r="CG60" s="25" t="n">
        <f aca="false">SUM(CF60,CD60,CB60,BZ60,BX60,BV60,BT60,BR60,BP60,BN60,BL60,BJ60,BH60)</f>
        <v>2622359.25</v>
      </c>
      <c r="CH60" s="25" t="n">
        <f aca="false">CG60+BF60</f>
        <v>21249577.14</v>
      </c>
      <c r="CI60" s="25" t="n">
        <f aca="false">SUM(CE60,CC60,CA60,BY60,BW60,BU60,BS60,BQ60,BO60,BM60,BK60,BI60,BG60,BD60,BB60,AZ60,AX60,AV60,AT60,AR60,AP60,AN60)</f>
        <v>25102115.63</v>
      </c>
      <c r="CJ60" s="25" t="n">
        <f aca="false">CI60-CH60</f>
        <v>3852538.49</v>
      </c>
      <c r="CK60" s="25" t="n">
        <f aca="false">IF(CE60-CF60+CC60-CD60+CA60-CB60+BU60-BV60+BK60-BL60+BI60-BJ60 &gt; 0, CE60-CF60+CC60-CD60+CA60-CB60+BU60-BV60+BK60-BL60+BI60-BJ60, "-")</f>
        <v>39043.63</v>
      </c>
      <c r="CL60" s="25" t="str">
        <f aca="false">IF(CJ60&lt;0,"⚠ Over Budget","✓ Within Budget")</f>
        <v>✓ Within Budget</v>
      </c>
      <c r="CM60" s="27"/>
    </row>
    <row r="61" customFormat="false" ht="14.25" hidden="false" customHeight="false" outlineLevel="0" collapsed="false">
      <c r="A61" s="16" t="s">
        <v>104</v>
      </c>
      <c r="B61" s="16" t="n">
        <v>2026</v>
      </c>
      <c r="C61" s="16" t="n">
        <v>144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1</v>
      </c>
      <c r="S61" s="16" t="n">
        <v>143</v>
      </c>
      <c r="T61" s="16" t="n">
        <v>23</v>
      </c>
      <c r="U61" s="16" t="n">
        <v>120</v>
      </c>
      <c r="V61" s="16" t="n">
        <v>136</v>
      </c>
      <c r="W61" s="16" t="n">
        <v>7</v>
      </c>
      <c r="X61" s="16" t="n">
        <v>43</v>
      </c>
      <c r="Y61" s="16" t="n">
        <v>47</v>
      </c>
      <c r="Z61" s="16" t="n">
        <v>31</v>
      </c>
      <c r="AA61" s="16" t="n">
        <v>14</v>
      </c>
      <c r="AB61" s="16" t="n">
        <v>4</v>
      </c>
      <c r="AC61" s="16" t="n">
        <v>4</v>
      </c>
      <c r="AD61" s="17" t="n">
        <v>0</v>
      </c>
      <c r="AE61" s="17" t="n">
        <v>0</v>
      </c>
      <c r="AF61" s="18" t="n">
        <v>63.1</v>
      </c>
      <c r="AG61" s="19" t="n">
        <v>553600</v>
      </c>
      <c r="AH61" s="19" t="n">
        <v>784155</v>
      </c>
      <c r="AI61" s="19" t="n">
        <v>1178916</v>
      </c>
      <c r="AJ61" s="19" t="n">
        <v>1851084</v>
      </c>
      <c r="AK61" s="19" t="n">
        <v>2975014</v>
      </c>
      <c r="AL61" s="19" t="n">
        <v>4782816</v>
      </c>
      <c r="AM61" s="19" t="n">
        <v>1316963.71</v>
      </c>
      <c r="AN61" s="19" t="n">
        <v>16087809.22</v>
      </c>
      <c r="AO61" s="19" t="n">
        <v>15035335.72</v>
      </c>
      <c r="AP61" s="19" t="n">
        <v>1608780.92</v>
      </c>
      <c r="AQ61" s="19" t="n">
        <v>1503533.57</v>
      </c>
      <c r="AR61" s="19" t="n">
        <v>190128.65</v>
      </c>
      <c r="AS61" s="19" t="n">
        <v>0</v>
      </c>
      <c r="AT61" s="19" t="n">
        <v>804390.46</v>
      </c>
      <c r="AU61" s="19" t="n">
        <v>751766.79</v>
      </c>
      <c r="AV61" s="19" t="n">
        <v>171510.63</v>
      </c>
      <c r="AW61" s="19" t="n">
        <v>205371.96</v>
      </c>
      <c r="AX61" s="19" t="n">
        <v>109874</v>
      </c>
      <c r="AY61" s="19" t="n">
        <v>102685.98</v>
      </c>
      <c r="AZ61" s="19" t="n">
        <v>78477.12</v>
      </c>
      <c r="BA61" s="19" t="n">
        <v>0</v>
      </c>
      <c r="BB61" s="19" t="n">
        <v>380.85</v>
      </c>
      <c r="BC61" s="19" t="n">
        <v>0</v>
      </c>
      <c r="BD61" s="19" t="n">
        <v>125.82</v>
      </c>
      <c r="BE61" s="19" t="n">
        <v>0</v>
      </c>
      <c r="BF61" s="19" t="n">
        <f aca="false">SUM(BE61,BC61,BA61,AY61,AW61,AU61,AS61,AQ61,AO61)</f>
        <v>17598694.02</v>
      </c>
      <c r="BG61" s="19" t="n">
        <v>116678.05</v>
      </c>
      <c r="BH61" s="19" t="n">
        <v>76672.2</v>
      </c>
      <c r="BI61" s="19" t="n">
        <v>100717.83</v>
      </c>
      <c r="BJ61" s="19" t="n">
        <v>94128.82</v>
      </c>
      <c r="BK61" s="19" t="n">
        <v>73249.33</v>
      </c>
      <c r="BL61" s="19" t="n">
        <v>68457.32</v>
      </c>
      <c r="BM61" s="19" t="n">
        <v>179460.87</v>
      </c>
      <c r="BN61" s="19" t="n">
        <v>167720.44</v>
      </c>
      <c r="BO61" s="19" t="n">
        <v>3645.45</v>
      </c>
      <c r="BP61" s="19" t="n">
        <v>0</v>
      </c>
      <c r="BQ61" s="19" t="n">
        <v>999158.33</v>
      </c>
      <c r="BR61" s="19" t="n">
        <v>933792.83</v>
      </c>
      <c r="BS61" s="19" t="n">
        <v>46115</v>
      </c>
      <c r="BT61" s="19" t="n">
        <v>50281.15</v>
      </c>
      <c r="BU61" s="19" t="n">
        <v>402195.23</v>
      </c>
      <c r="BV61" s="19" t="n">
        <v>375883.39</v>
      </c>
      <c r="BW61" s="19" t="n">
        <v>61529.44</v>
      </c>
      <c r="BX61" s="19" t="n">
        <v>59900.16</v>
      </c>
      <c r="BY61" s="19" t="n">
        <v>267574.04</v>
      </c>
      <c r="BZ61" s="19" t="n">
        <v>187551.89</v>
      </c>
      <c r="CA61" s="19" t="n">
        <v>102549.07</v>
      </c>
      <c r="CB61" s="19" t="n">
        <v>95840.25</v>
      </c>
      <c r="CC61" s="19" t="n">
        <v>105302.02</v>
      </c>
      <c r="CD61" s="19" t="n">
        <v>112765.02</v>
      </c>
      <c r="CE61" s="19" t="n">
        <v>32175.62</v>
      </c>
      <c r="CF61" s="19" t="n">
        <v>30070.67</v>
      </c>
      <c r="CG61" s="19" t="n">
        <f aca="false">SUM(CF61,CD61,CB61,BZ61,BX61,BV61,BT61,BR61,BP61,BN61,BL61,BJ61,BH61)</f>
        <v>2253064.14</v>
      </c>
      <c r="CH61" s="19" t="n">
        <f aca="false">CG61+BF61</f>
        <v>19851758.16</v>
      </c>
      <c r="CI61" s="19" t="n">
        <f aca="false">SUM(CE61,CC61,CA61,BY61,BW61,BU61,BS61,BQ61,BO61,BM61,BK61,BI61,BG61,BD61,BB61,AZ61,AX61,AV61,AT61,AR61,AP61,AN61)</f>
        <v>21541827.95</v>
      </c>
      <c r="CJ61" s="19" t="n">
        <f aca="false">CI61-CH61</f>
        <v>1690069.79</v>
      </c>
      <c r="CK61" s="19" t="n">
        <f aca="false">IF(CE61-CF61+CC61-CD61+CA61-CB61+BU61-BV61+BK61-BL61+BI61-BJ61 &gt; 0, CE61-CF61+CC61-CD61+CA61-CB61+BU61-BV61+BK61-BL61+BI61-BJ61, "-")</f>
        <v>39043.63</v>
      </c>
      <c r="CL61" s="19" t="str">
        <f aca="false">IF(CJ61&lt;0,"⚠ Over Budget","✓ Within Budget")</f>
        <v>✓ Within Budget</v>
      </c>
      <c r="CM61" s="21"/>
    </row>
    <row r="62" customFormat="false" ht="14.25" hidden="false" customHeight="false" outlineLevel="0" collapsed="false">
      <c r="A62" s="22" t="s">
        <v>105</v>
      </c>
      <c r="B62" s="22" t="n">
        <v>2026</v>
      </c>
      <c r="C62" s="22" t="n">
        <v>143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143</v>
      </c>
      <c r="T62" s="22" t="n">
        <v>23</v>
      </c>
      <c r="U62" s="22" t="n">
        <v>120</v>
      </c>
      <c r="V62" s="22" t="n">
        <v>136</v>
      </c>
      <c r="W62" s="22" t="n">
        <v>7</v>
      </c>
      <c r="X62" s="22" t="n">
        <v>43</v>
      </c>
      <c r="Y62" s="22" t="n">
        <v>47</v>
      </c>
      <c r="Z62" s="22" t="n">
        <v>31</v>
      </c>
      <c r="AA62" s="22" t="n">
        <v>14</v>
      </c>
      <c r="AB62" s="22" t="n">
        <v>4</v>
      </c>
      <c r="AC62" s="22" t="n">
        <v>4</v>
      </c>
      <c r="AD62" s="23" t="n">
        <v>0</v>
      </c>
      <c r="AE62" s="23" t="n">
        <v>0</v>
      </c>
      <c r="AF62" s="24" t="n">
        <v>63.3</v>
      </c>
      <c r="AG62" s="25" t="n">
        <v>553600</v>
      </c>
      <c r="AH62" s="25" t="n">
        <v>784155</v>
      </c>
      <c r="AI62" s="25" t="n">
        <v>1178916</v>
      </c>
      <c r="AJ62" s="25" t="n">
        <v>1851084</v>
      </c>
      <c r="AK62" s="25" t="n">
        <v>2975014</v>
      </c>
      <c r="AL62" s="25" t="n">
        <v>4782816</v>
      </c>
      <c r="AM62" s="25" t="n">
        <v>1316963.71</v>
      </c>
      <c r="AN62" s="25" t="n">
        <v>16087809.22</v>
      </c>
      <c r="AO62" s="25" t="n">
        <v>15035335.72</v>
      </c>
      <c r="AP62" s="25" t="n">
        <v>1608780.92</v>
      </c>
      <c r="AQ62" s="25" t="n">
        <v>1503533.57</v>
      </c>
      <c r="AR62" s="25" t="n">
        <v>7020134.93</v>
      </c>
      <c r="AS62" s="25" t="n">
        <v>1503533.57</v>
      </c>
      <c r="AT62" s="25" t="n">
        <v>804390.46</v>
      </c>
      <c r="AU62" s="25" t="n">
        <v>751766.79</v>
      </c>
      <c r="AV62" s="25" t="n">
        <v>150071.8</v>
      </c>
      <c r="AW62" s="25" t="n">
        <v>205371.96</v>
      </c>
      <c r="AX62" s="25" t="n">
        <v>109874</v>
      </c>
      <c r="AY62" s="25" t="n">
        <v>102685.98</v>
      </c>
      <c r="AZ62" s="25" t="n">
        <v>726150.98</v>
      </c>
      <c r="BA62" s="25" t="n">
        <v>463741.28</v>
      </c>
      <c r="BB62" s="25" t="n">
        <v>380.85</v>
      </c>
      <c r="BC62" s="25" t="n">
        <v>0</v>
      </c>
      <c r="BD62" s="25" t="n">
        <v>125.82</v>
      </c>
      <c r="BE62" s="25" t="n">
        <v>0</v>
      </c>
      <c r="BF62" s="25" t="n">
        <f aca="false">SUM(BE62,BC62,BA62,AY62,AW62,AU62,AS62,AQ62,AO62)</f>
        <v>19565968.87</v>
      </c>
      <c r="BG62" s="25" t="n">
        <v>19142.49</v>
      </c>
      <c r="BH62" s="25" t="n">
        <v>33544.09</v>
      </c>
      <c r="BI62" s="25" t="n">
        <v>100717.83</v>
      </c>
      <c r="BJ62" s="25" t="n">
        <v>94128.82</v>
      </c>
      <c r="BK62" s="25" t="n">
        <v>73249.33</v>
      </c>
      <c r="BL62" s="25" t="n">
        <v>68457.32</v>
      </c>
      <c r="BM62" s="25" t="n">
        <v>179460.87</v>
      </c>
      <c r="BN62" s="25" t="n">
        <v>167720.44</v>
      </c>
      <c r="BO62" s="25" t="n">
        <v>3645.45</v>
      </c>
      <c r="BP62" s="25" t="n">
        <v>0</v>
      </c>
      <c r="BQ62" s="25" t="n">
        <v>999158.33</v>
      </c>
      <c r="BR62" s="25" t="n">
        <v>933792.83</v>
      </c>
      <c r="BS62" s="25" t="n">
        <v>40991.11</v>
      </c>
      <c r="BT62" s="25" t="n">
        <v>50281.15</v>
      </c>
      <c r="BU62" s="25" t="n">
        <v>402195.23</v>
      </c>
      <c r="BV62" s="25" t="n">
        <v>375883.39</v>
      </c>
      <c r="BW62" s="25" t="n">
        <v>30764.72</v>
      </c>
      <c r="BX62" s="25" t="n">
        <v>59900.16</v>
      </c>
      <c r="BY62" s="25" t="n">
        <v>380049.94</v>
      </c>
      <c r="BZ62" s="25" t="n">
        <v>266390.14</v>
      </c>
      <c r="CA62" s="25" t="n">
        <v>102549.07</v>
      </c>
      <c r="CB62" s="25" t="n">
        <v>95840.25</v>
      </c>
      <c r="CC62" s="25" t="n">
        <v>65813.76</v>
      </c>
      <c r="CD62" s="25" t="n">
        <v>112765.02</v>
      </c>
      <c r="CE62" s="25" t="n">
        <v>32175.62</v>
      </c>
      <c r="CF62" s="25" t="n">
        <v>30070.67</v>
      </c>
      <c r="CG62" s="25" t="n">
        <f aca="false">SUM(CF62,CD62,CB62,BZ62,BX62,BV62,BT62,BR62,BP62,BN62,BL62,BJ62,BH62)</f>
        <v>2288774.28</v>
      </c>
      <c r="CH62" s="25" t="n">
        <f aca="false">CG62+BF62</f>
        <v>21854743.15</v>
      </c>
      <c r="CI62" s="25" t="n">
        <f aca="false">SUM(CE62,CC62,CA62,BY62,BW62,BU62,BS62,BQ62,BO62,BM62,BK62,BI62,BG62,BD62,BB62,AZ62,AX62,AV62,AT62,AR62,AP62,AN62)</f>
        <v>28937632.73</v>
      </c>
      <c r="CJ62" s="25" t="n">
        <f aca="false">CI62-CH62</f>
        <v>7082889.58</v>
      </c>
      <c r="CK62" s="25" t="str">
        <f aca="false">IF(CE62-CF62+CC62-CD62+CA62-CB62+BU62-BV62+BK62-BL62+BI62-BJ62 &gt; 0, CE62-CF62+CC62-CD62+CA62-CB62+BU62-BV62+BK62-BL62+BI62-BJ62, "-")</f>
        <v>-</v>
      </c>
      <c r="CL62" s="25" t="str">
        <f aca="false">IF(CJ62&lt;0,"⚠ Over Budget","✓ Within Budget")</f>
        <v>✓ Within Budget</v>
      </c>
      <c r="CM62" s="27"/>
    </row>
    <row r="63" customFormat="false" ht="14.25" hidden="false" customHeight="false" outlineLevel="0" collapsed="false">
      <c r="A63" s="34" t="s">
        <v>113</v>
      </c>
      <c r="AN63" s="35" t="n">
        <f aca="false">SUM(AN3:AN62)</f>
        <v>635967441.67</v>
      </c>
      <c r="AO63" s="35" t="n">
        <f aca="false">SUM(AO3:AO62)</f>
        <v>605903865.91</v>
      </c>
      <c r="AP63" s="35" t="n">
        <f aca="false">SUM(AP3:AP62)</f>
        <v>63596744.17</v>
      </c>
      <c r="AQ63" s="35" t="n">
        <f aca="false">SUM(AQ3:AQ62)</f>
        <v>59436209.6</v>
      </c>
      <c r="AR63" s="35" t="n">
        <f aca="false">SUM(AR3:AR62)</f>
        <v>37206868.68</v>
      </c>
      <c r="AS63" s="35" t="n">
        <f aca="false">SUM(AS3:AS62)</f>
        <v>26842255.79</v>
      </c>
      <c r="AT63" s="35" t="n">
        <f aca="false">SUM(AT3:AT62)</f>
        <v>31798372.08</v>
      </c>
      <c r="AU63" s="35" t="n">
        <f aca="false">SUM(AU3:AU62)</f>
        <v>29718104.76</v>
      </c>
      <c r="AV63" s="35" t="n">
        <f aca="false">SUM(AV3:AV62)</f>
        <v>8776999.56</v>
      </c>
      <c r="AW63" s="35" t="n">
        <f aca="false">SUM(AW3:AW62)</f>
        <v>8431919.92</v>
      </c>
      <c r="AX63" s="35" t="n">
        <f aca="false">SUM(AX3:AX62)</f>
        <v>5411647.74</v>
      </c>
      <c r="AY63" s="35" t="n">
        <f aca="false">SUM(AY3:AY62)</f>
        <v>5057614.69</v>
      </c>
      <c r="AZ63" s="35" t="n">
        <f aca="false">SUM(AZ3:AZ62)</f>
        <v>13604649.65</v>
      </c>
      <c r="BA63" s="35" t="n">
        <f aca="false">SUM(BA3:BA62)</f>
        <v>8776919.25</v>
      </c>
      <c r="BB63" s="35" t="n">
        <f aca="false">SUM(BB3:BB62)</f>
        <v>1284664.05</v>
      </c>
      <c r="BC63" s="35" t="n">
        <f aca="false">SUM(BC3:BC62)</f>
        <v>9509979.22</v>
      </c>
      <c r="BD63" s="35" t="n">
        <f aca="false">SUM(BD3:BD62)</f>
        <v>1264825.93</v>
      </c>
      <c r="BE63" s="35" t="n">
        <f aca="false">SUM(BE3:BE62)</f>
        <v>952918.66</v>
      </c>
      <c r="BF63" s="35" t="n">
        <f aca="false">SUM(BF3:BF62)</f>
        <v>754629787.8</v>
      </c>
      <c r="BG63" s="35" t="n">
        <f aca="false">SUM(BG3:BG62)</f>
        <v>3825758.37</v>
      </c>
      <c r="BH63" s="35" t="n">
        <f aca="false">SUM(BH3:BH62)</f>
        <v>2862974.92</v>
      </c>
      <c r="BI63" s="35" t="n">
        <f aca="false">SUM(BI3:BI62)</f>
        <v>4960677.09</v>
      </c>
      <c r="BJ63" s="35" t="n">
        <f aca="false">SUM(BJ3:BJ62)</f>
        <v>4636146.78</v>
      </c>
      <c r="BK63" s="35" t="n">
        <f aca="false">SUM(BK3:BK62)</f>
        <v>3607765.16</v>
      </c>
      <c r="BL63" s="35" t="n">
        <f aca="false">SUM(BL3:BL62)</f>
        <v>3371743.06</v>
      </c>
      <c r="BM63" s="35" t="n">
        <f aca="false">SUM(BM3:BM62)</f>
        <v>8839024.62</v>
      </c>
      <c r="BN63" s="35" t="n">
        <f aca="false">SUM(BN3:BN62)</f>
        <v>10803486.2</v>
      </c>
      <c r="BO63" s="35" t="n">
        <f aca="false">SUM(BO3:BO62)</f>
        <v>5134588.72</v>
      </c>
      <c r="BP63" s="35" t="n">
        <f aca="false">SUM(BP3:BP62)</f>
        <v>13697123.16</v>
      </c>
      <c r="BQ63" s="35" t="n">
        <f aca="false">SUM(BQ3:BQ62)</f>
        <v>48762143.5</v>
      </c>
      <c r="BR63" s="35" t="n">
        <f aca="false">SUM(BR3:BR62)</f>
        <v>51550389.52</v>
      </c>
      <c r="BS63" s="35" t="n">
        <f aca="false">SUM(BS3:BS62)</f>
        <v>2621894.7</v>
      </c>
      <c r="BT63" s="35" t="n">
        <f aca="false">SUM(BT3:BT62)</f>
        <v>5016007.59</v>
      </c>
      <c r="BU63" s="35" t="n">
        <f aca="false">SUM(BU3:BU62)</f>
        <v>15899186.03</v>
      </c>
      <c r="BV63" s="35" t="n">
        <f aca="false">SUM(BV3:BV62)</f>
        <v>14859052.4</v>
      </c>
      <c r="BW63" s="35" t="n">
        <f aca="false">SUM(BW3:BW62)</f>
        <v>3167499.57</v>
      </c>
      <c r="BX63" s="35" t="n">
        <f aca="false">SUM(BX3:BX62)</f>
        <v>2950275.22</v>
      </c>
      <c r="BY63" s="35" t="n">
        <f aca="false">SUM(BY3:BY62)</f>
        <v>14315250.1</v>
      </c>
      <c r="BZ63" s="35" t="n">
        <f aca="false">SUM(BZ3:BZ62)</f>
        <v>16429698.3</v>
      </c>
      <c r="CA63" s="35" t="n">
        <f aca="false">SUM(CA3:CA62)</f>
        <v>5050871.24</v>
      </c>
      <c r="CB63" s="35" t="n">
        <f aca="false">SUM(CB3:CB62)</f>
        <v>4720440.27</v>
      </c>
      <c r="CC63" s="35" t="n">
        <f aca="false">SUM(CC3:CC62)</f>
        <v>7984099.24</v>
      </c>
      <c r="CD63" s="35" t="n">
        <f aca="false">SUM(CD3:CD62)</f>
        <v>14177109.97</v>
      </c>
      <c r="CE63" s="35" t="n">
        <f aca="false">SUM(CE3:CE62)</f>
        <v>1271934.93</v>
      </c>
      <c r="CF63" s="35" t="n">
        <f aca="false">SUM(CF3:CF62)</f>
        <v>1188724.18</v>
      </c>
      <c r="CG63" s="35" t="n">
        <f aca="false">SUM(CG3:CG62)</f>
        <v>146263171.57</v>
      </c>
      <c r="CH63" s="35" t="n">
        <f aca="false">SUM(CH3:CH62)</f>
        <v>900892959.37</v>
      </c>
      <c r="CI63" s="35" t="n">
        <f aca="false">SUM(CI3:CI62)</f>
        <v>924352906.8</v>
      </c>
      <c r="CJ63" s="35" t="n">
        <f aca="false">SUM(CJ3:CJ62)</f>
        <v>23459947.43</v>
      </c>
      <c r="CK63" s="35"/>
      <c r="CL63" s="35"/>
    </row>
  </sheetData>
  <mergeCells count="1">
    <mergeCell ref="A1:C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6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C3" activePane="bottomRight" state="frozen"/>
      <selection pane="topLeft" activeCell="A1" activeCellId="0" sqref="A1"/>
      <selection pane="topRight" activeCell="CC1" activeCellId="0" sqref="CC1"/>
      <selection pane="bottomLeft" activeCell="A3" activeCellId="0" sqref="A3"/>
      <selection pane="bottomRight" activeCell="CG3" activeCellId="0" sqref="CG3"/>
    </sheetView>
  </sheetViews>
  <sheetFormatPr defaultColWidth="8.70703125" defaultRowHeight="14.25" zeroHeight="false" outlineLevelRow="0" outlineLevelCol="0"/>
  <cols>
    <col collapsed="false" customWidth="true" hidden="false" outlineLevel="0" max="2" min="1" style="0" width="7"/>
    <col collapsed="false" customWidth="true" hidden="false" outlineLevel="0" max="30" min="3" style="0" width="10"/>
    <col collapsed="false" customWidth="true" hidden="false" outlineLevel="0" max="31" min="31" style="0" width="19"/>
    <col collapsed="false" customWidth="true" hidden="false" outlineLevel="0" max="32" min="32" style="0" width="10"/>
    <col collapsed="false" customWidth="true" hidden="false" outlineLevel="0" max="41" min="33" style="0" width="19"/>
    <col collapsed="false" customWidth="true" hidden="false" outlineLevel="0" max="89" min="42" style="0" width="18"/>
    <col collapsed="false" customWidth="true" hidden="false" outlineLevel="0" max="90" min="90" style="0" width="10"/>
    <col collapsed="false" customWidth="true" hidden="false" outlineLevel="0" max="91" min="91" style="0" width="24"/>
  </cols>
  <sheetData>
    <row r="1" customFormat="false" ht="23.25" hidden="false" customHeight="true" outlineLevel="0" collapsed="false">
      <c r="A1" s="38" t="s">
        <v>119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customFormat="false" ht="4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7" t="s">
        <v>115</v>
      </c>
      <c r="CF2" s="8" t="s">
        <v>116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customFormat="false" ht="14.25" hidden="false" customHeight="false" outlineLevel="0" collapsed="false">
      <c r="A3" s="28" t="s">
        <v>92</v>
      </c>
      <c r="B3" s="28" t="n">
        <v>2022</v>
      </c>
      <c r="C3" s="28" t="n">
        <v>21</v>
      </c>
      <c r="D3" s="28" t="n">
        <v>0</v>
      </c>
      <c r="E3" s="28" t="n">
        <v>1</v>
      </c>
      <c r="F3" s="28" t="n">
        <v>1</v>
      </c>
      <c r="G3" s="28" t="n">
        <v>0</v>
      </c>
      <c r="H3" s="28" t="n">
        <v>0</v>
      </c>
      <c r="I3" s="28" t="n">
        <v>0</v>
      </c>
      <c r="J3" s="28" t="n">
        <v>2</v>
      </c>
      <c r="K3" s="28" t="n">
        <v>1</v>
      </c>
      <c r="L3" s="28" t="n">
        <v>0</v>
      </c>
      <c r="M3" s="28" t="n">
        <v>0</v>
      </c>
      <c r="N3" s="28" t="n">
        <v>0</v>
      </c>
      <c r="O3" s="28" t="n">
        <v>0</v>
      </c>
      <c r="P3" s="28" t="n">
        <v>1</v>
      </c>
      <c r="Q3" s="28" t="n">
        <v>1</v>
      </c>
      <c r="R3" s="28" t="n">
        <v>0</v>
      </c>
      <c r="S3" s="28" t="n">
        <v>22</v>
      </c>
      <c r="T3" s="28" t="n">
        <v>5</v>
      </c>
      <c r="U3" s="28" t="n">
        <v>17</v>
      </c>
      <c r="V3" s="28" t="n">
        <v>22</v>
      </c>
      <c r="W3" s="28" t="n">
        <v>0</v>
      </c>
      <c r="X3" s="28" t="n">
        <v>2</v>
      </c>
      <c r="Y3" s="28" t="n">
        <v>5</v>
      </c>
      <c r="Z3" s="28" t="n">
        <v>7</v>
      </c>
      <c r="AA3" s="28" t="n">
        <v>5</v>
      </c>
      <c r="AB3" s="28" t="n">
        <v>2</v>
      </c>
      <c r="AC3" s="28" t="n">
        <v>1</v>
      </c>
      <c r="AD3" s="29" t="n">
        <v>0.571429</v>
      </c>
      <c r="AE3" s="29" t="n">
        <v>0</v>
      </c>
      <c r="AF3" s="30" t="n">
        <v>58.5</v>
      </c>
      <c r="AG3" s="31" t="n">
        <v>580000</v>
      </c>
      <c r="AH3" s="31" t="n">
        <v>920000</v>
      </c>
      <c r="AI3" s="31" t="n">
        <v>1500000</v>
      </c>
      <c r="AJ3" s="31" t="n">
        <v>2500000</v>
      </c>
      <c r="AK3" s="31" t="n">
        <v>4200000</v>
      </c>
      <c r="AL3" s="31" t="n">
        <v>7500000</v>
      </c>
      <c r="AM3" s="31" t="n">
        <v>2931874.98</v>
      </c>
      <c r="AN3" s="31" t="n">
        <v>5489935.9</v>
      </c>
      <c r="AO3" s="31" t="n">
        <v>5600628.83</v>
      </c>
      <c r="AP3" s="31" t="n">
        <v>548993.59</v>
      </c>
      <c r="AQ3" s="31" t="n">
        <v>513078.12</v>
      </c>
      <c r="AR3" s="31" t="n">
        <v>89835.31</v>
      </c>
      <c r="AS3" s="31" t="n">
        <v>307846.87</v>
      </c>
      <c r="AT3" s="31" t="n">
        <v>274496.8</v>
      </c>
      <c r="AU3" s="31" t="n">
        <v>256539.06</v>
      </c>
      <c r="AV3" s="31" t="n">
        <v>31219.15</v>
      </c>
      <c r="AW3" s="31" t="n">
        <v>37382.74</v>
      </c>
      <c r="AX3" s="31" t="n">
        <v>19999.77</v>
      </c>
      <c r="AY3" s="31" t="n">
        <v>18691.37</v>
      </c>
      <c r="AZ3" s="31" t="n">
        <v>13390.09</v>
      </c>
      <c r="BA3" s="31" t="n">
        <v>0</v>
      </c>
      <c r="BB3" s="31" t="n">
        <v>16957.33</v>
      </c>
      <c r="BC3" s="31" t="n">
        <v>831943.94</v>
      </c>
      <c r="BD3" s="31" t="n">
        <v>672.24</v>
      </c>
      <c r="BE3" s="31" t="n">
        <v>0</v>
      </c>
      <c r="BF3" s="31" t="n">
        <f aca="false">SUM(BE3,BC3,BA3,AY3,AW3,AU3,AS3,AQ3,AO3)</f>
        <v>7566110.93</v>
      </c>
      <c r="BG3" s="31" t="n">
        <v>3318.48</v>
      </c>
      <c r="BH3" s="31" t="n">
        <v>8722.64</v>
      </c>
      <c r="BI3" s="31" t="n">
        <v>18333.12</v>
      </c>
      <c r="BJ3" s="31" t="n">
        <v>17133.76</v>
      </c>
      <c r="BK3" s="31" t="n">
        <v>13333.18</v>
      </c>
      <c r="BL3" s="31" t="n">
        <v>12460.91</v>
      </c>
      <c r="BM3" s="31" t="n">
        <v>46666.12</v>
      </c>
      <c r="BN3" s="31" t="n">
        <v>43613.2</v>
      </c>
      <c r="BO3" s="31" t="n">
        <v>60605.35</v>
      </c>
      <c r="BP3" s="31" t="n">
        <v>417072.69</v>
      </c>
      <c r="BQ3" s="31" t="n">
        <v>241267.02</v>
      </c>
      <c r="BR3" s="31" t="n">
        <v>225483.2</v>
      </c>
      <c r="BS3" s="31" t="n">
        <v>7618.96</v>
      </c>
      <c r="BT3" s="31" t="n">
        <v>8307.28</v>
      </c>
      <c r="BU3" s="31" t="n">
        <v>137248.4</v>
      </c>
      <c r="BV3" s="31" t="n">
        <v>128269.53</v>
      </c>
      <c r="BW3" s="31" t="n">
        <v>5599.93</v>
      </c>
      <c r="BX3" s="31" t="n">
        <v>10903.3</v>
      </c>
      <c r="BY3" s="31" t="n">
        <v>5925.86</v>
      </c>
      <c r="BZ3" s="31" t="n">
        <v>12460.91</v>
      </c>
      <c r="CA3" s="31" t="n">
        <v>32666.29</v>
      </c>
      <c r="CB3" s="31" t="n">
        <v>30529.24</v>
      </c>
      <c r="CC3" s="31" t="n">
        <v>89835.31</v>
      </c>
      <c r="CD3" s="31" t="n">
        <v>153923.44</v>
      </c>
      <c r="CE3" s="31" t="n">
        <v>54899.36</v>
      </c>
      <c r="CF3" s="31" t="n">
        <v>51307.81</v>
      </c>
      <c r="CG3" s="31" t="n">
        <f aca="false">SUM(CF3,CD3,CB3,BZ3,BX3,BV3,BT3,BR3,BP3,BN3,BL3,BJ3,BH3)</f>
        <v>1120187.91</v>
      </c>
      <c r="CH3" s="31" t="n">
        <f aca="false">CG3+BF3</f>
        <v>8686298.84</v>
      </c>
      <c r="CI3" s="31" t="n">
        <f aca="false">SUM(CE3,CC3,CA3,BY3,BW3,BU3,BS3,BQ3,BO3,BM3,BK3,BI3,BG3,BD3,BB3,AZ3,AX3,AV3,AT3,AR3,AP3,AN3)</f>
        <v>7202817.56</v>
      </c>
      <c r="CJ3" s="31" t="n">
        <f aca="false">CI3-CH3</f>
        <v>-1483481.28</v>
      </c>
      <c r="CK3" s="31" t="str">
        <f aca="false">IF(CE3-CF3+CC3-CD3+CA3-CB3+BU3-BV3+BK3-BL3+BI3-BJ3 &gt; 0, CE3-CF3+CC3-CD3+CA3-CB3+BU3-BV3+BK3-BL3+BI3-BJ3, "-")</f>
        <v>-</v>
      </c>
      <c r="CL3" s="31" t="str">
        <f aca="false">IF(CJ3&lt;0,"⚠ Over Budget","✓ Within Budget")</f>
        <v>⚠ Over Budget</v>
      </c>
      <c r="CM3" s="33" t="s">
        <v>106</v>
      </c>
    </row>
    <row r="4" customFormat="false" ht="14.25" hidden="false" customHeight="false" outlineLevel="0" collapsed="false">
      <c r="A4" s="22" t="s">
        <v>93</v>
      </c>
      <c r="B4" s="22" t="n">
        <v>2022</v>
      </c>
      <c r="C4" s="22" t="n">
        <v>22</v>
      </c>
      <c r="D4" s="22" t="n">
        <v>1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1</v>
      </c>
      <c r="J4" s="22" t="n">
        <v>1</v>
      </c>
      <c r="K4" s="22" t="n">
        <v>1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1</v>
      </c>
      <c r="Q4" s="22" t="n">
        <v>1</v>
      </c>
      <c r="R4" s="22" t="n">
        <v>0</v>
      </c>
      <c r="S4" s="22" t="n">
        <v>22</v>
      </c>
      <c r="T4" s="22" t="n">
        <v>6</v>
      </c>
      <c r="U4" s="22" t="n">
        <v>16</v>
      </c>
      <c r="V4" s="22" t="n">
        <v>22</v>
      </c>
      <c r="W4" s="22" t="n">
        <v>0</v>
      </c>
      <c r="X4" s="22" t="n">
        <v>2</v>
      </c>
      <c r="Y4" s="22" t="n">
        <v>5</v>
      </c>
      <c r="Z4" s="22" t="n">
        <v>7</v>
      </c>
      <c r="AA4" s="22" t="n">
        <v>5</v>
      </c>
      <c r="AB4" s="22" t="n">
        <v>2</v>
      </c>
      <c r="AC4" s="22" t="n">
        <v>1</v>
      </c>
      <c r="AD4" s="23" t="n">
        <v>0.545455</v>
      </c>
      <c r="AE4" s="23" t="n">
        <v>0</v>
      </c>
      <c r="AF4" s="24" t="n">
        <v>59.1</v>
      </c>
      <c r="AG4" s="25" t="n">
        <v>580000</v>
      </c>
      <c r="AH4" s="25" t="n">
        <v>920000</v>
      </c>
      <c r="AI4" s="25" t="n">
        <v>1500000</v>
      </c>
      <c r="AJ4" s="25" t="n">
        <v>2500000</v>
      </c>
      <c r="AK4" s="25" t="n">
        <v>4200000</v>
      </c>
      <c r="AL4" s="25" t="n">
        <v>7500000</v>
      </c>
      <c r="AM4" s="25" t="n">
        <v>2931874.98</v>
      </c>
      <c r="AN4" s="25" t="n">
        <v>5228510.38</v>
      </c>
      <c r="AO4" s="25" t="n">
        <v>4886458.3</v>
      </c>
      <c r="AP4" s="25" t="n">
        <v>522851.04</v>
      </c>
      <c r="AQ4" s="25" t="n">
        <v>488645.83</v>
      </c>
      <c r="AR4" s="25" t="n">
        <v>14259.57</v>
      </c>
      <c r="AS4" s="25" t="n">
        <v>0</v>
      </c>
      <c r="AT4" s="25" t="n">
        <v>261425.52</v>
      </c>
      <c r="AU4" s="25" t="n">
        <v>244322.92</v>
      </c>
      <c r="AV4" s="25" t="n">
        <v>29732.52</v>
      </c>
      <c r="AW4" s="25" t="n">
        <v>35602.61</v>
      </c>
      <c r="AX4" s="25" t="n">
        <v>19047.4</v>
      </c>
      <c r="AY4" s="25" t="n">
        <v>17801.31</v>
      </c>
      <c r="AZ4" s="25" t="n">
        <v>12752.46</v>
      </c>
      <c r="BA4" s="25" t="n">
        <v>0</v>
      </c>
      <c r="BB4" s="25" t="n">
        <v>2543.6</v>
      </c>
      <c r="BC4" s="25" t="n">
        <v>0</v>
      </c>
      <c r="BD4" s="25" t="n">
        <v>252088.89</v>
      </c>
      <c r="BE4" s="25" t="n">
        <v>146593.75</v>
      </c>
      <c r="BF4" s="25" t="n">
        <f aca="false">SUM(BE4,BC4,BA4,AY4,AW4,AU4,AS4,AQ4,AO4)</f>
        <v>5819424.72</v>
      </c>
      <c r="BG4" s="25" t="n">
        <v>3160.46</v>
      </c>
      <c r="BH4" s="25" t="n">
        <v>8307.28</v>
      </c>
      <c r="BI4" s="25" t="n">
        <v>17460.11</v>
      </c>
      <c r="BJ4" s="25" t="n">
        <v>16317.86</v>
      </c>
      <c r="BK4" s="25" t="n">
        <v>12698.26</v>
      </c>
      <c r="BL4" s="25" t="n">
        <v>11867.54</v>
      </c>
      <c r="BM4" s="25" t="n">
        <v>44443.93</v>
      </c>
      <c r="BN4" s="25" t="n">
        <v>41536.38</v>
      </c>
      <c r="BO4" s="25" t="n">
        <v>4328.95</v>
      </c>
      <c r="BP4" s="25" t="n">
        <v>0</v>
      </c>
      <c r="BQ4" s="25" t="n">
        <v>226187.84</v>
      </c>
      <c r="BR4" s="25" t="n">
        <v>211390.5</v>
      </c>
      <c r="BS4" s="25" t="n">
        <v>7142.77</v>
      </c>
      <c r="BT4" s="25" t="n">
        <v>7788.07</v>
      </c>
      <c r="BU4" s="25" t="n">
        <v>130712.76</v>
      </c>
      <c r="BV4" s="25" t="n">
        <v>122161.46</v>
      </c>
      <c r="BW4" s="25" t="n">
        <v>5333.27</v>
      </c>
      <c r="BX4" s="25" t="n">
        <v>10384.09</v>
      </c>
      <c r="BY4" s="25" t="n">
        <v>5643.67</v>
      </c>
      <c r="BZ4" s="25" t="n">
        <v>11867.54</v>
      </c>
      <c r="CA4" s="25" t="n">
        <v>31110.75</v>
      </c>
      <c r="CB4" s="25" t="n">
        <v>29075.47</v>
      </c>
      <c r="CC4" s="25" t="n">
        <v>85557.44</v>
      </c>
      <c r="CD4" s="25" t="n">
        <v>146593.75</v>
      </c>
      <c r="CE4" s="25" t="n">
        <v>52285.1</v>
      </c>
      <c r="CF4" s="25" t="n">
        <v>48864.58</v>
      </c>
      <c r="CG4" s="25" t="n">
        <f aca="false">SUM(CF4,CD4,CB4,BZ4,BX4,BV4,BT4,BR4,BP4,BN4,BL4,BJ4,BH4)</f>
        <v>666154.52</v>
      </c>
      <c r="CH4" s="25" t="n">
        <f aca="false">CG4+BF4</f>
        <v>6485579.24</v>
      </c>
      <c r="CI4" s="25" t="n">
        <f aca="false">SUM(CE4,CC4,CA4,BY4,BW4,BU4,BS4,BQ4,BO4,BM4,BK4,BI4,BG4,BD4,BB4,AZ4,AX4,AV4,AT4,AR4,AP4,AN4)</f>
        <v>6969276.69</v>
      </c>
      <c r="CJ4" s="25" t="n">
        <f aca="false">CI4-CH4</f>
        <v>483697.449999999</v>
      </c>
      <c r="CK4" s="25" t="str">
        <f aca="false">IF(CE4-CF4+CC4-CD4+CA4-CB4+BU4-BV4+BK4-BL4+BI4-BJ4 &gt; 0, CE4-CF4+CC4-CD4+CA4-CB4+BU4-BV4+BK4-BL4+BI4-BJ4, "-")</f>
        <v>-</v>
      </c>
      <c r="CL4" s="25" t="str">
        <f aca="false">IF(CJ4&lt;0,"⚠ Over Budget","✓ Within Budget")</f>
        <v>✓ Within Budget</v>
      </c>
      <c r="CM4" s="27"/>
    </row>
    <row r="5" customFormat="false" ht="18.75" hidden="false" customHeight="true" outlineLevel="0" collapsed="false">
      <c r="A5" s="28" t="s">
        <v>94</v>
      </c>
      <c r="B5" s="28" t="n">
        <v>2022</v>
      </c>
      <c r="C5" s="28" t="n">
        <v>22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8" t="n">
        <v>0</v>
      </c>
      <c r="K5" s="28" t="n">
        <v>1</v>
      </c>
      <c r="L5" s="28" t="n">
        <v>0</v>
      </c>
      <c r="M5" s="28" t="n">
        <v>0</v>
      </c>
      <c r="N5" s="28" t="n">
        <v>0</v>
      </c>
      <c r="O5" s="28" t="n">
        <v>0</v>
      </c>
      <c r="P5" s="28" t="n">
        <v>1</v>
      </c>
      <c r="Q5" s="28" t="n">
        <v>1</v>
      </c>
      <c r="R5" s="28" t="n">
        <v>0</v>
      </c>
      <c r="S5" s="28" t="n">
        <v>21</v>
      </c>
      <c r="T5" s="28" t="n">
        <v>5</v>
      </c>
      <c r="U5" s="28" t="n">
        <v>16</v>
      </c>
      <c r="V5" s="28" t="n">
        <v>21</v>
      </c>
      <c r="W5" s="28" t="n">
        <v>0</v>
      </c>
      <c r="X5" s="28" t="n">
        <v>2</v>
      </c>
      <c r="Y5" s="28" t="n">
        <v>5</v>
      </c>
      <c r="Z5" s="28" t="n">
        <v>7</v>
      </c>
      <c r="AA5" s="28" t="n">
        <v>5</v>
      </c>
      <c r="AB5" s="28" t="n">
        <v>2</v>
      </c>
      <c r="AC5" s="28" t="n">
        <v>1</v>
      </c>
      <c r="AD5" s="29" t="n">
        <v>0.545455</v>
      </c>
      <c r="AE5" s="29" t="n">
        <v>0</v>
      </c>
      <c r="AF5" s="30" t="n">
        <v>60.2</v>
      </c>
      <c r="AG5" s="31" t="n">
        <v>580000</v>
      </c>
      <c r="AH5" s="31" t="n">
        <v>920000</v>
      </c>
      <c r="AI5" s="31" t="n">
        <v>1500000</v>
      </c>
      <c r="AJ5" s="31" t="n">
        <v>2500000</v>
      </c>
      <c r="AK5" s="31" t="n">
        <v>4200000</v>
      </c>
      <c r="AL5" s="31" t="n">
        <v>7500000</v>
      </c>
      <c r="AM5" s="31" t="n">
        <v>2931874.98</v>
      </c>
      <c r="AN5" s="31" t="n">
        <v>4705659.35</v>
      </c>
      <c r="AO5" s="31" t="n">
        <v>4397812.47</v>
      </c>
      <c r="AP5" s="31" t="n">
        <v>470565.93</v>
      </c>
      <c r="AQ5" s="31" t="n">
        <v>439781.25</v>
      </c>
      <c r="AR5" s="31" t="n">
        <v>21389.36</v>
      </c>
      <c r="AS5" s="31" t="n">
        <v>0</v>
      </c>
      <c r="AT5" s="31" t="n">
        <v>235282.97</v>
      </c>
      <c r="AU5" s="31" t="n">
        <v>219890.62</v>
      </c>
      <c r="AV5" s="31" t="n">
        <v>25086.82</v>
      </c>
      <c r="AW5" s="31" t="n">
        <v>24031.76</v>
      </c>
      <c r="AX5" s="31" t="n">
        <v>17142.66</v>
      </c>
      <c r="AY5" s="31" t="n">
        <v>16021.17</v>
      </c>
      <c r="AZ5" s="31" t="n">
        <v>36727.1</v>
      </c>
      <c r="BA5" s="31" t="n">
        <v>0</v>
      </c>
      <c r="BB5" s="31" t="n">
        <v>4239.33</v>
      </c>
      <c r="BC5" s="31" t="n">
        <v>0</v>
      </c>
      <c r="BD5" s="31" t="n">
        <v>840.3</v>
      </c>
      <c r="BE5" s="31" t="n">
        <v>0</v>
      </c>
      <c r="BF5" s="31" t="n">
        <f aca="false">SUM(BE5,BC5,BA5,AY5,AW5,AU5,AS5,AQ5,AO5)</f>
        <v>5097537.27</v>
      </c>
      <c r="BG5" s="31" t="n">
        <v>2844.41</v>
      </c>
      <c r="BH5" s="31" t="n">
        <v>7476.55</v>
      </c>
      <c r="BI5" s="31" t="n">
        <v>15714.1</v>
      </c>
      <c r="BJ5" s="31" t="n">
        <v>14686.08</v>
      </c>
      <c r="BK5" s="31" t="n">
        <v>11428.44</v>
      </c>
      <c r="BL5" s="31" t="n">
        <v>396506.5</v>
      </c>
      <c r="BM5" s="31" t="n">
        <v>39999.53</v>
      </c>
      <c r="BN5" s="31" t="n">
        <v>37382.74</v>
      </c>
      <c r="BO5" s="31" t="n">
        <v>4328.95</v>
      </c>
      <c r="BP5" s="31" t="n">
        <v>0</v>
      </c>
      <c r="BQ5" s="31" t="n">
        <v>211108.65</v>
      </c>
      <c r="BR5" s="31" t="n">
        <v>197297.8</v>
      </c>
      <c r="BS5" s="31" t="n">
        <v>7407.32</v>
      </c>
      <c r="BT5" s="31" t="n">
        <v>7268.87</v>
      </c>
      <c r="BU5" s="31" t="n">
        <v>117641.48</v>
      </c>
      <c r="BV5" s="31" t="n">
        <v>109945.31</v>
      </c>
      <c r="BW5" s="31" t="n">
        <v>4799.94</v>
      </c>
      <c r="BX5" s="31" t="n">
        <v>9345.69</v>
      </c>
      <c r="BY5" s="31" t="n">
        <v>30578.06</v>
      </c>
      <c r="BZ5" s="31" t="n">
        <v>26791.53</v>
      </c>
      <c r="CA5" s="31" t="n">
        <v>27999.67</v>
      </c>
      <c r="CB5" s="31" t="n">
        <v>26167.92</v>
      </c>
      <c r="CC5" s="31" t="n">
        <v>1277050.15</v>
      </c>
      <c r="CD5" s="31" t="n">
        <v>1980921.32</v>
      </c>
      <c r="CE5" s="31" t="n">
        <v>47056.59</v>
      </c>
      <c r="CF5" s="31" t="n">
        <v>43978.12</v>
      </c>
      <c r="CG5" s="31" t="n">
        <f aca="false">SUM(CF5,CD5,CB5,BZ5,BX5,BV5,BT5,BR5,BP5,BN5,BL5,BJ5,BH5)</f>
        <v>2857768.43</v>
      </c>
      <c r="CH5" s="31" t="n">
        <f aca="false">CG5+BF5</f>
        <v>7955305.7</v>
      </c>
      <c r="CI5" s="31" t="n">
        <f aca="false">SUM(CE5,CC5,CA5,BY5,BW5,BU5,BS5,BQ5,BO5,BM5,BK5,BI5,BG5,BD5,BB5,AZ5,AX5,AV5,AT5,AR5,AP5,AN5)</f>
        <v>7314891.11</v>
      </c>
      <c r="CJ5" s="31" t="n">
        <f aca="false">CI5-CH5</f>
        <v>-640414.59</v>
      </c>
      <c r="CK5" s="31" t="str">
        <f aca="false">IF(CE5-CF5+CC5-CD5+CA5-CB5+BU5-BV5+BK5-BL5+BI5-BJ5 &gt; 0, CE5-CF5+CC5-CD5+CA5-CB5+BU5-BV5+BK5-BL5+BI5-BJ5, "-")</f>
        <v>-</v>
      </c>
      <c r="CL5" s="31" t="str">
        <f aca="false">IF(CJ5&lt;0,"⚠ Over Budget","✓ Within Budget")</f>
        <v>⚠ Over Budget</v>
      </c>
      <c r="CM5" s="33" t="s">
        <v>95</v>
      </c>
    </row>
    <row r="6" customFormat="false" ht="18.75" hidden="false" customHeight="true" outlineLevel="0" collapsed="false">
      <c r="A6" s="28" t="s">
        <v>96</v>
      </c>
      <c r="B6" s="28" t="n">
        <v>2022</v>
      </c>
      <c r="C6" s="28" t="n">
        <v>21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8" t="n">
        <v>0</v>
      </c>
      <c r="O6" s="28" t="n">
        <v>0</v>
      </c>
      <c r="P6" s="28" t="n">
        <v>0</v>
      </c>
      <c r="Q6" s="28" t="n">
        <v>0</v>
      </c>
      <c r="R6" s="28" t="n">
        <v>0</v>
      </c>
      <c r="S6" s="28" t="n">
        <v>21</v>
      </c>
      <c r="T6" s="28" t="n">
        <v>5</v>
      </c>
      <c r="U6" s="28" t="n">
        <v>16</v>
      </c>
      <c r="V6" s="28" t="n">
        <v>21</v>
      </c>
      <c r="W6" s="28" t="n">
        <v>0</v>
      </c>
      <c r="X6" s="28" t="n">
        <v>2</v>
      </c>
      <c r="Y6" s="28" t="n">
        <v>5</v>
      </c>
      <c r="Z6" s="28" t="n">
        <v>7</v>
      </c>
      <c r="AA6" s="28" t="n">
        <v>5</v>
      </c>
      <c r="AB6" s="28" t="n">
        <v>2</v>
      </c>
      <c r="AC6" s="28" t="n">
        <v>1</v>
      </c>
      <c r="AD6" s="29" t="n">
        <v>0</v>
      </c>
      <c r="AE6" s="29" t="n">
        <v>0.097899259332127</v>
      </c>
      <c r="AF6" s="30" t="n">
        <v>60.8</v>
      </c>
      <c r="AG6" s="31" t="n">
        <v>650588</v>
      </c>
      <c r="AH6" s="31" t="n">
        <v>1020829</v>
      </c>
      <c r="AI6" s="31" t="n">
        <v>1639094</v>
      </c>
      <c r="AJ6" s="31" t="n">
        <v>2736234</v>
      </c>
      <c r="AK6" s="31" t="n">
        <v>4521254</v>
      </c>
      <c r="AL6" s="31" t="n">
        <v>8089955</v>
      </c>
      <c r="AM6" s="31" t="n">
        <v>3198517.68</v>
      </c>
      <c r="AN6" s="31" t="n">
        <v>5133620.87</v>
      </c>
      <c r="AO6" s="31" t="n">
        <v>5851040.9</v>
      </c>
      <c r="AP6" s="31" t="n">
        <v>513362.09</v>
      </c>
      <c r="AQ6" s="31" t="n">
        <v>479777.65</v>
      </c>
      <c r="AR6" s="31" t="n">
        <v>261347.97</v>
      </c>
      <c r="AS6" s="31" t="n">
        <v>335844.36</v>
      </c>
      <c r="AT6" s="31" t="n">
        <v>256681.04</v>
      </c>
      <c r="AU6" s="31" t="n">
        <v>239888.83</v>
      </c>
      <c r="AV6" s="31" t="n">
        <v>30104.18</v>
      </c>
      <c r="AW6" s="31" t="n">
        <v>24031.76</v>
      </c>
      <c r="AX6" s="31" t="n">
        <v>17142.66</v>
      </c>
      <c r="AY6" s="31" t="n">
        <v>16021.17</v>
      </c>
      <c r="AZ6" s="31" t="n">
        <v>50084.11</v>
      </c>
      <c r="BA6" s="31" t="n">
        <v>0</v>
      </c>
      <c r="BB6" s="31" t="n">
        <v>4624.88</v>
      </c>
      <c r="BC6" s="31" t="n">
        <v>0</v>
      </c>
      <c r="BD6" s="31" t="n">
        <v>305.57</v>
      </c>
      <c r="BE6" s="31" t="n">
        <v>0</v>
      </c>
      <c r="BF6" s="31" t="n">
        <f aca="false">SUM(BE6,BC6,BA6,AY6,AW6,AU6,AS6,AQ6,AO6)</f>
        <v>6946604.67</v>
      </c>
      <c r="BG6" s="31" t="n">
        <v>49167.68</v>
      </c>
      <c r="BH6" s="31" t="n">
        <v>23497.72</v>
      </c>
      <c r="BI6" s="31" t="n">
        <v>15714.1</v>
      </c>
      <c r="BJ6" s="31" t="n">
        <v>14686.08</v>
      </c>
      <c r="BK6" s="31" t="n">
        <v>11428.44</v>
      </c>
      <c r="BL6" s="31" t="n">
        <v>10680.78</v>
      </c>
      <c r="BM6" s="31" t="n">
        <v>39999.53</v>
      </c>
      <c r="BN6" s="31" t="n">
        <v>37382.74</v>
      </c>
      <c r="BO6" s="31" t="n">
        <v>21644.77</v>
      </c>
      <c r="BP6" s="31" t="n">
        <v>902798.04</v>
      </c>
      <c r="BQ6" s="31" t="n">
        <v>211108.65</v>
      </c>
      <c r="BR6" s="31" t="n">
        <v>197297.8</v>
      </c>
      <c r="BS6" s="31" t="n">
        <v>7407.32</v>
      </c>
      <c r="BT6" s="31" t="n">
        <v>7268.87</v>
      </c>
      <c r="BU6" s="31" t="n">
        <v>128340.52</v>
      </c>
      <c r="BV6" s="31" t="n">
        <v>119944.41</v>
      </c>
      <c r="BW6" s="31" t="n">
        <v>19199.78</v>
      </c>
      <c r="BX6" s="31" t="n">
        <v>9345.69</v>
      </c>
      <c r="BY6" s="31" t="n">
        <v>5079.31</v>
      </c>
      <c r="BZ6" s="31" t="n">
        <v>10680.78</v>
      </c>
      <c r="CA6" s="31" t="n">
        <v>27999.67</v>
      </c>
      <c r="CB6" s="31" t="n">
        <v>26167.92</v>
      </c>
      <c r="CC6" s="31" t="n">
        <v>918272.94</v>
      </c>
      <c r="CD6" s="31" t="n">
        <v>1367937.35</v>
      </c>
      <c r="CE6" s="31" t="n">
        <v>51336.21</v>
      </c>
      <c r="CF6" s="31" t="n">
        <v>47977.77</v>
      </c>
      <c r="CG6" s="31" t="n">
        <f aca="false">SUM(CF6,CD6,CB6,BZ6,BX6,BV6,BT6,BR6,BP6,BN6,BL6,BJ6,BH6)</f>
        <v>2775665.95</v>
      </c>
      <c r="CH6" s="31" t="n">
        <f aca="false">CG6+BF6</f>
        <v>9722270.62</v>
      </c>
      <c r="CI6" s="31" t="n">
        <f aca="false">SUM(CE6,CC6,CA6,BY6,BW6,BU6,BS6,BQ6,BO6,BM6,BK6,BI6,BG6,BD6,BB6,AZ6,AX6,AV6,AT6,AR6,AP6,AN6)</f>
        <v>7773972.29</v>
      </c>
      <c r="CJ6" s="31" t="n">
        <f aca="false">CI6-CH6</f>
        <v>-1948298.33</v>
      </c>
      <c r="CK6" s="31" t="str">
        <f aca="false">IF(CE6-CF6+CC6-CD6+CA6-CB6+BU6-BV6+BK6-BL6+BI6-BJ6 &gt; 0, CE6-CF6+CC6-CD6+CA6-CB6+BU6-BV6+BK6-BL6+BI6-BJ6, "-")</f>
        <v>-</v>
      </c>
      <c r="CL6" s="31" t="str">
        <f aca="false">IF(CJ6&lt;0,"⚠ Over Budget","✓ Within Budget")</f>
        <v>⚠ Over Budget</v>
      </c>
      <c r="CM6" s="33" t="s">
        <v>97</v>
      </c>
    </row>
    <row r="7" customFormat="false" ht="14.25" hidden="false" customHeight="false" outlineLevel="0" collapsed="false">
      <c r="A7" s="16" t="s">
        <v>98</v>
      </c>
      <c r="B7" s="16" t="n">
        <v>2022</v>
      </c>
      <c r="C7" s="16" t="n">
        <v>21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21</v>
      </c>
      <c r="T7" s="16" t="n">
        <v>5</v>
      </c>
      <c r="U7" s="16" t="n">
        <v>16</v>
      </c>
      <c r="V7" s="16" t="n">
        <v>21</v>
      </c>
      <c r="W7" s="16" t="n">
        <v>0</v>
      </c>
      <c r="X7" s="16" t="n">
        <v>2</v>
      </c>
      <c r="Y7" s="16" t="n">
        <v>5</v>
      </c>
      <c r="Z7" s="16" t="n">
        <v>7</v>
      </c>
      <c r="AA7" s="16" t="n">
        <v>5</v>
      </c>
      <c r="AB7" s="16" t="n">
        <v>2</v>
      </c>
      <c r="AC7" s="16" t="n">
        <v>1</v>
      </c>
      <c r="AD7" s="17" t="n">
        <v>0</v>
      </c>
      <c r="AE7" s="17" t="n">
        <v>0</v>
      </c>
      <c r="AF7" s="18" t="n">
        <v>61.4</v>
      </c>
      <c r="AG7" s="19" t="n">
        <v>650588</v>
      </c>
      <c r="AH7" s="19" t="n">
        <v>1020829</v>
      </c>
      <c r="AI7" s="19" t="n">
        <v>1639094</v>
      </c>
      <c r="AJ7" s="19" t="n">
        <v>2736234</v>
      </c>
      <c r="AK7" s="19" t="n">
        <v>4521254</v>
      </c>
      <c r="AL7" s="19" t="n">
        <v>8089955</v>
      </c>
      <c r="AM7" s="19" t="n">
        <v>3198517.68</v>
      </c>
      <c r="AN7" s="19" t="n">
        <v>5133620.87</v>
      </c>
      <c r="AO7" s="19" t="n">
        <v>4797776.52</v>
      </c>
      <c r="AP7" s="19" t="n">
        <v>513362.09</v>
      </c>
      <c r="AQ7" s="19" t="n">
        <v>479777.65</v>
      </c>
      <c r="AR7" s="19" t="n">
        <v>18667.71</v>
      </c>
      <c r="AS7" s="19" t="n">
        <v>0</v>
      </c>
      <c r="AT7" s="19" t="n">
        <v>256681.04</v>
      </c>
      <c r="AU7" s="19" t="n">
        <v>239888.83</v>
      </c>
      <c r="AV7" s="19" t="n">
        <v>32612.86</v>
      </c>
      <c r="AW7" s="19" t="n">
        <v>24031.76</v>
      </c>
      <c r="AX7" s="19" t="n">
        <v>17142.66</v>
      </c>
      <c r="AY7" s="19" t="n">
        <v>16021.17</v>
      </c>
      <c r="AZ7" s="19" t="n">
        <v>15025.23</v>
      </c>
      <c r="BA7" s="19" t="n">
        <v>0</v>
      </c>
      <c r="BB7" s="19" t="n">
        <v>1849.95</v>
      </c>
      <c r="BC7" s="19" t="n">
        <v>0</v>
      </c>
      <c r="BD7" s="19" t="n">
        <v>305.57</v>
      </c>
      <c r="BE7" s="19" t="n">
        <v>0</v>
      </c>
      <c r="BF7" s="19" t="n">
        <f aca="false">SUM(BE7,BC7,BA7,AY7,AW7,AU7,AS7,AQ7,AO7)</f>
        <v>5557495.93</v>
      </c>
      <c r="BG7" s="19" t="n">
        <v>32913.9</v>
      </c>
      <c r="BH7" s="19" t="n">
        <v>19225.41</v>
      </c>
      <c r="BI7" s="19" t="n">
        <v>15714.1</v>
      </c>
      <c r="BJ7" s="19" t="n">
        <v>14686.08</v>
      </c>
      <c r="BK7" s="19" t="n">
        <v>11428.44</v>
      </c>
      <c r="BL7" s="19" t="n">
        <v>10680.78</v>
      </c>
      <c r="BM7" s="19" t="n">
        <v>39999.53</v>
      </c>
      <c r="BN7" s="19" t="n">
        <v>37382.74</v>
      </c>
      <c r="BO7" s="19" t="n">
        <v>8657.91</v>
      </c>
      <c r="BP7" s="19" t="n">
        <v>0</v>
      </c>
      <c r="BQ7" s="19" t="n">
        <v>211108.65</v>
      </c>
      <c r="BR7" s="19" t="n">
        <v>197297.8</v>
      </c>
      <c r="BS7" s="19" t="n">
        <v>8148.05</v>
      </c>
      <c r="BT7" s="19" t="n">
        <v>7268.87</v>
      </c>
      <c r="BU7" s="19" t="n">
        <v>128340.52</v>
      </c>
      <c r="BV7" s="19" t="n">
        <v>119944.41</v>
      </c>
      <c r="BW7" s="19" t="n">
        <v>14399.83</v>
      </c>
      <c r="BX7" s="19" t="n">
        <v>9345.69</v>
      </c>
      <c r="BY7" s="19" t="n">
        <v>5079.31</v>
      </c>
      <c r="BZ7" s="19" t="n">
        <v>10680.78</v>
      </c>
      <c r="CA7" s="19" t="n">
        <v>27999.67</v>
      </c>
      <c r="CB7" s="19" t="n">
        <v>26167.92</v>
      </c>
      <c r="CC7" s="19" t="n">
        <v>134407.53</v>
      </c>
      <c r="CD7" s="19" t="n">
        <v>143933.3</v>
      </c>
      <c r="CE7" s="19" t="n">
        <v>51336.21</v>
      </c>
      <c r="CF7" s="19" t="n">
        <v>47977.77</v>
      </c>
      <c r="CG7" s="19" t="n">
        <f aca="false">SUM(CF7,CD7,CB7,BZ7,BX7,BV7,BT7,BR7,BP7,BN7,BL7,BJ7,BH7)</f>
        <v>644591.55</v>
      </c>
      <c r="CH7" s="19" t="n">
        <f aca="false">CG7+BF7</f>
        <v>6202087.48</v>
      </c>
      <c r="CI7" s="19" t="n">
        <f aca="false">SUM(CE7,CC7,CA7,BY7,BW7,BU7,BS7,BQ7,BO7,BM7,BK7,BI7,BG7,BD7,BB7,AZ7,AX7,AV7,AT7,AR7,AP7,AN7)</f>
        <v>6678801.63</v>
      </c>
      <c r="CJ7" s="19" t="n">
        <f aca="false">CI7-CH7</f>
        <v>476714.15</v>
      </c>
      <c r="CK7" s="19" t="n">
        <f aca="false">IF(CE7-CF7+CC7-CD7+CA7-CB7+BU7-BV7+BK7-BL7+BI7-BJ7 &gt; 0, CE7-CF7+CC7-CD7+CA7-CB7+BU7-BV7+BK7-BL7+BI7-BJ7, "-")</f>
        <v>5836.21000000002</v>
      </c>
      <c r="CL7" s="19" t="str">
        <f aca="false">IF(CJ7&lt;0,"⚠ Over Budget","✓ Within Budget")</f>
        <v>✓ Within Budget</v>
      </c>
      <c r="CM7" s="21"/>
    </row>
    <row r="8" customFormat="false" ht="18.75" hidden="false" customHeight="true" outlineLevel="0" collapsed="false">
      <c r="A8" s="28" t="s">
        <v>99</v>
      </c>
      <c r="B8" s="28" t="n">
        <v>2022</v>
      </c>
      <c r="C8" s="28" t="n">
        <v>21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21</v>
      </c>
      <c r="T8" s="28" t="n">
        <v>4</v>
      </c>
      <c r="U8" s="28" t="n">
        <v>17</v>
      </c>
      <c r="V8" s="28" t="n">
        <v>21</v>
      </c>
      <c r="W8" s="28" t="n">
        <v>0</v>
      </c>
      <c r="X8" s="28" t="n">
        <v>2</v>
      </c>
      <c r="Y8" s="28" t="n">
        <v>5</v>
      </c>
      <c r="Z8" s="28" t="n">
        <v>7</v>
      </c>
      <c r="AA8" s="28" t="n">
        <v>5</v>
      </c>
      <c r="AB8" s="28" t="n">
        <v>2</v>
      </c>
      <c r="AC8" s="28" t="n">
        <v>1</v>
      </c>
      <c r="AD8" s="29" t="n">
        <v>0</v>
      </c>
      <c r="AE8" s="29" t="n">
        <v>0</v>
      </c>
      <c r="AF8" s="30" t="n">
        <v>60.9</v>
      </c>
      <c r="AG8" s="31" t="n">
        <v>650588</v>
      </c>
      <c r="AH8" s="31" t="n">
        <v>1020829</v>
      </c>
      <c r="AI8" s="31" t="n">
        <v>1639094</v>
      </c>
      <c r="AJ8" s="31" t="n">
        <v>2736234</v>
      </c>
      <c r="AK8" s="31" t="n">
        <v>4521254</v>
      </c>
      <c r="AL8" s="31" t="n">
        <v>8089955</v>
      </c>
      <c r="AM8" s="31" t="n">
        <v>3198517.68</v>
      </c>
      <c r="AN8" s="31" t="n">
        <v>5133620.87</v>
      </c>
      <c r="AO8" s="31" t="n">
        <v>4797776.52</v>
      </c>
      <c r="AP8" s="31" t="n">
        <v>513362.09</v>
      </c>
      <c r="AQ8" s="31" t="n">
        <v>479777.65</v>
      </c>
      <c r="AR8" s="31" t="n">
        <v>18667.71</v>
      </c>
      <c r="AS8" s="31" t="n">
        <v>0</v>
      </c>
      <c r="AT8" s="31" t="n">
        <v>256681.04</v>
      </c>
      <c r="AU8" s="31" t="n">
        <v>239888.83</v>
      </c>
      <c r="AV8" s="31" t="n">
        <v>37630.22</v>
      </c>
      <c r="AW8" s="31" t="n">
        <v>24031.76</v>
      </c>
      <c r="AX8" s="31" t="n">
        <v>17142.66</v>
      </c>
      <c r="AY8" s="31" t="n">
        <v>16021.17</v>
      </c>
      <c r="AZ8" s="31" t="n">
        <v>15025.23</v>
      </c>
      <c r="BA8" s="31" t="n">
        <v>0</v>
      </c>
      <c r="BB8" s="31" t="n">
        <v>2774.93</v>
      </c>
      <c r="BC8" s="31" t="n">
        <v>0</v>
      </c>
      <c r="BD8" s="31" t="n">
        <v>611.15</v>
      </c>
      <c r="BE8" s="31" t="n">
        <v>0</v>
      </c>
      <c r="BF8" s="31" t="n">
        <f aca="false">SUM(BE8,BC8,BA8,AY8,AW8,AU8,AS8,AQ8,AO8)</f>
        <v>5557495.93</v>
      </c>
      <c r="BG8" s="31" t="n">
        <v>5688.82</v>
      </c>
      <c r="BH8" s="31" t="n">
        <v>7476.55</v>
      </c>
      <c r="BI8" s="31" t="n">
        <v>15714.1</v>
      </c>
      <c r="BJ8" s="31" t="n">
        <v>14686.08</v>
      </c>
      <c r="BK8" s="31" t="n">
        <v>11428.44</v>
      </c>
      <c r="BL8" s="31" t="n">
        <v>10680.78</v>
      </c>
      <c r="BM8" s="31" t="n">
        <v>39999.53</v>
      </c>
      <c r="BN8" s="31" t="n">
        <v>37382.74</v>
      </c>
      <c r="BO8" s="31" t="n">
        <v>4328.95</v>
      </c>
      <c r="BP8" s="31" t="n">
        <v>0</v>
      </c>
      <c r="BQ8" s="31" t="n">
        <v>226187.84</v>
      </c>
      <c r="BR8" s="31" t="n">
        <v>1111255.46</v>
      </c>
      <c r="BS8" s="31" t="n">
        <v>10317.34</v>
      </c>
      <c r="BT8" s="31" t="n">
        <v>393444.48</v>
      </c>
      <c r="BU8" s="31" t="n">
        <v>128340.52</v>
      </c>
      <c r="BV8" s="31" t="n">
        <v>119944.41</v>
      </c>
      <c r="BW8" s="31" t="n">
        <v>9599.89</v>
      </c>
      <c r="BX8" s="31" t="n">
        <v>9345.69</v>
      </c>
      <c r="BY8" s="31" t="n">
        <v>139071.05</v>
      </c>
      <c r="BZ8" s="31" t="n">
        <v>58487.83</v>
      </c>
      <c r="CA8" s="31" t="n">
        <v>27999.67</v>
      </c>
      <c r="CB8" s="31" t="n">
        <v>26167.92</v>
      </c>
      <c r="CC8" s="31" t="n">
        <v>84004.71</v>
      </c>
      <c r="CD8" s="31" t="n">
        <v>143933.3</v>
      </c>
      <c r="CE8" s="31" t="n">
        <v>51336.21</v>
      </c>
      <c r="CF8" s="31" t="n">
        <v>47977.77</v>
      </c>
      <c r="CG8" s="31" t="n">
        <f aca="false">SUM(CF8,CD8,CB8,BZ8,BX8,BV8,BT8,BR8,BP8,BN8,BL8,BJ8,BH8)</f>
        <v>1980783.01</v>
      </c>
      <c r="CH8" s="31" t="n">
        <f aca="false">CG8+BF8</f>
        <v>7538278.94</v>
      </c>
      <c r="CI8" s="31" t="n">
        <f aca="false">SUM(CE8,CC8,CA8,BY8,BW8,BU8,BS8,BQ8,BO8,BM8,BK8,BI8,BG8,BD8,BB8,AZ8,AX8,AV8,AT8,AR8,AP8,AN8)</f>
        <v>6749532.97</v>
      </c>
      <c r="CJ8" s="31" t="n">
        <f aca="false">CI8-CH8</f>
        <v>-788745.97</v>
      </c>
      <c r="CK8" s="31" t="str">
        <f aca="false">IF(CE8-CF8+CC8-CD8+CA8-CB8+BU8-BV8+BK8-BL8+BI8-BJ8 &gt; 0, CE8-CF8+CC8-CD8+CA8-CB8+BU8-BV8+BK8-BL8+BI8-BJ8, "-")</f>
        <v>-</v>
      </c>
      <c r="CL8" s="31" t="str">
        <f aca="false">IF(CJ8&lt;0,"⚠ Over Budget","✓ Within Budget")</f>
        <v>⚠ Over Budget</v>
      </c>
      <c r="CM8" s="33" t="s">
        <v>108</v>
      </c>
    </row>
    <row r="9" customFormat="false" ht="14.25" hidden="false" customHeight="false" outlineLevel="0" collapsed="false">
      <c r="A9" s="16" t="s">
        <v>100</v>
      </c>
      <c r="B9" s="16" t="n">
        <v>2022</v>
      </c>
      <c r="C9" s="16" t="n">
        <v>21</v>
      </c>
      <c r="D9" s="16" t="n">
        <v>1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1</v>
      </c>
      <c r="J9" s="16" t="n">
        <v>1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22</v>
      </c>
      <c r="T9" s="16" t="n">
        <v>5</v>
      </c>
      <c r="U9" s="16" t="n">
        <v>17</v>
      </c>
      <c r="V9" s="16" t="n">
        <v>22</v>
      </c>
      <c r="W9" s="16" t="n">
        <v>0</v>
      </c>
      <c r="X9" s="16" t="n">
        <v>2</v>
      </c>
      <c r="Y9" s="16" t="n">
        <v>5</v>
      </c>
      <c r="Z9" s="16" t="n">
        <v>7</v>
      </c>
      <c r="AA9" s="16" t="n">
        <v>5</v>
      </c>
      <c r="AB9" s="16" t="n">
        <v>2</v>
      </c>
      <c r="AC9" s="16" t="n">
        <v>1</v>
      </c>
      <c r="AD9" s="17" t="n">
        <v>0</v>
      </c>
      <c r="AE9" s="17" t="n">
        <v>0</v>
      </c>
      <c r="AF9" s="18" t="n">
        <v>59.8</v>
      </c>
      <c r="AG9" s="19" t="n">
        <v>650588</v>
      </c>
      <c r="AH9" s="19" t="n">
        <v>1020829</v>
      </c>
      <c r="AI9" s="19" t="n">
        <v>1639094</v>
      </c>
      <c r="AJ9" s="19" t="n">
        <v>2736234</v>
      </c>
      <c r="AK9" s="19" t="n">
        <v>4521254</v>
      </c>
      <c r="AL9" s="19" t="n">
        <v>8089955</v>
      </c>
      <c r="AM9" s="19" t="n">
        <v>3198517.68</v>
      </c>
      <c r="AN9" s="19" t="n">
        <v>5989224.35</v>
      </c>
      <c r="AO9" s="19" t="n">
        <v>5597405.94</v>
      </c>
      <c r="AP9" s="19" t="n">
        <v>598922.44</v>
      </c>
      <c r="AQ9" s="19" t="n">
        <v>559740.59</v>
      </c>
      <c r="AR9" s="19" t="n">
        <v>21779</v>
      </c>
      <c r="AS9" s="19" t="n">
        <v>0</v>
      </c>
      <c r="AT9" s="19" t="n">
        <v>299461.22</v>
      </c>
      <c r="AU9" s="19" t="n">
        <v>279870.3</v>
      </c>
      <c r="AV9" s="19" t="n">
        <v>35121.54</v>
      </c>
      <c r="AW9" s="19" t="n">
        <v>28037.06</v>
      </c>
      <c r="AX9" s="19" t="n">
        <v>19999.77</v>
      </c>
      <c r="AY9" s="19" t="n">
        <v>18691.37</v>
      </c>
      <c r="AZ9" s="19" t="n">
        <v>14607.86</v>
      </c>
      <c r="BA9" s="19" t="n">
        <v>0</v>
      </c>
      <c r="BB9" s="19" t="n">
        <v>138746.51</v>
      </c>
      <c r="BC9" s="19" t="n">
        <v>79962.94</v>
      </c>
      <c r="BD9" s="19" t="n">
        <v>916.72</v>
      </c>
      <c r="BE9" s="19" t="n">
        <v>0</v>
      </c>
      <c r="BF9" s="19" t="n">
        <f aca="false">SUM(BE9,BC9,BA9,AY9,AW9,AU9,AS9,AQ9,AO9)</f>
        <v>6563708.2</v>
      </c>
      <c r="BG9" s="19" t="n">
        <v>4977.72</v>
      </c>
      <c r="BH9" s="19" t="n">
        <v>8722.64</v>
      </c>
      <c r="BI9" s="19" t="n">
        <v>18333.12</v>
      </c>
      <c r="BJ9" s="19" t="n">
        <v>17133.76</v>
      </c>
      <c r="BK9" s="19" t="n">
        <v>13333.18</v>
      </c>
      <c r="BL9" s="19" t="n">
        <v>12460.91</v>
      </c>
      <c r="BM9" s="19" t="n">
        <v>46666.12</v>
      </c>
      <c r="BN9" s="19" t="n">
        <v>43613.2</v>
      </c>
      <c r="BO9" s="19" t="n">
        <v>454540.15</v>
      </c>
      <c r="BP9" s="19" t="n">
        <v>155761.42</v>
      </c>
      <c r="BQ9" s="19" t="n">
        <v>241267.02</v>
      </c>
      <c r="BR9" s="19" t="n">
        <v>225483.2</v>
      </c>
      <c r="BS9" s="19" t="n">
        <v>11005.16</v>
      </c>
      <c r="BT9" s="19" t="n">
        <v>8307.28</v>
      </c>
      <c r="BU9" s="19" t="n">
        <v>149730.61</v>
      </c>
      <c r="BV9" s="19" t="n">
        <v>139935.15</v>
      </c>
      <c r="BW9" s="19" t="n">
        <v>5599.93</v>
      </c>
      <c r="BX9" s="19" t="n">
        <v>10903.3</v>
      </c>
      <c r="BY9" s="19" t="n">
        <v>5925.86</v>
      </c>
      <c r="BZ9" s="19" t="n">
        <v>12460.91</v>
      </c>
      <c r="CA9" s="19" t="n">
        <v>32666.29</v>
      </c>
      <c r="CB9" s="19" t="n">
        <v>30529.24</v>
      </c>
      <c r="CC9" s="19" t="n">
        <v>98005.49</v>
      </c>
      <c r="CD9" s="19" t="n">
        <v>167922.18</v>
      </c>
      <c r="CE9" s="19" t="n">
        <v>59892.24</v>
      </c>
      <c r="CF9" s="19" t="n">
        <v>55974.06</v>
      </c>
      <c r="CG9" s="19" t="n">
        <f aca="false">SUM(CF9,CD9,CB9,BZ9,BX9,BV9,BT9,BR9,BP9,BN9,BL9,BJ9,BH9)</f>
        <v>889207.25</v>
      </c>
      <c r="CH9" s="19" t="n">
        <f aca="false">CG9+BF9</f>
        <v>7452915.45</v>
      </c>
      <c r="CI9" s="19" t="n">
        <f aca="false">SUM(CE9,CC9,CA9,BY9,BW9,BU9,BS9,BQ9,BO9,BM9,BK9,BI9,BG9,BD9,BB9,AZ9,AX9,AV9,AT9,AR9,AP9,AN9)</f>
        <v>8260722.3</v>
      </c>
      <c r="CJ9" s="19" t="n">
        <f aca="false">CI9-CH9</f>
        <v>807806.85</v>
      </c>
      <c r="CK9" s="19" t="str">
        <f aca="false">IF(CE9-CF9+CC9-CD9+CA9-CB9+BU9-BV9+BK9-BL9+BI9-BJ9 &gt; 0, CE9-CF9+CC9-CD9+CA9-CB9+BU9-BV9+BK9-BL9+BI9-BJ9, "-")</f>
        <v>-</v>
      </c>
      <c r="CL9" s="19" t="str">
        <f aca="false">IF(CJ9&lt;0,"⚠ Over Budget","✓ Within Budget")</f>
        <v>✓ Within Budget</v>
      </c>
      <c r="CM9" s="21"/>
    </row>
    <row r="10" customFormat="false" ht="14.25" hidden="false" customHeight="false" outlineLevel="0" collapsed="false">
      <c r="A10" s="22" t="s">
        <v>101</v>
      </c>
      <c r="B10" s="22" t="n">
        <v>2022</v>
      </c>
      <c r="C10" s="22" t="n">
        <v>22</v>
      </c>
      <c r="D10" s="22" t="n">
        <v>1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1</v>
      </c>
      <c r="J10" s="22" t="n">
        <v>1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23</v>
      </c>
      <c r="T10" s="22" t="n">
        <v>6</v>
      </c>
      <c r="U10" s="22" t="n">
        <v>17</v>
      </c>
      <c r="V10" s="22" t="n">
        <v>23</v>
      </c>
      <c r="W10" s="22" t="n">
        <v>0</v>
      </c>
      <c r="X10" s="22" t="n">
        <v>2</v>
      </c>
      <c r="Y10" s="22" t="n">
        <v>5</v>
      </c>
      <c r="Z10" s="22" t="n">
        <v>7</v>
      </c>
      <c r="AA10" s="22" t="n">
        <v>6</v>
      </c>
      <c r="AB10" s="22" t="n">
        <v>2</v>
      </c>
      <c r="AC10" s="22" t="n">
        <v>1</v>
      </c>
      <c r="AD10" s="23" t="n">
        <v>0</v>
      </c>
      <c r="AE10" s="23" t="n">
        <v>0</v>
      </c>
      <c r="AF10" s="24" t="n">
        <v>59.2</v>
      </c>
      <c r="AG10" s="25" t="n">
        <v>650588</v>
      </c>
      <c r="AH10" s="25" t="n">
        <v>1020829</v>
      </c>
      <c r="AI10" s="25" t="n">
        <v>1639094</v>
      </c>
      <c r="AJ10" s="25" t="n">
        <v>2736234</v>
      </c>
      <c r="AK10" s="25" t="n">
        <v>4521254</v>
      </c>
      <c r="AL10" s="25" t="n">
        <v>8089955</v>
      </c>
      <c r="AM10" s="25" t="n">
        <v>3198517.68</v>
      </c>
      <c r="AN10" s="25" t="n">
        <v>6274425.51</v>
      </c>
      <c r="AO10" s="25" t="n">
        <v>5863949.08</v>
      </c>
      <c r="AP10" s="25" t="n">
        <v>627442.55</v>
      </c>
      <c r="AQ10" s="25" t="n">
        <v>586394.91</v>
      </c>
      <c r="AR10" s="25" t="n">
        <v>22816.09</v>
      </c>
      <c r="AS10" s="25" t="n">
        <v>0</v>
      </c>
      <c r="AT10" s="25" t="n">
        <v>313721.28</v>
      </c>
      <c r="AU10" s="25" t="n">
        <v>293197.45</v>
      </c>
      <c r="AV10" s="25" t="n">
        <v>30661.66</v>
      </c>
      <c r="AW10" s="25" t="n">
        <v>29372.15</v>
      </c>
      <c r="AX10" s="25" t="n">
        <v>20952.14</v>
      </c>
      <c r="AY10" s="25" t="n">
        <v>19581.44</v>
      </c>
      <c r="AZ10" s="25" t="n">
        <v>15303.48</v>
      </c>
      <c r="BA10" s="25" t="n">
        <v>0</v>
      </c>
      <c r="BB10" s="25" t="n">
        <v>92497.67</v>
      </c>
      <c r="BC10" s="25" t="n">
        <v>53308.63</v>
      </c>
      <c r="BD10" s="25" t="n">
        <v>275015.4</v>
      </c>
      <c r="BE10" s="25" t="n">
        <v>159925.88</v>
      </c>
      <c r="BF10" s="25" t="n">
        <f aca="false">SUM(BE10,BC10,BA10,AY10,AW10,AU10,AS10,AQ10,AO10)</f>
        <v>7005729.54</v>
      </c>
      <c r="BG10" s="25" t="n">
        <v>27936.18</v>
      </c>
      <c r="BH10" s="25" t="n">
        <v>19581.44</v>
      </c>
      <c r="BI10" s="25" t="n">
        <v>19206.12</v>
      </c>
      <c r="BJ10" s="25" t="n">
        <v>17949.65</v>
      </c>
      <c r="BK10" s="25" t="n">
        <v>13968.09</v>
      </c>
      <c r="BL10" s="25" t="n">
        <v>13054.29</v>
      </c>
      <c r="BM10" s="25" t="n">
        <v>48888.32</v>
      </c>
      <c r="BN10" s="25" t="n">
        <v>45690.02</v>
      </c>
      <c r="BO10" s="25" t="n">
        <v>121210.71</v>
      </c>
      <c r="BP10" s="25" t="n">
        <v>103840.95</v>
      </c>
      <c r="BQ10" s="25" t="n">
        <v>241267.02</v>
      </c>
      <c r="BR10" s="25" t="n">
        <v>225483.2</v>
      </c>
      <c r="BS10" s="25" t="n">
        <v>11005.16</v>
      </c>
      <c r="BT10" s="25" t="n">
        <v>8307.28</v>
      </c>
      <c r="BU10" s="25" t="n">
        <v>156860.64</v>
      </c>
      <c r="BV10" s="25" t="n">
        <v>146598.73</v>
      </c>
      <c r="BW10" s="25" t="n">
        <v>11733.2</v>
      </c>
      <c r="BX10" s="25" t="n">
        <v>11422.5</v>
      </c>
      <c r="BY10" s="25" t="n">
        <v>17647.67</v>
      </c>
      <c r="BZ10" s="25" t="n">
        <v>30924.66</v>
      </c>
      <c r="CA10" s="25" t="n">
        <v>34221.82</v>
      </c>
      <c r="CB10" s="25" t="n">
        <v>31983.01</v>
      </c>
      <c r="CC10" s="25" t="n">
        <v>102672.42</v>
      </c>
      <c r="CD10" s="25" t="n">
        <v>175918.47</v>
      </c>
      <c r="CE10" s="25" t="n">
        <v>62744.26</v>
      </c>
      <c r="CF10" s="25" t="n">
        <v>58639.49</v>
      </c>
      <c r="CG10" s="25" t="n">
        <f aca="false">SUM(CF10,CD10,CB10,BZ10,BX10,BV10,BT10,BR10,BP10,BN10,BL10,BJ10,BH10)</f>
        <v>889393.69</v>
      </c>
      <c r="CH10" s="25" t="n">
        <f aca="false">CG10+BF10</f>
        <v>7895123.23</v>
      </c>
      <c r="CI10" s="25" t="n">
        <f aca="false">SUM(CE10,CC10,CA10,BY10,BW10,BU10,BS10,BQ10,BO10,BM10,BK10,BI10,BG10,BD10,BB10,AZ10,AX10,AV10,AT10,AR10,AP10,AN10)</f>
        <v>8542197.39</v>
      </c>
      <c r="CJ10" s="25" t="n">
        <f aca="false">CI10-CH10</f>
        <v>647074.16</v>
      </c>
      <c r="CK10" s="25" t="str">
        <f aca="false">IF(CE10-CF10+CC10-CD10+CA10-CB10+BU10-BV10+BK10-BL10+BI10-BJ10 &gt; 0, CE10-CF10+CC10-CD10+CA10-CB10+BU10-BV10+BK10-BL10+BI10-BJ10, "-")</f>
        <v>-</v>
      </c>
      <c r="CL10" s="25" t="str">
        <f aca="false">IF(CJ10&lt;0,"⚠ Over Budget","✓ Within Budget")</f>
        <v>✓ Within Budget</v>
      </c>
      <c r="CM10" s="27"/>
    </row>
    <row r="11" customFormat="false" ht="14.25" hidden="false" customHeight="false" outlineLevel="0" collapsed="false">
      <c r="A11" s="16" t="s">
        <v>102</v>
      </c>
      <c r="B11" s="16" t="n">
        <v>2022</v>
      </c>
      <c r="C11" s="16" t="n">
        <v>23</v>
      </c>
      <c r="D11" s="16" t="n">
        <v>1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1</v>
      </c>
      <c r="J11" s="16" t="n">
        <v>1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24</v>
      </c>
      <c r="T11" s="16" t="n">
        <v>5</v>
      </c>
      <c r="U11" s="16" t="n">
        <v>19</v>
      </c>
      <c r="V11" s="16" t="n">
        <v>24</v>
      </c>
      <c r="W11" s="16" t="n">
        <v>0</v>
      </c>
      <c r="X11" s="16" t="n">
        <v>2</v>
      </c>
      <c r="Y11" s="16" t="n">
        <v>5</v>
      </c>
      <c r="Z11" s="16" t="n">
        <v>8</v>
      </c>
      <c r="AA11" s="16" t="n">
        <v>6</v>
      </c>
      <c r="AB11" s="16" t="n">
        <v>2</v>
      </c>
      <c r="AC11" s="16" t="n">
        <v>1</v>
      </c>
      <c r="AD11" s="17" t="n">
        <v>0</v>
      </c>
      <c r="AE11" s="17" t="n">
        <v>0</v>
      </c>
      <c r="AF11" s="18" t="n">
        <v>57.3</v>
      </c>
      <c r="AG11" s="19" t="n">
        <v>650588</v>
      </c>
      <c r="AH11" s="19" t="n">
        <v>1020829</v>
      </c>
      <c r="AI11" s="19" t="n">
        <v>1639094</v>
      </c>
      <c r="AJ11" s="19" t="n">
        <v>2736234</v>
      </c>
      <c r="AK11" s="19" t="n">
        <v>4521254</v>
      </c>
      <c r="AL11" s="19" t="n">
        <v>8089955</v>
      </c>
      <c r="AM11" s="19" t="n">
        <v>3198517.68</v>
      </c>
      <c r="AN11" s="19" t="n">
        <v>6274425.51</v>
      </c>
      <c r="AO11" s="19" t="n">
        <v>5863949.08</v>
      </c>
      <c r="AP11" s="19" t="n">
        <v>627442.55</v>
      </c>
      <c r="AQ11" s="19" t="n">
        <v>586394.91</v>
      </c>
      <c r="AR11" s="19" t="n">
        <v>22816.09</v>
      </c>
      <c r="AS11" s="19" t="n">
        <v>0</v>
      </c>
      <c r="AT11" s="19" t="n">
        <v>313721.28</v>
      </c>
      <c r="AU11" s="19" t="n">
        <v>293197.45</v>
      </c>
      <c r="AV11" s="19" t="n">
        <v>33727.83</v>
      </c>
      <c r="AW11" s="19" t="n">
        <v>29372.15</v>
      </c>
      <c r="AX11" s="19" t="n">
        <v>20952.14</v>
      </c>
      <c r="AY11" s="19" t="n">
        <v>19581.44</v>
      </c>
      <c r="AZ11" s="19" t="n">
        <v>30606.95</v>
      </c>
      <c r="BA11" s="19" t="n">
        <v>0</v>
      </c>
      <c r="BB11" s="19" t="n">
        <v>2774.93</v>
      </c>
      <c r="BC11" s="19" t="n">
        <v>0</v>
      </c>
      <c r="BD11" s="19" t="n">
        <v>305.57</v>
      </c>
      <c r="BE11" s="19" t="n">
        <v>0</v>
      </c>
      <c r="BF11" s="19" t="n">
        <f aca="false">SUM(BE11,BC11,BA11,AY11,AW11,AU11,AS11,AQ11,AO11)</f>
        <v>6792495.03</v>
      </c>
      <c r="BG11" s="19" t="n">
        <v>40228.1</v>
      </c>
      <c r="BH11" s="19" t="n">
        <v>23497.72</v>
      </c>
      <c r="BI11" s="19" t="n">
        <v>19206.12</v>
      </c>
      <c r="BJ11" s="19" t="n">
        <v>17949.65</v>
      </c>
      <c r="BK11" s="19" t="n">
        <v>13968.09</v>
      </c>
      <c r="BL11" s="19" t="n">
        <v>13054.29</v>
      </c>
      <c r="BM11" s="19" t="n">
        <v>48888.32</v>
      </c>
      <c r="BN11" s="19" t="n">
        <v>45690.02</v>
      </c>
      <c r="BO11" s="19" t="n">
        <v>4328.95</v>
      </c>
      <c r="BP11" s="19" t="n">
        <v>0</v>
      </c>
      <c r="BQ11" s="19" t="n">
        <v>256346.21</v>
      </c>
      <c r="BR11" s="19" t="n">
        <v>239575.9</v>
      </c>
      <c r="BS11" s="19" t="n">
        <v>9894.06</v>
      </c>
      <c r="BT11" s="19" t="n">
        <v>8826.48</v>
      </c>
      <c r="BU11" s="19" t="n">
        <v>156860.64</v>
      </c>
      <c r="BV11" s="19" t="n">
        <v>146598.73</v>
      </c>
      <c r="BW11" s="19" t="n">
        <v>23466.39</v>
      </c>
      <c r="BX11" s="19" t="n">
        <v>11422.5</v>
      </c>
      <c r="BY11" s="19" t="n">
        <v>6208.04</v>
      </c>
      <c r="BZ11" s="19" t="n">
        <v>13054.29</v>
      </c>
      <c r="CA11" s="19" t="n">
        <v>34221.82</v>
      </c>
      <c r="CB11" s="19" t="n">
        <v>31983.01</v>
      </c>
      <c r="CC11" s="19" t="n">
        <v>123206.9</v>
      </c>
      <c r="CD11" s="19" t="n">
        <v>175918.47</v>
      </c>
      <c r="CE11" s="19" t="n">
        <v>62744.26</v>
      </c>
      <c r="CF11" s="19" t="n">
        <v>58639.49</v>
      </c>
      <c r="CG11" s="19" t="n">
        <f aca="false">SUM(CF11,CD11,CB11,BZ11,BX11,BV11,BT11,BR11,BP11,BN11,BL11,BJ11,BH11)</f>
        <v>786210.55</v>
      </c>
      <c r="CH11" s="19" t="n">
        <f aca="false">CG11+BF11</f>
        <v>7578705.58</v>
      </c>
      <c r="CI11" s="19" t="n">
        <f aca="false">SUM(CE11,CC11,CA11,BY11,BW11,BU11,BS11,BQ11,BO11,BM11,BK11,BI11,BG11,BD11,BB11,AZ11,AX11,AV11,AT11,AR11,AP11,AN11)</f>
        <v>8126340.75</v>
      </c>
      <c r="CJ11" s="19" t="n">
        <f aca="false">CI11-CH11</f>
        <v>547635.17</v>
      </c>
      <c r="CK11" s="19" t="str">
        <f aca="false">IF(CE11-CF11+CC11-CD11+CA11-CB11+BU11-BV11+BK11-BL11+BI11-BJ11 &gt; 0, CE11-CF11+CC11-CD11+CA11-CB11+BU11-BV11+BK11-BL11+BI11-BJ11, "-")</f>
        <v>-</v>
      </c>
      <c r="CL11" s="19" t="str">
        <f aca="false">IF(CJ11&lt;0,"⚠ Over Budget","✓ Within Budget")</f>
        <v>✓ Within Budget</v>
      </c>
      <c r="CM11" s="21"/>
    </row>
    <row r="12" customFormat="false" ht="14.25" hidden="false" customHeight="false" outlineLevel="0" collapsed="false">
      <c r="A12" s="22" t="s">
        <v>103</v>
      </c>
      <c r="B12" s="22" t="n">
        <v>2022</v>
      </c>
      <c r="C12" s="22" t="n">
        <v>24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24</v>
      </c>
      <c r="T12" s="22" t="n">
        <v>5</v>
      </c>
      <c r="U12" s="22" t="n">
        <v>19</v>
      </c>
      <c r="V12" s="22" t="n">
        <v>24</v>
      </c>
      <c r="W12" s="22" t="n">
        <v>0</v>
      </c>
      <c r="X12" s="22" t="n">
        <v>2</v>
      </c>
      <c r="Y12" s="22" t="n">
        <v>5</v>
      </c>
      <c r="Z12" s="22" t="n">
        <v>8</v>
      </c>
      <c r="AA12" s="22" t="n">
        <v>6</v>
      </c>
      <c r="AB12" s="22" t="n">
        <v>2</v>
      </c>
      <c r="AC12" s="22" t="n">
        <v>1</v>
      </c>
      <c r="AD12" s="23" t="n">
        <v>0</v>
      </c>
      <c r="AE12" s="23" t="n">
        <v>0.0144737487683992</v>
      </c>
      <c r="AF12" s="24" t="n">
        <v>56.8</v>
      </c>
      <c r="AG12" s="25" t="n">
        <v>662223</v>
      </c>
      <c r="AH12" s="25" t="n">
        <v>1039464</v>
      </c>
      <c r="AI12" s="25" t="n">
        <v>1661770</v>
      </c>
      <c r="AJ12" s="25" t="n">
        <v>2769295</v>
      </c>
      <c r="AK12" s="25" t="n">
        <v>4572244</v>
      </c>
      <c r="AL12" s="25" t="n">
        <v>8178912</v>
      </c>
      <c r="AM12" s="25" t="n">
        <v>3240190</v>
      </c>
      <c r="AN12" s="25" t="n">
        <v>6356172.72</v>
      </c>
      <c r="AO12" s="25" t="n">
        <v>5940348.33</v>
      </c>
      <c r="AP12" s="25" t="n">
        <v>635617.27</v>
      </c>
      <c r="AQ12" s="25" t="n">
        <v>594034.83</v>
      </c>
      <c r="AR12" s="25" t="n">
        <v>739627.37</v>
      </c>
      <c r="AS12" s="25" t="n">
        <v>237613.93</v>
      </c>
      <c r="AT12" s="25" t="n">
        <v>317808.64</v>
      </c>
      <c r="AU12" s="25" t="n">
        <v>297017.42</v>
      </c>
      <c r="AV12" s="25" t="n">
        <v>27595.5</v>
      </c>
      <c r="AW12" s="25" t="n">
        <v>29372.15</v>
      </c>
      <c r="AX12" s="25" t="n">
        <v>20952.14</v>
      </c>
      <c r="AY12" s="25" t="n">
        <v>19581.44</v>
      </c>
      <c r="AZ12" s="25" t="n">
        <v>62011.44</v>
      </c>
      <c r="BA12" s="25" t="n">
        <v>0</v>
      </c>
      <c r="BB12" s="25" t="n">
        <v>2811.08</v>
      </c>
      <c r="BC12" s="25" t="n">
        <v>0</v>
      </c>
      <c r="BD12" s="25" t="n">
        <v>309.55</v>
      </c>
      <c r="BE12" s="25" t="n">
        <v>0</v>
      </c>
      <c r="BF12" s="25" t="n">
        <f aca="false">SUM(BE12,BC12,BA12,AY12,AW12,AU12,AS12,AQ12,AO12)</f>
        <v>7117968.1</v>
      </c>
      <c r="BG12" s="25" t="n">
        <v>24335.52</v>
      </c>
      <c r="BH12" s="25" t="n">
        <v>18276.01</v>
      </c>
      <c r="BI12" s="25" t="n">
        <v>19206.12</v>
      </c>
      <c r="BJ12" s="25" t="n">
        <v>17949.65</v>
      </c>
      <c r="BK12" s="25" t="n">
        <v>13968.09</v>
      </c>
      <c r="BL12" s="25" t="n">
        <v>13054.29</v>
      </c>
      <c r="BM12" s="25" t="n">
        <v>48888.32</v>
      </c>
      <c r="BN12" s="25" t="n">
        <v>45690.02</v>
      </c>
      <c r="BO12" s="25" t="n">
        <v>4328.95</v>
      </c>
      <c r="BP12" s="25" t="n">
        <v>0</v>
      </c>
      <c r="BQ12" s="25" t="n">
        <v>256346.21</v>
      </c>
      <c r="BR12" s="25" t="n">
        <v>239575.9</v>
      </c>
      <c r="BS12" s="25" t="n">
        <v>8994.6</v>
      </c>
      <c r="BT12" s="25" t="n">
        <v>8826.48</v>
      </c>
      <c r="BU12" s="25" t="n">
        <v>158904.32</v>
      </c>
      <c r="BV12" s="25" t="n">
        <v>148508.71</v>
      </c>
      <c r="BW12" s="25" t="n">
        <v>17599.79</v>
      </c>
      <c r="BX12" s="25" t="n">
        <v>11422.5</v>
      </c>
      <c r="BY12" s="25" t="n">
        <v>247295.72</v>
      </c>
      <c r="BZ12" s="25" t="n">
        <v>81252.24</v>
      </c>
      <c r="CA12" s="25" t="n">
        <v>34221.82</v>
      </c>
      <c r="CB12" s="25" t="n">
        <v>31983.01</v>
      </c>
      <c r="CC12" s="25" t="n">
        <v>166416.16</v>
      </c>
      <c r="CD12" s="25" t="n">
        <v>178210.45</v>
      </c>
      <c r="CE12" s="25" t="n">
        <v>63561.73</v>
      </c>
      <c r="CF12" s="25" t="n">
        <v>59403.48</v>
      </c>
      <c r="CG12" s="25" t="n">
        <f aca="false">SUM(CF12,CD12,CB12,BZ12,BX12,BV12,BT12,BR12,BP12,BN12,BL12,BJ12,BH12)</f>
        <v>854152.74</v>
      </c>
      <c r="CH12" s="25" t="n">
        <f aca="false">CG12+BF12</f>
        <v>7972120.84</v>
      </c>
      <c r="CI12" s="25" t="n">
        <f aca="false">SUM(CE12,CC12,CA12,BY12,BW12,BU12,BS12,BQ12,BO12,BM12,BK12,BI12,BG12,BD12,BB12,AZ12,AX12,AV12,AT12,AR12,AP12,AN12)</f>
        <v>9226973.06</v>
      </c>
      <c r="CJ12" s="25" t="n">
        <f aca="false">CI12-CH12</f>
        <v>1254852.22</v>
      </c>
      <c r="CK12" s="25" t="n">
        <f aca="false">IF(CE12-CF12+CC12-CD12+CA12-CB12+BU12-BV12+BK12-BL12+BI12-BJ12 &gt; 0, CE12-CF12+CC12-CD12+CA12-CB12+BU12-BV12+BK12-BL12+BI12-BJ12, "-")</f>
        <v>7168.65</v>
      </c>
      <c r="CL12" s="25" t="str">
        <f aca="false">IF(CJ12&lt;0,"⚠ Over Budget","✓ Within Budget")</f>
        <v>✓ Within Budget</v>
      </c>
      <c r="CM12" s="27"/>
    </row>
    <row r="13" customFormat="false" ht="14.25" hidden="false" customHeight="false" outlineLevel="0" collapsed="false">
      <c r="A13" s="16" t="s">
        <v>104</v>
      </c>
      <c r="B13" s="16" t="n">
        <v>2022</v>
      </c>
      <c r="C13" s="16" t="n">
        <v>24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24</v>
      </c>
      <c r="T13" s="16" t="n">
        <v>6</v>
      </c>
      <c r="U13" s="16" t="n">
        <v>18</v>
      </c>
      <c r="V13" s="16" t="n">
        <v>24</v>
      </c>
      <c r="W13" s="16" t="n">
        <v>0</v>
      </c>
      <c r="X13" s="16" t="n">
        <v>2</v>
      </c>
      <c r="Y13" s="16" t="n">
        <v>5</v>
      </c>
      <c r="Z13" s="16" t="n">
        <v>8</v>
      </c>
      <c r="AA13" s="16" t="n">
        <v>6</v>
      </c>
      <c r="AB13" s="16" t="n">
        <v>2</v>
      </c>
      <c r="AC13" s="16" t="n">
        <v>1</v>
      </c>
      <c r="AD13" s="17" t="n">
        <v>0</v>
      </c>
      <c r="AE13" s="17" t="n">
        <v>0</v>
      </c>
      <c r="AF13" s="18" t="n">
        <v>56.2</v>
      </c>
      <c r="AG13" s="19" t="n">
        <v>662223</v>
      </c>
      <c r="AH13" s="19" t="n">
        <v>1039464</v>
      </c>
      <c r="AI13" s="19" t="n">
        <v>1661770</v>
      </c>
      <c r="AJ13" s="19" t="n">
        <v>2769295</v>
      </c>
      <c r="AK13" s="19" t="n">
        <v>4572244</v>
      </c>
      <c r="AL13" s="19" t="n">
        <v>8178912</v>
      </c>
      <c r="AM13" s="19" t="n">
        <v>3240190</v>
      </c>
      <c r="AN13" s="19" t="n">
        <v>6067255.77</v>
      </c>
      <c r="AO13" s="19" t="n">
        <v>5670332.5</v>
      </c>
      <c r="AP13" s="19" t="n">
        <v>606725.58</v>
      </c>
      <c r="AQ13" s="19" t="n">
        <v>567033.25</v>
      </c>
      <c r="AR13" s="19" t="n">
        <v>71703.93</v>
      </c>
      <c r="AS13" s="19" t="n">
        <v>0</v>
      </c>
      <c r="AT13" s="19" t="n">
        <v>303362.79</v>
      </c>
      <c r="AU13" s="19" t="n">
        <v>283516.62</v>
      </c>
      <c r="AV13" s="19" t="n">
        <v>31219.15</v>
      </c>
      <c r="AW13" s="19" t="n">
        <v>37382.74</v>
      </c>
      <c r="AX13" s="19" t="n">
        <v>19999.77</v>
      </c>
      <c r="AY13" s="19" t="n">
        <v>18691.37</v>
      </c>
      <c r="AZ13" s="19" t="n">
        <v>29596.37</v>
      </c>
      <c r="BA13" s="19" t="n">
        <v>0</v>
      </c>
      <c r="BB13" s="19" t="n">
        <v>937.03</v>
      </c>
      <c r="BC13" s="19" t="n">
        <v>0</v>
      </c>
      <c r="BD13" s="19" t="n">
        <v>92866.16</v>
      </c>
      <c r="BE13" s="19" t="n">
        <v>162009.5</v>
      </c>
      <c r="BF13" s="19" t="n">
        <f aca="false">SUM(BE13,BC13,BA13,AY13,AW13,AU13,AS13,AQ13,AO13)</f>
        <v>6738965.98</v>
      </c>
      <c r="BG13" s="19" t="n">
        <v>30340.39</v>
      </c>
      <c r="BH13" s="19" t="n">
        <v>19937.46</v>
      </c>
      <c r="BI13" s="19" t="n">
        <v>18333.12</v>
      </c>
      <c r="BJ13" s="19" t="n">
        <v>17133.76</v>
      </c>
      <c r="BK13" s="19" t="n">
        <v>13333.18</v>
      </c>
      <c r="BL13" s="19" t="n">
        <v>12460.91</v>
      </c>
      <c r="BM13" s="19" t="n">
        <v>46666.12</v>
      </c>
      <c r="BN13" s="19" t="n">
        <v>43613.2</v>
      </c>
      <c r="BO13" s="19" t="n">
        <v>4328.95</v>
      </c>
      <c r="BP13" s="19" t="n">
        <v>0</v>
      </c>
      <c r="BQ13" s="19" t="n">
        <v>241267.02</v>
      </c>
      <c r="BR13" s="19" t="n">
        <v>225483.2</v>
      </c>
      <c r="BS13" s="19" t="n">
        <v>7618.96</v>
      </c>
      <c r="BT13" s="19" t="n">
        <v>8307.28</v>
      </c>
      <c r="BU13" s="19" t="n">
        <v>151681.39</v>
      </c>
      <c r="BV13" s="19" t="n">
        <v>141758.31</v>
      </c>
      <c r="BW13" s="19" t="n">
        <v>11199.87</v>
      </c>
      <c r="BX13" s="19" t="n">
        <v>10903.3</v>
      </c>
      <c r="BY13" s="19" t="n">
        <v>47708.93</v>
      </c>
      <c r="BZ13" s="19" t="n">
        <v>33440.84</v>
      </c>
      <c r="CA13" s="19" t="n">
        <v>32666.29</v>
      </c>
      <c r="CB13" s="19" t="n">
        <v>30529.24</v>
      </c>
      <c r="CC13" s="19" t="n">
        <v>158851.79</v>
      </c>
      <c r="CD13" s="19" t="n">
        <v>170109.97</v>
      </c>
      <c r="CE13" s="19" t="n">
        <v>60672.56</v>
      </c>
      <c r="CF13" s="19" t="n">
        <v>56703.32</v>
      </c>
      <c r="CG13" s="19" t="n">
        <f aca="false">SUM(CF13,CD13,CB13,BZ13,BX13,BV13,BT13,BR13,BP13,BN13,BL13,BJ13,BH13)</f>
        <v>770380.79</v>
      </c>
      <c r="CH13" s="19" t="n">
        <f aca="false">CG13+BF13</f>
        <v>7509346.77</v>
      </c>
      <c r="CI13" s="19" t="n">
        <f aca="false">SUM(CE13,CC13,CA13,BY13,BW13,BU13,BS13,BQ13,BO13,BM13,BK13,BI13,BG13,BD13,BB13,AZ13,AX13,AV13,AT13,AR13,AP13,AN13)</f>
        <v>8048335.12</v>
      </c>
      <c r="CJ13" s="19" t="n">
        <f aca="false">CI13-CH13</f>
        <v>538988.349999999</v>
      </c>
      <c r="CK13" s="19" t="n">
        <f aca="false">IF(CE13-CF13+CC13-CD13+CA13-CB13+BU13-BV13+BK13-BL13+BI13-BJ13 &gt; 0, CE13-CF13+CC13-CD13+CA13-CB13+BU13-BV13+BK13-BL13+BI13-BJ13, "-")</f>
        <v>6842.82</v>
      </c>
      <c r="CL13" s="19" t="str">
        <f aca="false">IF(CJ13&lt;0,"⚠ Over Budget","✓ Within Budget")</f>
        <v>✓ Within Budget</v>
      </c>
      <c r="CM13" s="21"/>
    </row>
    <row r="14" customFormat="false" ht="14.25" hidden="false" customHeight="false" outlineLevel="0" collapsed="false">
      <c r="A14" s="22" t="s">
        <v>105</v>
      </c>
      <c r="B14" s="22" t="n">
        <v>2022</v>
      </c>
      <c r="C14" s="22" t="n">
        <v>24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24</v>
      </c>
      <c r="T14" s="22" t="n">
        <v>6</v>
      </c>
      <c r="U14" s="22" t="n">
        <v>18</v>
      </c>
      <c r="V14" s="22" t="n">
        <v>24</v>
      </c>
      <c r="W14" s="22" t="n">
        <v>0</v>
      </c>
      <c r="X14" s="22" t="n">
        <v>2</v>
      </c>
      <c r="Y14" s="22" t="n">
        <v>5</v>
      </c>
      <c r="Z14" s="22" t="n">
        <v>8</v>
      </c>
      <c r="AA14" s="22" t="n">
        <v>6</v>
      </c>
      <c r="AB14" s="22" t="n">
        <v>2</v>
      </c>
      <c r="AC14" s="22" t="n">
        <v>1</v>
      </c>
      <c r="AD14" s="23" t="n">
        <v>0</v>
      </c>
      <c r="AE14" s="23" t="n">
        <v>0</v>
      </c>
      <c r="AF14" s="24" t="n">
        <v>55.9</v>
      </c>
      <c r="AG14" s="25" t="n">
        <v>662223</v>
      </c>
      <c r="AH14" s="25" t="n">
        <v>1039464</v>
      </c>
      <c r="AI14" s="25" t="n">
        <v>1661770</v>
      </c>
      <c r="AJ14" s="25" t="n">
        <v>2769295</v>
      </c>
      <c r="AK14" s="25" t="n">
        <v>4572244</v>
      </c>
      <c r="AL14" s="25" t="n">
        <v>8178912</v>
      </c>
      <c r="AM14" s="25" t="n">
        <v>3240190</v>
      </c>
      <c r="AN14" s="25" t="n">
        <v>6067255.77</v>
      </c>
      <c r="AO14" s="25" t="n">
        <v>5670332.5</v>
      </c>
      <c r="AP14" s="25" t="n">
        <v>606725.58</v>
      </c>
      <c r="AQ14" s="25" t="n">
        <v>567033.25</v>
      </c>
      <c r="AR14" s="25" t="n">
        <v>2647529.79</v>
      </c>
      <c r="AS14" s="25" t="n">
        <v>567033.25</v>
      </c>
      <c r="AT14" s="25" t="n">
        <v>303362.79</v>
      </c>
      <c r="AU14" s="25" t="n">
        <v>283516.62</v>
      </c>
      <c r="AV14" s="25" t="n">
        <v>27316.75</v>
      </c>
      <c r="AW14" s="25" t="n">
        <v>37382.74</v>
      </c>
      <c r="AX14" s="25" t="n">
        <v>19999.77</v>
      </c>
      <c r="AY14" s="25" t="n">
        <v>18691.37</v>
      </c>
      <c r="AZ14" s="25" t="n">
        <v>44394.55</v>
      </c>
      <c r="BA14" s="25" t="n">
        <v>0</v>
      </c>
      <c r="BB14" s="25" t="n">
        <v>937.03</v>
      </c>
      <c r="BC14" s="25" t="n">
        <v>0</v>
      </c>
      <c r="BD14" s="25" t="n">
        <v>309.55</v>
      </c>
      <c r="BE14" s="25" t="n">
        <v>0</v>
      </c>
      <c r="BF14" s="25" t="n">
        <f aca="false">SUM(BE14,BC14,BA14,AY14,AW14,AU14,AS14,AQ14,AO14)</f>
        <v>7143989.73</v>
      </c>
      <c r="BG14" s="25" t="n">
        <v>4977.72</v>
      </c>
      <c r="BH14" s="25" t="n">
        <v>8722.64</v>
      </c>
      <c r="BI14" s="25" t="n">
        <v>18333.12</v>
      </c>
      <c r="BJ14" s="25" t="n">
        <v>17133.76</v>
      </c>
      <c r="BK14" s="25" t="n">
        <v>13333.18</v>
      </c>
      <c r="BL14" s="25" t="n">
        <v>12460.91</v>
      </c>
      <c r="BM14" s="25" t="n">
        <v>46666.12</v>
      </c>
      <c r="BN14" s="25" t="n">
        <v>43613.2</v>
      </c>
      <c r="BO14" s="25" t="n">
        <v>4328.95</v>
      </c>
      <c r="BP14" s="25" t="n">
        <v>0</v>
      </c>
      <c r="BQ14" s="25" t="n">
        <v>241267.02</v>
      </c>
      <c r="BR14" s="25" t="n">
        <v>225483.2</v>
      </c>
      <c r="BS14" s="25" t="n">
        <v>6772.41</v>
      </c>
      <c r="BT14" s="25" t="n">
        <v>8307.28</v>
      </c>
      <c r="BU14" s="25" t="n">
        <v>151681.39</v>
      </c>
      <c r="BV14" s="25" t="n">
        <v>141758.31</v>
      </c>
      <c r="BW14" s="25" t="n">
        <v>5599.93</v>
      </c>
      <c r="BX14" s="25" t="n">
        <v>10903.3</v>
      </c>
      <c r="BY14" s="25" t="n">
        <v>60552.05</v>
      </c>
      <c r="BZ14" s="25" t="n">
        <v>42443.03</v>
      </c>
      <c r="CA14" s="25" t="n">
        <v>32666.29</v>
      </c>
      <c r="CB14" s="25" t="n">
        <v>30529.24</v>
      </c>
      <c r="CC14" s="25" t="n">
        <v>99282.37</v>
      </c>
      <c r="CD14" s="25" t="n">
        <v>170109.97</v>
      </c>
      <c r="CE14" s="25" t="n">
        <v>60672.56</v>
      </c>
      <c r="CF14" s="25" t="n">
        <v>56703.32</v>
      </c>
      <c r="CG14" s="25" t="n">
        <f aca="false">SUM(CF14,CD14,CB14,BZ14,BX14,BV14,BT14,BR14,BP14,BN14,BL14,BJ14,BH14)</f>
        <v>768168.16</v>
      </c>
      <c r="CH14" s="25" t="n">
        <f aca="false">CG14+BF14</f>
        <v>7912157.89</v>
      </c>
      <c r="CI14" s="25" t="n">
        <f aca="false">SUM(CE14,CC14,CA14,BY14,BW14,BU14,BS14,BQ14,BO14,BM14,BK14,BI14,BG14,BD14,BB14,AZ14,AX14,AV14,AT14,AR14,AP14,AN14)</f>
        <v>10463964.69</v>
      </c>
      <c r="CJ14" s="25" t="n">
        <f aca="false">CI14-CH14</f>
        <v>2551806.8</v>
      </c>
      <c r="CK14" s="25" t="str">
        <f aca="false">IF(CE14-CF14+CC14-CD14+CA14-CB14+BU14-BV14+BK14-BL14+BI14-BJ14 &gt; 0, CE14-CF14+CC14-CD14+CA14-CB14+BU14-BV14+BK14-BL14+BI14-BJ14, "-")</f>
        <v>-</v>
      </c>
      <c r="CL14" s="25" t="str">
        <f aca="false">IF(CJ14&lt;0,"⚠ Over Budget","✓ Within Budget")</f>
        <v>✓ Within Budget</v>
      </c>
      <c r="CM14" s="27"/>
    </row>
    <row r="15" customFormat="false" ht="14.25" hidden="false" customHeight="false" outlineLevel="0" collapsed="false">
      <c r="A15" s="16" t="s">
        <v>92</v>
      </c>
      <c r="B15" s="16" t="n">
        <v>2023</v>
      </c>
      <c r="C15" s="16" t="n">
        <v>24</v>
      </c>
      <c r="D15" s="16" t="n">
        <v>0</v>
      </c>
      <c r="E15" s="16" t="n">
        <v>1</v>
      </c>
      <c r="F15" s="16" t="n">
        <v>1</v>
      </c>
      <c r="G15" s="16" t="n">
        <v>0</v>
      </c>
      <c r="H15" s="16" t="n">
        <v>0</v>
      </c>
      <c r="I15" s="16" t="n">
        <v>0</v>
      </c>
      <c r="J15" s="16" t="n">
        <v>2</v>
      </c>
      <c r="K15" s="16" t="n">
        <v>1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1</v>
      </c>
      <c r="Q15" s="16" t="n">
        <v>1</v>
      </c>
      <c r="R15" s="16" t="n">
        <v>0</v>
      </c>
      <c r="S15" s="16" t="n">
        <v>25</v>
      </c>
      <c r="T15" s="16" t="n">
        <v>8</v>
      </c>
      <c r="U15" s="16" t="n">
        <v>17</v>
      </c>
      <c r="V15" s="16" t="n">
        <v>25</v>
      </c>
      <c r="W15" s="16" t="n">
        <v>0</v>
      </c>
      <c r="X15" s="16" t="n">
        <v>2</v>
      </c>
      <c r="Y15" s="16" t="n">
        <v>6</v>
      </c>
      <c r="Z15" s="16" t="n">
        <v>8</v>
      </c>
      <c r="AA15" s="16" t="n">
        <v>6</v>
      </c>
      <c r="AB15" s="16" t="n">
        <v>2</v>
      </c>
      <c r="AC15" s="16" t="n">
        <v>1</v>
      </c>
      <c r="AD15" s="17" t="n">
        <v>0.5</v>
      </c>
      <c r="AE15" s="17" t="n">
        <v>0</v>
      </c>
      <c r="AF15" s="18" t="n">
        <v>56.8</v>
      </c>
      <c r="AG15" s="19" t="n">
        <v>662223</v>
      </c>
      <c r="AH15" s="19" t="n">
        <v>1039464</v>
      </c>
      <c r="AI15" s="19" t="n">
        <v>1661770</v>
      </c>
      <c r="AJ15" s="19" t="n">
        <v>2769295</v>
      </c>
      <c r="AK15" s="19" t="n">
        <v>4572244</v>
      </c>
      <c r="AL15" s="19" t="n">
        <v>8178912</v>
      </c>
      <c r="AM15" s="19" t="n">
        <v>3075035.94</v>
      </c>
      <c r="AN15" s="19" t="n">
        <v>5483814.09</v>
      </c>
      <c r="AO15" s="19" t="n">
        <v>5125059.9</v>
      </c>
      <c r="AP15" s="19" t="n">
        <v>548381.41</v>
      </c>
      <c r="AQ15" s="19" t="n">
        <v>512505.99</v>
      </c>
      <c r="AR15" s="19" t="n">
        <v>89735.14</v>
      </c>
      <c r="AS15" s="19" t="n">
        <v>307503.59</v>
      </c>
      <c r="AT15" s="19" t="n">
        <v>274190.7</v>
      </c>
      <c r="AU15" s="19" t="n">
        <v>256253</v>
      </c>
      <c r="AV15" s="19" t="n">
        <v>28217.04</v>
      </c>
      <c r="AW15" s="19" t="n">
        <v>33787.93</v>
      </c>
      <c r="AX15" s="19" t="n">
        <v>18076.54</v>
      </c>
      <c r="AY15" s="19" t="n">
        <v>16893.96</v>
      </c>
      <c r="AZ15" s="19" t="n">
        <v>13375.16</v>
      </c>
      <c r="BA15" s="19" t="n">
        <v>0</v>
      </c>
      <c r="BB15" s="19" t="n">
        <v>8892.67</v>
      </c>
      <c r="BC15" s="19" t="n">
        <v>25625.3</v>
      </c>
      <c r="BD15" s="19" t="n">
        <v>705.06</v>
      </c>
      <c r="BE15" s="19" t="n">
        <v>0</v>
      </c>
      <c r="BF15" s="19" t="n">
        <f aca="false">SUM(BE15,BC15,BA15,AY15,AW15,AU15,AS15,AQ15,AO15)</f>
        <v>6277629.67</v>
      </c>
      <c r="BG15" s="19" t="n">
        <v>2999.37</v>
      </c>
      <c r="BH15" s="19" t="n">
        <v>7883.85</v>
      </c>
      <c r="BI15" s="19" t="n">
        <v>16570.16</v>
      </c>
      <c r="BJ15" s="19" t="n">
        <v>15486.13</v>
      </c>
      <c r="BK15" s="19" t="n">
        <v>12051.03</v>
      </c>
      <c r="BL15" s="19" t="n">
        <v>11262.64</v>
      </c>
      <c r="BM15" s="19" t="n">
        <v>42178.6</v>
      </c>
      <c r="BN15" s="19" t="n">
        <v>39419.25</v>
      </c>
      <c r="BO15" s="19" t="n">
        <v>28758.13</v>
      </c>
      <c r="BP15" s="19" t="n">
        <v>49274.06</v>
      </c>
      <c r="BQ15" s="19" t="n">
        <v>200348.34</v>
      </c>
      <c r="BR15" s="19" t="n">
        <v>187241.44</v>
      </c>
      <c r="BS15" s="19" t="n">
        <v>6326.79</v>
      </c>
      <c r="BT15" s="19" t="n">
        <v>6898.37</v>
      </c>
      <c r="BU15" s="19" t="n">
        <v>137095.35</v>
      </c>
      <c r="BV15" s="19" t="n">
        <v>128126.5</v>
      </c>
      <c r="BW15" s="19" t="n">
        <v>5061.43</v>
      </c>
      <c r="BX15" s="19" t="n">
        <v>9854.81</v>
      </c>
      <c r="BY15" s="19" t="n">
        <v>5356.01</v>
      </c>
      <c r="BZ15" s="19" t="n">
        <v>11262.64</v>
      </c>
      <c r="CA15" s="19" t="n">
        <v>29525.02</v>
      </c>
      <c r="CB15" s="19" t="n">
        <v>27593.47</v>
      </c>
      <c r="CC15" s="19" t="n">
        <v>89735.14</v>
      </c>
      <c r="CD15" s="19" t="n">
        <v>153751.8</v>
      </c>
      <c r="CE15" s="19" t="n">
        <v>54838.14</v>
      </c>
      <c r="CF15" s="19" t="n">
        <v>51250.6</v>
      </c>
      <c r="CG15" s="19" t="n">
        <f aca="false">SUM(CF15,CD15,CB15,BZ15,BX15,BV15,BT15,BR15,BP15,BN15,BL15,BJ15,BH15)</f>
        <v>699305.56</v>
      </c>
      <c r="CH15" s="19" t="n">
        <f aca="false">CG15+BF15</f>
        <v>6976935.23</v>
      </c>
      <c r="CI15" s="19" t="n">
        <f aca="false">SUM(CE15,CC15,CA15,BY15,BW15,BU15,BS15,BQ15,BO15,BM15,BK15,BI15,BG15,BD15,BB15,AZ15,AX15,AV15,AT15,AR15,AP15,AN15)</f>
        <v>7096231.32</v>
      </c>
      <c r="CJ15" s="19" t="n">
        <f aca="false">CI15-CH15</f>
        <v>119296.090000001</v>
      </c>
      <c r="CK15" s="19" t="str">
        <f aca="false">IF(CE15-CF15+CC15-CD15+CA15-CB15+BU15-BV15+BK15-BL15+BI15-BJ15 &gt; 0, CE15-CF15+CC15-CD15+CA15-CB15+BU15-BV15+BK15-BL15+BI15-BJ15, "-")</f>
        <v>-</v>
      </c>
      <c r="CL15" s="19" t="str">
        <f aca="false">IF(CJ15&lt;0,"⚠ Over Budget","✓ Within Budget")</f>
        <v>✓ Within Budget</v>
      </c>
      <c r="CM15" s="21"/>
    </row>
    <row r="16" customFormat="false" ht="14.25" hidden="false" customHeight="false" outlineLevel="0" collapsed="false">
      <c r="A16" s="22" t="s">
        <v>93</v>
      </c>
      <c r="B16" s="22" t="n">
        <v>2023</v>
      </c>
      <c r="C16" s="22" t="n">
        <v>25</v>
      </c>
      <c r="D16" s="22" t="n">
        <v>1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1</v>
      </c>
      <c r="J16" s="22" t="n">
        <v>1</v>
      </c>
      <c r="K16" s="22" t="n">
        <v>1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1</v>
      </c>
      <c r="Q16" s="22" t="n">
        <v>1</v>
      </c>
      <c r="R16" s="22" t="n">
        <v>0</v>
      </c>
      <c r="S16" s="22" t="n">
        <v>25</v>
      </c>
      <c r="T16" s="22" t="n">
        <v>8</v>
      </c>
      <c r="U16" s="22" t="n">
        <v>17</v>
      </c>
      <c r="V16" s="22" t="n">
        <v>25</v>
      </c>
      <c r="W16" s="22" t="n">
        <v>0</v>
      </c>
      <c r="X16" s="22" t="n">
        <v>2</v>
      </c>
      <c r="Y16" s="22" t="n">
        <v>6</v>
      </c>
      <c r="Z16" s="22" t="n">
        <v>8</v>
      </c>
      <c r="AA16" s="22" t="n">
        <v>6</v>
      </c>
      <c r="AB16" s="22" t="n">
        <v>2</v>
      </c>
      <c r="AC16" s="22" t="n">
        <v>1</v>
      </c>
      <c r="AD16" s="23" t="n">
        <v>0.48</v>
      </c>
      <c r="AE16" s="23" t="n">
        <v>0</v>
      </c>
      <c r="AF16" s="24" t="n">
        <v>56.3</v>
      </c>
      <c r="AG16" s="25" t="n">
        <v>662223</v>
      </c>
      <c r="AH16" s="25" t="n">
        <v>1039464</v>
      </c>
      <c r="AI16" s="25" t="n">
        <v>1661770</v>
      </c>
      <c r="AJ16" s="25" t="n">
        <v>2769295</v>
      </c>
      <c r="AK16" s="25" t="n">
        <v>4572244</v>
      </c>
      <c r="AL16" s="25" t="n">
        <v>8178912</v>
      </c>
      <c r="AM16" s="25" t="n">
        <v>3075035.94</v>
      </c>
      <c r="AN16" s="25" t="n">
        <v>5483814.09</v>
      </c>
      <c r="AO16" s="25" t="n">
        <v>5125059.9</v>
      </c>
      <c r="AP16" s="25" t="n">
        <v>548381.41</v>
      </c>
      <c r="AQ16" s="25" t="n">
        <v>512505.99</v>
      </c>
      <c r="AR16" s="25" t="n">
        <v>14955.86</v>
      </c>
      <c r="AS16" s="25" t="n">
        <v>0</v>
      </c>
      <c r="AT16" s="25" t="n">
        <v>274190.7</v>
      </c>
      <c r="AU16" s="25" t="n">
        <v>256253</v>
      </c>
      <c r="AV16" s="25" t="n">
        <v>28217.04</v>
      </c>
      <c r="AW16" s="25" t="n">
        <v>33787.93</v>
      </c>
      <c r="AX16" s="25" t="n">
        <v>18076.54</v>
      </c>
      <c r="AY16" s="25" t="n">
        <v>16893.96</v>
      </c>
      <c r="AZ16" s="25" t="n">
        <v>13375.16</v>
      </c>
      <c r="BA16" s="25" t="n">
        <v>0</v>
      </c>
      <c r="BB16" s="25" t="n">
        <v>2667.8</v>
      </c>
      <c r="BC16" s="25" t="n">
        <v>0</v>
      </c>
      <c r="BD16" s="25" t="n">
        <v>881.33</v>
      </c>
      <c r="BE16" s="25" t="n">
        <v>0</v>
      </c>
      <c r="BF16" s="25" t="n">
        <f aca="false">SUM(BE16,BC16,BA16,AY16,AW16,AU16,AS16,AQ16,AO16)</f>
        <v>5944500.78</v>
      </c>
      <c r="BG16" s="25" t="n">
        <v>2999.37</v>
      </c>
      <c r="BH16" s="25" t="n">
        <v>7883.85</v>
      </c>
      <c r="BI16" s="25" t="n">
        <v>16570.16</v>
      </c>
      <c r="BJ16" s="25" t="n">
        <v>15486.13</v>
      </c>
      <c r="BK16" s="25" t="n">
        <v>12051.03</v>
      </c>
      <c r="BL16" s="25" t="n">
        <v>11262.64</v>
      </c>
      <c r="BM16" s="25" t="n">
        <v>42178.6</v>
      </c>
      <c r="BN16" s="25" t="n">
        <v>39419.25</v>
      </c>
      <c r="BO16" s="25" t="n">
        <v>4108.3</v>
      </c>
      <c r="BP16" s="25" t="n">
        <v>0</v>
      </c>
      <c r="BQ16" s="25" t="n">
        <v>200348.34</v>
      </c>
      <c r="BR16" s="25" t="n">
        <v>187241.44</v>
      </c>
      <c r="BS16" s="25" t="n">
        <v>6326.79</v>
      </c>
      <c r="BT16" s="25" t="n">
        <v>6898.37</v>
      </c>
      <c r="BU16" s="25" t="n">
        <v>137095.35</v>
      </c>
      <c r="BV16" s="25" t="n">
        <v>128126.5</v>
      </c>
      <c r="BW16" s="25" t="n">
        <v>5061.43</v>
      </c>
      <c r="BX16" s="25" t="n">
        <v>9854.81</v>
      </c>
      <c r="BY16" s="25" t="n">
        <v>5356.01</v>
      </c>
      <c r="BZ16" s="25" t="n">
        <v>11262.64</v>
      </c>
      <c r="CA16" s="25" t="n">
        <v>29525.02</v>
      </c>
      <c r="CB16" s="25" t="n">
        <v>27593.47</v>
      </c>
      <c r="CC16" s="25" t="n">
        <v>89735.14</v>
      </c>
      <c r="CD16" s="25" t="n">
        <v>153751.8</v>
      </c>
      <c r="CE16" s="25" t="n">
        <v>54838.14</v>
      </c>
      <c r="CF16" s="25" t="n">
        <v>51250.6</v>
      </c>
      <c r="CG16" s="25" t="n">
        <f aca="false">SUM(CF16,CD16,CB16,BZ16,BX16,BV16,BT16,BR16,BP16,BN16,BL16,BJ16,BH16)</f>
        <v>650031.5</v>
      </c>
      <c r="CH16" s="25" t="n">
        <f aca="false">CG16+BF16</f>
        <v>6594532.28</v>
      </c>
      <c r="CI16" s="25" t="n">
        <f aca="false">SUM(CE16,CC16,CA16,BY16,BW16,BU16,BS16,BQ16,BO16,BM16,BK16,BI16,BG16,BD16,BB16,AZ16,AX16,AV16,AT16,AR16,AP16,AN16)</f>
        <v>6990753.61</v>
      </c>
      <c r="CJ16" s="25" t="n">
        <f aca="false">CI16-CH16</f>
        <v>396221.33</v>
      </c>
      <c r="CK16" s="25" t="str">
        <f aca="false">IF(CE16-CF16+CC16-CD16+CA16-CB16+BU16-BV16+BK16-BL16+BI16-BJ16 &gt; 0, CE16-CF16+CC16-CD16+CA16-CB16+BU16-BV16+BK16-BL16+BI16-BJ16, "-")</f>
        <v>-</v>
      </c>
      <c r="CL16" s="25" t="str">
        <f aca="false">IF(CJ16&lt;0,"⚠ Over Budget","✓ Within Budget")</f>
        <v>✓ Within Budget</v>
      </c>
      <c r="CM16" s="27"/>
    </row>
    <row r="17" customFormat="false" ht="18.75" hidden="false" customHeight="true" outlineLevel="0" collapsed="false">
      <c r="A17" s="28" t="s">
        <v>94</v>
      </c>
      <c r="B17" s="28" t="n">
        <v>2023</v>
      </c>
      <c r="C17" s="28" t="n">
        <v>25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1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1</v>
      </c>
      <c r="Q17" s="28" t="n">
        <v>1</v>
      </c>
      <c r="R17" s="28" t="n">
        <v>0</v>
      </c>
      <c r="S17" s="28" t="n">
        <v>24</v>
      </c>
      <c r="T17" s="28" t="n">
        <v>7</v>
      </c>
      <c r="U17" s="28" t="n">
        <v>17</v>
      </c>
      <c r="V17" s="28" t="n">
        <v>24</v>
      </c>
      <c r="W17" s="28" t="n">
        <v>0</v>
      </c>
      <c r="X17" s="28" t="n">
        <v>2</v>
      </c>
      <c r="Y17" s="28" t="n">
        <v>5</v>
      </c>
      <c r="Z17" s="28" t="n">
        <v>8</v>
      </c>
      <c r="AA17" s="28" t="n">
        <v>6</v>
      </c>
      <c r="AB17" s="28" t="n">
        <v>2</v>
      </c>
      <c r="AC17" s="28" t="n">
        <v>1</v>
      </c>
      <c r="AD17" s="29" t="n">
        <v>0.48</v>
      </c>
      <c r="AE17" s="29" t="n">
        <v>0</v>
      </c>
      <c r="AF17" s="30" t="n">
        <v>55.9</v>
      </c>
      <c r="AG17" s="31" t="n">
        <v>662223</v>
      </c>
      <c r="AH17" s="31" t="n">
        <v>1039464</v>
      </c>
      <c r="AI17" s="31" t="n">
        <v>1661770</v>
      </c>
      <c r="AJ17" s="31" t="n">
        <v>2769295</v>
      </c>
      <c r="AK17" s="31" t="n">
        <v>4572244</v>
      </c>
      <c r="AL17" s="31" t="n">
        <v>8178912</v>
      </c>
      <c r="AM17" s="31" t="n">
        <v>3075035.94</v>
      </c>
      <c r="AN17" s="31" t="n">
        <v>5483814.09</v>
      </c>
      <c r="AO17" s="31" t="n">
        <v>5921838.77</v>
      </c>
      <c r="AP17" s="31" t="n">
        <v>548381.41</v>
      </c>
      <c r="AQ17" s="31" t="n">
        <v>512505.99</v>
      </c>
      <c r="AR17" s="31" t="n">
        <v>24926.43</v>
      </c>
      <c r="AS17" s="31" t="n">
        <v>796778.87</v>
      </c>
      <c r="AT17" s="31" t="n">
        <v>274190.7</v>
      </c>
      <c r="AU17" s="31" t="n">
        <v>256253</v>
      </c>
      <c r="AV17" s="31" t="n">
        <v>26453.48</v>
      </c>
      <c r="AW17" s="31" t="n">
        <v>25340.95</v>
      </c>
      <c r="AX17" s="31" t="n">
        <v>18076.54</v>
      </c>
      <c r="AY17" s="31" t="n">
        <v>16893.96</v>
      </c>
      <c r="AZ17" s="31" t="n">
        <v>42800.5</v>
      </c>
      <c r="BA17" s="31" t="n">
        <v>0</v>
      </c>
      <c r="BB17" s="31" t="n">
        <v>4446.34</v>
      </c>
      <c r="BC17" s="31" t="n">
        <v>0</v>
      </c>
      <c r="BD17" s="31" t="n">
        <v>881.33</v>
      </c>
      <c r="BE17" s="31" t="n">
        <v>0</v>
      </c>
      <c r="BF17" s="31" t="n">
        <f aca="false">SUM(BE17,BC17,BA17,AY17,AW17,AU17,AS17,AQ17,AO17)</f>
        <v>7529611.54</v>
      </c>
      <c r="BG17" s="31" t="n">
        <v>2999.37</v>
      </c>
      <c r="BH17" s="31" t="n">
        <v>7883.85</v>
      </c>
      <c r="BI17" s="31" t="n">
        <v>16570.16</v>
      </c>
      <c r="BJ17" s="31" t="n">
        <v>15486.13</v>
      </c>
      <c r="BK17" s="31" t="n">
        <v>12051.03</v>
      </c>
      <c r="BL17" s="31" t="n">
        <v>11262.64</v>
      </c>
      <c r="BM17" s="31" t="n">
        <v>42178.6</v>
      </c>
      <c r="BN17" s="31" t="n">
        <v>39419.25</v>
      </c>
      <c r="BO17" s="31" t="n">
        <v>4108.3</v>
      </c>
      <c r="BP17" s="31" t="n">
        <v>0</v>
      </c>
      <c r="BQ17" s="31" t="n">
        <v>200348.34</v>
      </c>
      <c r="BR17" s="31" t="n">
        <v>187241.44</v>
      </c>
      <c r="BS17" s="31" t="n">
        <v>7029.77</v>
      </c>
      <c r="BT17" s="31" t="n">
        <v>6898.37</v>
      </c>
      <c r="BU17" s="31" t="n">
        <v>137095.35</v>
      </c>
      <c r="BV17" s="31" t="n">
        <v>128126.5</v>
      </c>
      <c r="BW17" s="31" t="n">
        <v>5061.43</v>
      </c>
      <c r="BX17" s="31" t="n">
        <v>9854.81</v>
      </c>
      <c r="BY17" s="31" t="n">
        <v>38036.75</v>
      </c>
      <c r="BZ17" s="31" t="n">
        <v>33326.6</v>
      </c>
      <c r="CA17" s="31" t="n">
        <v>29525.02</v>
      </c>
      <c r="CB17" s="31" t="n">
        <v>27593.47</v>
      </c>
      <c r="CC17" s="31" t="n">
        <v>1478945.38</v>
      </c>
      <c r="CD17" s="31" t="n">
        <v>1569175.53</v>
      </c>
      <c r="CE17" s="31" t="n">
        <v>54838.14</v>
      </c>
      <c r="CF17" s="31" t="n">
        <v>51250.6</v>
      </c>
      <c r="CG17" s="31" t="n">
        <f aca="false">SUM(CF17,CD17,CB17,BZ17,BX17,BV17,BT17,BR17,BP17,BN17,BL17,BJ17,BH17)</f>
        <v>2087519.19</v>
      </c>
      <c r="CH17" s="31" t="n">
        <f aca="false">CG17+BF17</f>
        <v>9617130.73</v>
      </c>
      <c r="CI17" s="31" t="n">
        <f aca="false">SUM(CE17,CC17,CA17,BY17,BW17,BU17,BS17,BQ17,BO17,BM17,BK17,BI17,BG17,BD17,BB17,AZ17,AX17,AV17,AT17,AR17,AP17,AN17)</f>
        <v>8452758.46</v>
      </c>
      <c r="CJ17" s="31" t="n">
        <f aca="false">CI17-CH17</f>
        <v>-1164372.27</v>
      </c>
      <c r="CK17" s="31" t="str">
        <f aca="false">IF(CE17-CF17+CC17-CD17+CA17-CB17+BU17-BV17+BK17-BL17+BI17-BJ17 &gt; 0, CE17-CF17+CC17-CD17+CA17-CB17+BU17-BV17+BK17-BL17+BI17-BJ17, "-")</f>
        <v>-</v>
      </c>
      <c r="CL17" s="31" t="str">
        <f aca="false">IF(CJ17&lt;0,"⚠ Over Budget","✓ Within Budget")</f>
        <v>⚠ Over Budget</v>
      </c>
      <c r="CM17" s="33" t="s">
        <v>112</v>
      </c>
    </row>
    <row r="18" customFormat="false" ht="18.75" hidden="false" customHeight="true" outlineLevel="0" collapsed="false">
      <c r="A18" s="28" t="s">
        <v>96</v>
      </c>
      <c r="B18" s="28" t="n">
        <v>2023</v>
      </c>
      <c r="C18" s="28" t="n">
        <v>24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  <c r="Q18" s="28" t="n">
        <v>0</v>
      </c>
      <c r="R18" s="28" t="n">
        <v>0</v>
      </c>
      <c r="S18" s="28" t="n">
        <v>24</v>
      </c>
      <c r="T18" s="28" t="n">
        <v>7</v>
      </c>
      <c r="U18" s="28" t="n">
        <v>17</v>
      </c>
      <c r="V18" s="28" t="n">
        <v>24</v>
      </c>
      <c r="W18" s="28" t="n">
        <v>0</v>
      </c>
      <c r="X18" s="28" t="n">
        <v>2</v>
      </c>
      <c r="Y18" s="28" t="n">
        <v>5</v>
      </c>
      <c r="Z18" s="28" t="n">
        <v>8</v>
      </c>
      <c r="AA18" s="28" t="n">
        <v>6</v>
      </c>
      <c r="AB18" s="28" t="n">
        <v>2</v>
      </c>
      <c r="AC18" s="28" t="n">
        <v>1</v>
      </c>
      <c r="AD18" s="29" t="n">
        <v>0</v>
      </c>
      <c r="AE18" s="29" t="n">
        <v>0.101816856544123</v>
      </c>
      <c r="AF18" s="30" t="n">
        <v>55.4</v>
      </c>
      <c r="AG18" s="31" t="n">
        <v>739221</v>
      </c>
      <c r="AH18" s="31" t="n">
        <v>1158420</v>
      </c>
      <c r="AI18" s="31" t="n">
        <v>1833820</v>
      </c>
      <c r="AJ18" s="31" t="n">
        <v>3024630</v>
      </c>
      <c r="AK18" s="31" t="n">
        <v>4956341</v>
      </c>
      <c r="AL18" s="31" t="n">
        <v>8799011</v>
      </c>
      <c r="AM18" s="31" t="n">
        <v>3364680.48</v>
      </c>
      <c r="AN18" s="31" t="n">
        <v>6000346.85</v>
      </c>
      <c r="AO18" s="31" t="n">
        <v>6795560.67</v>
      </c>
      <c r="AP18" s="31" t="n">
        <v>600034.69</v>
      </c>
      <c r="AQ18" s="31" t="n">
        <v>560780.08</v>
      </c>
      <c r="AR18" s="31" t="n">
        <v>305472.2</v>
      </c>
      <c r="AS18" s="31" t="n">
        <v>1184385.97</v>
      </c>
      <c r="AT18" s="31" t="n">
        <v>300017.34</v>
      </c>
      <c r="AU18" s="31" t="n">
        <v>280390.04</v>
      </c>
      <c r="AV18" s="31" t="n">
        <v>31744.17</v>
      </c>
      <c r="AW18" s="31" t="n">
        <v>25340.95</v>
      </c>
      <c r="AX18" s="31" t="n">
        <v>18076.54</v>
      </c>
      <c r="AY18" s="31" t="n">
        <v>16893.96</v>
      </c>
      <c r="AZ18" s="31" t="n">
        <v>58539.97</v>
      </c>
      <c r="BA18" s="31" t="n">
        <v>0</v>
      </c>
      <c r="BB18" s="31" t="n">
        <v>4865.15</v>
      </c>
      <c r="BC18" s="31" t="n">
        <v>0</v>
      </c>
      <c r="BD18" s="31" t="n">
        <v>321.45</v>
      </c>
      <c r="BE18" s="31" t="n">
        <v>0</v>
      </c>
      <c r="BF18" s="31" t="n">
        <f aca="false">SUM(BE18,BC18,BA18,AY18,AW18,AU18,AS18,AQ18,AO18)</f>
        <v>8863351.67</v>
      </c>
      <c r="BG18" s="31" t="n">
        <v>51846.2</v>
      </c>
      <c r="BH18" s="31" t="n">
        <v>24777.81</v>
      </c>
      <c r="BI18" s="31" t="n">
        <v>16570.16</v>
      </c>
      <c r="BJ18" s="31" t="n">
        <v>15486.13</v>
      </c>
      <c r="BK18" s="31" t="n">
        <v>12051.03</v>
      </c>
      <c r="BL18" s="31" t="n">
        <v>11262.64</v>
      </c>
      <c r="BM18" s="31" t="n">
        <v>42178.6</v>
      </c>
      <c r="BN18" s="31" t="n">
        <v>39419.25</v>
      </c>
      <c r="BO18" s="31" t="n">
        <v>20541.52</v>
      </c>
      <c r="BP18" s="31" t="n">
        <v>0</v>
      </c>
      <c r="BQ18" s="31" t="n">
        <v>200348.34</v>
      </c>
      <c r="BR18" s="31" t="n">
        <v>187241.44</v>
      </c>
      <c r="BS18" s="31" t="n">
        <v>7029.77</v>
      </c>
      <c r="BT18" s="31" t="n">
        <v>6898.37</v>
      </c>
      <c r="BU18" s="31" t="n">
        <v>150008.67</v>
      </c>
      <c r="BV18" s="31" t="n">
        <v>140195.02</v>
      </c>
      <c r="BW18" s="31" t="n">
        <v>20245.73</v>
      </c>
      <c r="BX18" s="31" t="n">
        <v>9854.81</v>
      </c>
      <c r="BY18" s="31" t="n">
        <v>5356.01</v>
      </c>
      <c r="BZ18" s="31" t="n">
        <v>11262.64</v>
      </c>
      <c r="CA18" s="31" t="n">
        <v>29525.02</v>
      </c>
      <c r="CB18" s="31" t="n">
        <v>27593.47</v>
      </c>
      <c r="CC18" s="31" t="n">
        <v>1099215.68</v>
      </c>
      <c r="CD18" s="31" t="n">
        <v>376678.27</v>
      </c>
      <c r="CE18" s="31" t="n">
        <v>60003.47</v>
      </c>
      <c r="CF18" s="31" t="n">
        <v>56078.01</v>
      </c>
      <c r="CG18" s="31" t="n">
        <f aca="false">SUM(CF18,CD18,CB18,BZ18,BX18,BV18,BT18,BR18,BP18,BN18,BL18,BJ18,BH18)</f>
        <v>906747.86</v>
      </c>
      <c r="CH18" s="31" t="n">
        <f aca="false">CG18+BF18</f>
        <v>9770099.53</v>
      </c>
      <c r="CI18" s="31" t="n">
        <f aca="false">SUM(CE18,CC18,CA18,BY18,BW18,BU18,BS18,BQ18,BO18,BM18,BK18,BI18,BG18,BD18,BB18,AZ18,AX18,AV18,AT18,AR18,AP18,AN18)</f>
        <v>9034338.56</v>
      </c>
      <c r="CJ18" s="31" t="n">
        <f aca="false">CI18-CH18</f>
        <v>-735760.970000001</v>
      </c>
      <c r="CK18" s="31" t="n">
        <f aca="false">IF(CE18-CF18+CC18-CD18+CA18-CB18+BU18-BV18+BK18-BL18+BI18-BJ18 &gt; 0, CE18-CF18+CC18-CD18+CA18-CB18+BU18-BV18+BK18-BL18+BI18-BJ18, "-")</f>
        <v>740080.49</v>
      </c>
      <c r="CL18" s="31" t="str">
        <f aca="false">IF(CJ18&lt;0,"⚠ Over Budget","✓ Within Budget")</f>
        <v>⚠ Over Budget</v>
      </c>
      <c r="CM18" s="33" t="s">
        <v>107</v>
      </c>
    </row>
    <row r="19" customFormat="false" ht="14.25" hidden="false" customHeight="false" outlineLevel="0" collapsed="false">
      <c r="A19" s="16" t="s">
        <v>98</v>
      </c>
      <c r="B19" s="16" t="n">
        <v>2023</v>
      </c>
      <c r="C19" s="16" t="n">
        <v>24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24</v>
      </c>
      <c r="T19" s="16" t="n">
        <v>6</v>
      </c>
      <c r="U19" s="16" t="n">
        <v>18</v>
      </c>
      <c r="V19" s="16" t="n">
        <v>24</v>
      </c>
      <c r="W19" s="16" t="n">
        <v>0</v>
      </c>
      <c r="X19" s="16" t="n">
        <v>2</v>
      </c>
      <c r="Y19" s="16" t="n">
        <v>5</v>
      </c>
      <c r="Z19" s="16" t="n">
        <v>8</v>
      </c>
      <c r="AA19" s="16" t="n">
        <v>6</v>
      </c>
      <c r="AB19" s="16" t="n">
        <v>2</v>
      </c>
      <c r="AC19" s="16" t="n">
        <v>1</v>
      </c>
      <c r="AD19" s="17" t="n">
        <v>0</v>
      </c>
      <c r="AE19" s="17" t="n">
        <v>0</v>
      </c>
      <c r="AF19" s="18" t="n">
        <v>55.1</v>
      </c>
      <c r="AG19" s="19" t="n">
        <v>739221</v>
      </c>
      <c r="AH19" s="19" t="n">
        <v>1158420</v>
      </c>
      <c r="AI19" s="19" t="n">
        <v>1833820</v>
      </c>
      <c r="AJ19" s="19" t="n">
        <v>3024630</v>
      </c>
      <c r="AK19" s="19" t="n">
        <v>4956341</v>
      </c>
      <c r="AL19" s="19" t="n">
        <v>8799011</v>
      </c>
      <c r="AM19" s="19" t="n">
        <v>3364680.48</v>
      </c>
      <c r="AN19" s="19" t="n">
        <v>5700329.51</v>
      </c>
      <c r="AO19" s="19" t="n">
        <v>5327410.76</v>
      </c>
      <c r="AP19" s="19" t="n">
        <v>570032.95</v>
      </c>
      <c r="AQ19" s="19" t="n">
        <v>532741.08</v>
      </c>
      <c r="AR19" s="19" t="n">
        <v>20728.47</v>
      </c>
      <c r="AS19" s="19" t="n">
        <v>0</v>
      </c>
      <c r="AT19" s="19" t="n">
        <v>285016.48</v>
      </c>
      <c r="AU19" s="19" t="n">
        <v>266370.54</v>
      </c>
      <c r="AV19" s="19" t="n">
        <v>32670.04</v>
      </c>
      <c r="AW19" s="19" t="n">
        <v>24073.9</v>
      </c>
      <c r="AX19" s="19" t="n">
        <v>17172.71</v>
      </c>
      <c r="AY19" s="19" t="n">
        <v>16049.27</v>
      </c>
      <c r="AZ19" s="19" t="n">
        <v>16683.89</v>
      </c>
      <c r="BA19" s="19" t="n">
        <v>0</v>
      </c>
      <c r="BB19" s="19" t="n">
        <v>1946.06</v>
      </c>
      <c r="BC19" s="19" t="n">
        <v>0</v>
      </c>
      <c r="BD19" s="19" t="n">
        <v>96434.15</v>
      </c>
      <c r="BE19" s="19" t="n">
        <v>168234.02</v>
      </c>
      <c r="BF19" s="19" t="n">
        <f aca="false">SUM(BE19,BC19,BA19,AY19,AW19,AU19,AS19,AQ19,AO19)</f>
        <v>6334879.57</v>
      </c>
      <c r="BG19" s="19" t="n">
        <v>32971.61</v>
      </c>
      <c r="BH19" s="19" t="n">
        <v>19259.12</v>
      </c>
      <c r="BI19" s="19" t="n">
        <v>15741.65</v>
      </c>
      <c r="BJ19" s="19" t="n">
        <v>14711.83</v>
      </c>
      <c r="BK19" s="19" t="n">
        <v>11448.48</v>
      </c>
      <c r="BL19" s="19" t="n">
        <v>10699.51</v>
      </c>
      <c r="BM19" s="19" t="n">
        <v>40069.67</v>
      </c>
      <c r="BN19" s="19" t="n">
        <v>37448.29</v>
      </c>
      <c r="BO19" s="19" t="n">
        <v>8216.61</v>
      </c>
      <c r="BP19" s="19" t="n">
        <v>0</v>
      </c>
      <c r="BQ19" s="19" t="n">
        <v>200348.34</v>
      </c>
      <c r="BR19" s="19" t="n">
        <v>187241.44</v>
      </c>
      <c r="BS19" s="19" t="n">
        <v>7732.74</v>
      </c>
      <c r="BT19" s="19" t="n">
        <v>6898.37</v>
      </c>
      <c r="BU19" s="19" t="n">
        <v>142508.24</v>
      </c>
      <c r="BV19" s="19" t="n">
        <v>133185.27</v>
      </c>
      <c r="BW19" s="19" t="n">
        <v>14425.08</v>
      </c>
      <c r="BX19" s="19" t="n">
        <v>9362.07</v>
      </c>
      <c r="BY19" s="19" t="n">
        <v>5088.21</v>
      </c>
      <c r="BZ19" s="19" t="n">
        <v>10699.51</v>
      </c>
      <c r="CA19" s="19" t="n">
        <v>28048.77</v>
      </c>
      <c r="CB19" s="19" t="n">
        <v>26213.8</v>
      </c>
      <c r="CC19" s="19" t="n">
        <v>149244.99</v>
      </c>
      <c r="CD19" s="19" t="n">
        <v>159822.32</v>
      </c>
      <c r="CE19" s="19" t="n">
        <v>57003.3</v>
      </c>
      <c r="CF19" s="19" t="n">
        <v>53274.11</v>
      </c>
      <c r="CG19" s="19" t="n">
        <f aca="false">SUM(CF19,CD19,CB19,BZ19,BX19,BV19,BT19,BR19,BP19,BN19,BL19,BJ19,BH19)</f>
        <v>668815.64</v>
      </c>
      <c r="CH19" s="19" t="n">
        <f aca="false">CG19+BF19</f>
        <v>7003695.21</v>
      </c>
      <c r="CI19" s="19" t="n">
        <f aca="false">SUM(CE19,CC19,CA19,BY19,BW19,BU19,BS19,BQ19,BO19,BM19,BK19,BI19,BG19,BD19,BB19,AZ19,AX19,AV19,AT19,AR19,AP19,AN19)</f>
        <v>7453861.95</v>
      </c>
      <c r="CJ19" s="19" t="n">
        <f aca="false">CI19-CH19</f>
        <v>450166.74</v>
      </c>
      <c r="CK19" s="19" t="n">
        <f aca="false">IF(CE19-CF19+CC19-CD19+CA19-CB19+BU19-BV19+BK19-BL19+BI19-BJ19 &gt; 0, CE19-CF19+CC19-CD19+CA19-CB19+BU19-BV19+BK19-BL19+BI19-BJ19, "-")</f>
        <v>6088.58999999999</v>
      </c>
      <c r="CL19" s="19" t="str">
        <f aca="false">IF(CJ19&lt;0,"⚠ Over Budget","✓ Within Budget")</f>
        <v>✓ Within Budget</v>
      </c>
      <c r="CM19" s="21"/>
    </row>
    <row r="20" customFormat="false" ht="18.75" hidden="false" customHeight="true" outlineLevel="0" collapsed="false">
      <c r="A20" s="28" t="s">
        <v>99</v>
      </c>
      <c r="B20" s="28" t="n">
        <v>2023</v>
      </c>
      <c r="C20" s="28" t="n">
        <v>24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 t="n">
        <v>0</v>
      </c>
      <c r="Q20" s="28" t="n">
        <v>0</v>
      </c>
      <c r="R20" s="28" t="n">
        <v>0</v>
      </c>
      <c r="S20" s="28" t="n">
        <v>24</v>
      </c>
      <c r="T20" s="28" t="n">
        <v>5</v>
      </c>
      <c r="U20" s="28" t="n">
        <v>19</v>
      </c>
      <c r="V20" s="28" t="n">
        <v>24</v>
      </c>
      <c r="W20" s="28" t="n">
        <v>0</v>
      </c>
      <c r="X20" s="28" t="n">
        <v>2</v>
      </c>
      <c r="Y20" s="28" t="n">
        <v>5</v>
      </c>
      <c r="Z20" s="28" t="n">
        <v>8</v>
      </c>
      <c r="AA20" s="28" t="n">
        <v>6</v>
      </c>
      <c r="AB20" s="28" t="n">
        <v>2</v>
      </c>
      <c r="AC20" s="28" t="n">
        <v>1</v>
      </c>
      <c r="AD20" s="29" t="n">
        <v>0</v>
      </c>
      <c r="AE20" s="29" t="n">
        <v>0</v>
      </c>
      <c r="AF20" s="30" t="n">
        <v>56</v>
      </c>
      <c r="AG20" s="31" t="n">
        <v>739221</v>
      </c>
      <c r="AH20" s="31" t="n">
        <v>1158420</v>
      </c>
      <c r="AI20" s="31" t="n">
        <v>1833820</v>
      </c>
      <c r="AJ20" s="31" t="n">
        <v>3024630</v>
      </c>
      <c r="AK20" s="31" t="n">
        <v>4956341</v>
      </c>
      <c r="AL20" s="31" t="n">
        <v>8799011</v>
      </c>
      <c r="AM20" s="31" t="n">
        <v>3364680.48</v>
      </c>
      <c r="AN20" s="31" t="n">
        <v>5700329.51</v>
      </c>
      <c r="AO20" s="31" t="n">
        <v>5327410.76</v>
      </c>
      <c r="AP20" s="31" t="n">
        <v>570032.95</v>
      </c>
      <c r="AQ20" s="31" t="n">
        <v>532741.08</v>
      </c>
      <c r="AR20" s="31" t="n">
        <v>20728.47</v>
      </c>
      <c r="AS20" s="31" t="n">
        <v>0</v>
      </c>
      <c r="AT20" s="31" t="n">
        <v>285016.48</v>
      </c>
      <c r="AU20" s="31" t="n">
        <v>266370.54</v>
      </c>
      <c r="AV20" s="31" t="n">
        <v>37696.2</v>
      </c>
      <c r="AW20" s="31" t="n">
        <v>24073.9</v>
      </c>
      <c r="AX20" s="31" t="n">
        <v>17172.71</v>
      </c>
      <c r="AY20" s="31" t="n">
        <v>16049.27</v>
      </c>
      <c r="AZ20" s="31" t="n">
        <v>16683.89</v>
      </c>
      <c r="BA20" s="31" t="n">
        <v>0</v>
      </c>
      <c r="BB20" s="31" t="n">
        <v>2919.09</v>
      </c>
      <c r="BC20" s="31" t="n">
        <v>0</v>
      </c>
      <c r="BD20" s="31" t="n">
        <v>642.89</v>
      </c>
      <c r="BE20" s="31" t="n">
        <v>0</v>
      </c>
      <c r="BF20" s="31" t="n">
        <f aca="false">SUM(BE20,BC20,BA20,AY20,AW20,AU20,AS20,AQ20,AO20)</f>
        <v>6166645.55</v>
      </c>
      <c r="BG20" s="31" t="n">
        <v>5698.8</v>
      </c>
      <c r="BH20" s="31" t="n">
        <v>7489.66</v>
      </c>
      <c r="BI20" s="31" t="n">
        <v>15741.65</v>
      </c>
      <c r="BJ20" s="31" t="n">
        <v>14711.83</v>
      </c>
      <c r="BK20" s="31" t="n">
        <v>11448.48</v>
      </c>
      <c r="BL20" s="31" t="n">
        <v>10699.51</v>
      </c>
      <c r="BM20" s="31" t="n">
        <v>40069.67</v>
      </c>
      <c r="BN20" s="31" t="n">
        <v>37448.29</v>
      </c>
      <c r="BO20" s="31" t="n">
        <v>4108.3</v>
      </c>
      <c r="BP20" s="31" t="n">
        <v>0</v>
      </c>
      <c r="BQ20" s="31" t="n">
        <v>214658.93</v>
      </c>
      <c r="BR20" s="31" t="n">
        <v>1096749.96</v>
      </c>
      <c r="BS20" s="31" t="n">
        <v>9791.46</v>
      </c>
      <c r="BT20" s="31" t="n">
        <v>391448.6</v>
      </c>
      <c r="BU20" s="31" t="n">
        <v>142508.24</v>
      </c>
      <c r="BV20" s="31" t="n">
        <v>133185.27</v>
      </c>
      <c r="BW20" s="31" t="n">
        <v>9616.72</v>
      </c>
      <c r="BX20" s="31" t="n">
        <v>9362.07</v>
      </c>
      <c r="BY20" s="31" t="n">
        <v>138506.62</v>
      </c>
      <c r="BZ20" s="31" t="n">
        <v>58250.45</v>
      </c>
      <c r="CA20" s="31" t="n">
        <v>28048.77</v>
      </c>
      <c r="CB20" s="31" t="n">
        <v>26213.8</v>
      </c>
      <c r="CC20" s="31" t="n">
        <v>93278.12</v>
      </c>
      <c r="CD20" s="31" t="n">
        <v>159822.32</v>
      </c>
      <c r="CE20" s="31" t="n">
        <v>57003.3</v>
      </c>
      <c r="CF20" s="31" t="n">
        <v>53274.11</v>
      </c>
      <c r="CG20" s="31" t="n">
        <f aca="false">SUM(CF20,CD20,CB20,BZ20,BX20,BV20,BT20,BR20,BP20,BN20,BL20,BJ20,BH20)</f>
        <v>1998655.87</v>
      </c>
      <c r="CH20" s="31" t="n">
        <f aca="false">CG20+BF20</f>
        <v>8165301.42</v>
      </c>
      <c r="CI20" s="31" t="n">
        <f aca="false">SUM(CE20,CC20,CA20,BY20,BW20,BU20,BS20,BQ20,BO20,BM20,BK20,BI20,BG20,BD20,BB20,AZ20,AX20,AV20,AT20,AR20,AP20,AN20)</f>
        <v>7421701.25</v>
      </c>
      <c r="CJ20" s="31" t="n">
        <f aca="false">CI20-CH20</f>
        <v>-743600.17</v>
      </c>
      <c r="CK20" s="31" t="str">
        <f aca="false">IF(CE20-CF20+CC20-CD20+CA20-CB20+BU20-BV20+BK20-BL20+BI20-BJ20 &gt; 0, CE20-CF20+CC20-CD20+CA20-CB20+BU20-BV20+BK20-BL20+BI20-BJ20, "-")</f>
        <v>-</v>
      </c>
      <c r="CL20" s="31" t="str">
        <f aca="false">IF(CJ20&lt;0,"⚠ Over Budget","✓ Within Budget")</f>
        <v>⚠ Over Budget</v>
      </c>
      <c r="CM20" s="33" t="s">
        <v>108</v>
      </c>
    </row>
    <row r="21" customFormat="false" ht="14.25" hidden="false" customHeight="false" outlineLevel="0" collapsed="false">
      <c r="A21" s="16" t="s">
        <v>100</v>
      </c>
      <c r="B21" s="16" t="n">
        <v>2023</v>
      </c>
      <c r="C21" s="16" t="n">
        <v>24</v>
      </c>
      <c r="D21" s="16" t="n">
        <v>1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1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25</v>
      </c>
      <c r="T21" s="16" t="n">
        <v>7</v>
      </c>
      <c r="U21" s="16" t="n">
        <v>18</v>
      </c>
      <c r="V21" s="16" t="n">
        <v>25</v>
      </c>
      <c r="W21" s="16" t="n">
        <v>0</v>
      </c>
      <c r="X21" s="16" t="n">
        <v>2</v>
      </c>
      <c r="Y21" s="16" t="n">
        <v>6</v>
      </c>
      <c r="Z21" s="16" t="n">
        <v>8</v>
      </c>
      <c r="AA21" s="16" t="n">
        <v>6</v>
      </c>
      <c r="AB21" s="16" t="n">
        <v>2</v>
      </c>
      <c r="AC21" s="16" t="n">
        <v>1</v>
      </c>
      <c r="AD21" s="17" t="n">
        <v>0</v>
      </c>
      <c r="AE21" s="17" t="n">
        <v>0</v>
      </c>
      <c r="AF21" s="18" t="n">
        <v>57.2</v>
      </c>
      <c r="AG21" s="19" t="n">
        <v>739221</v>
      </c>
      <c r="AH21" s="19" t="n">
        <v>1158420</v>
      </c>
      <c r="AI21" s="19" t="n">
        <v>1833820</v>
      </c>
      <c r="AJ21" s="19" t="n">
        <v>3024630</v>
      </c>
      <c r="AK21" s="19" t="n">
        <v>4956341</v>
      </c>
      <c r="AL21" s="19" t="n">
        <v>8799011</v>
      </c>
      <c r="AM21" s="19" t="n">
        <v>3364680.48</v>
      </c>
      <c r="AN21" s="19" t="n">
        <v>5400312.17</v>
      </c>
      <c r="AO21" s="19" t="n">
        <v>5047020.72</v>
      </c>
      <c r="AP21" s="19" t="n">
        <v>540031.22</v>
      </c>
      <c r="AQ21" s="19" t="n">
        <v>504702.07</v>
      </c>
      <c r="AR21" s="19" t="n">
        <v>19637.5</v>
      </c>
      <c r="AS21" s="19" t="n">
        <v>0</v>
      </c>
      <c r="AT21" s="19" t="n">
        <v>270015.61</v>
      </c>
      <c r="AU21" s="19" t="n">
        <v>252351.04</v>
      </c>
      <c r="AV21" s="19" t="n">
        <v>28569.75</v>
      </c>
      <c r="AW21" s="19" t="n">
        <v>22806.85</v>
      </c>
      <c r="AX21" s="19" t="n">
        <v>16268.89</v>
      </c>
      <c r="AY21" s="19" t="n">
        <v>15204.57</v>
      </c>
      <c r="AZ21" s="19" t="n">
        <v>13171.49</v>
      </c>
      <c r="BA21" s="19" t="n">
        <v>0</v>
      </c>
      <c r="BB21" s="19" t="n">
        <v>4865.15</v>
      </c>
      <c r="BC21" s="19" t="n">
        <v>0</v>
      </c>
      <c r="BD21" s="19" t="n">
        <v>289302.44</v>
      </c>
      <c r="BE21" s="19" t="n">
        <v>168234.02</v>
      </c>
      <c r="BF21" s="19" t="n">
        <f aca="false">SUM(BE21,BC21,BA21,AY21,AW21,AU21,AS21,AQ21,AO21)</f>
        <v>6010319.27</v>
      </c>
      <c r="BG21" s="19" t="n">
        <v>4049.15</v>
      </c>
      <c r="BH21" s="19" t="n">
        <v>7095.46</v>
      </c>
      <c r="BI21" s="19" t="n">
        <v>14913.15</v>
      </c>
      <c r="BJ21" s="19" t="n">
        <v>13937.52</v>
      </c>
      <c r="BK21" s="19" t="n">
        <v>10845.92</v>
      </c>
      <c r="BL21" s="19" t="n">
        <v>10136.38</v>
      </c>
      <c r="BM21" s="19" t="n">
        <v>37960.74</v>
      </c>
      <c r="BN21" s="19" t="n">
        <v>35477.32</v>
      </c>
      <c r="BO21" s="19" t="n">
        <v>20541.52</v>
      </c>
      <c r="BP21" s="19" t="n">
        <v>0</v>
      </c>
      <c r="BQ21" s="19" t="n">
        <v>186037.74</v>
      </c>
      <c r="BR21" s="19" t="n">
        <v>173867.05</v>
      </c>
      <c r="BS21" s="19" t="n">
        <v>8485.93</v>
      </c>
      <c r="BT21" s="19" t="n">
        <v>6405.63</v>
      </c>
      <c r="BU21" s="19" t="n">
        <v>135007.8</v>
      </c>
      <c r="BV21" s="19" t="n">
        <v>126175.52</v>
      </c>
      <c r="BW21" s="19" t="n">
        <v>4555.29</v>
      </c>
      <c r="BX21" s="19" t="n">
        <v>8869.33</v>
      </c>
      <c r="BY21" s="19" t="n">
        <v>4820.41</v>
      </c>
      <c r="BZ21" s="19" t="n">
        <v>10136.38</v>
      </c>
      <c r="CA21" s="19" t="n">
        <v>26572.52</v>
      </c>
      <c r="CB21" s="19" t="n">
        <v>24834.13</v>
      </c>
      <c r="CC21" s="19" t="n">
        <v>88368.74</v>
      </c>
      <c r="CD21" s="19" t="n">
        <v>151410.62</v>
      </c>
      <c r="CE21" s="19" t="n">
        <v>54003.12</v>
      </c>
      <c r="CF21" s="19" t="n">
        <v>50470.21</v>
      </c>
      <c r="CG21" s="19" t="n">
        <f aca="false">SUM(CF21,CD21,CB21,BZ21,BX21,BV21,BT21,BR21,BP21,BN21,BL21,BJ21,BH21)</f>
        <v>618815.55</v>
      </c>
      <c r="CH21" s="19" t="n">
        <f aca="false">CG21+BF21</f>
        <v>6629134.82</v>
      </c>
      <c r="CI21" s="19" t="n">
        <f aca="false">SUM(CE21,CC21,CA21,BY21,BW21,BU21,BS21,BQ21,BO21,BM21,BK21,BI21,BG21,BD21,BB21,AZ21,AX21,AV21,AT21,AR21,AP21,AN21)</f>
        <v>7178336.25</v>
      </c>
      <c r="CJ21" s="19" t="n">
        <f aca="false">CI21-CH21</f>
        <v>549201.430000001</v>
      </c>
      <c r="CK21" s="19" t="str">
        <f aca="false">IF(CE21-CF21+CC21-CD21+CA21-CB21+BU21-BV21+BK21-BL21+BI21-BJ21 &gt; 0, CE21-CF21+CC21-CD21+CA21-CB21+BU21-BV21+BK21-BL21+BI21-BJ21, "-")</f>
        <v>-</v>
      </c>
      <c r="CL21" s="19" t="str">
        <f aca="false">IF(CJ21&lt;0,"⚠ Over Budget","✓ Within Budget")</f>
        <v>✓ Within Budget</v>
      </c>
      <c r="CM21" s="21"/>
    </row>
    <row r="22" customFormat="false" ht="14.25" hidden="false" customHeight="false" outlineLevel="0" collapsed="false">
      <c r="A22" s="22" t="s">
        <v>101</v>
      </c>
      <c r="B22" s="22" t="n">
        <v>2023</v>
      </c>
      <c r="C22" s="22" t="n">
        <v>25</v>
      </c>
      <c r="D22" s="22" t="n">
        <v>1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1</v>
      </c>
      <c r="J22" s="22" t="n">
        <v>1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26</v>
      </c>
      <c r="T22" s="22" t="n">
        <v>8</v>
      </c>
      <c r="U22" s="22" t="n">
        <v>18</v>
      </c>
      <c r="V22" s="22" t="n">
        <v>26</v>
      </c>
      <c r="W22" s="22" t="n">
        <v>0</v>
      </c>
      <c r="X22" s="22" t="n">
        <v>3</v>
      </c>
      <c r="Y22" s="22" t="n">
        <v>6</v>
      </c>
      <c r="Z22" s="22" t="n">
        <v>8</v>
      </c>
      <c r="AA22" s="22" t="n">
        <v>6</v>
      </c>
      <c r="AB22" s="22" t="n">
        <v>2</v>
      </c>
      <c r="AC22" s="22" t="n">
        <v>1</v>
      </c>
      <c r="AD22" s="23" t="n">
        <v>0</v>
      </c>
      <c r="AE22" s="23" t="n">
        <v>0</v>
      </c>
      <c r="AF22" s="24" t="n">
        <v>56.8</v>
      </c>
      <c r="AG22" s="25" t="n">
        <v>739221</v>
      </c>
      <c r="AH22" s="25" t="n">
        <v>1158420</v>
      </c>
      <c r="AI22" s="25" t="n">
        <v>1833820</v>
      </c>
      <c r="AJ22" s="25" t="n">
        <v>3024630</v>
      </c>
      <c r="AK22" s="25" t="n">
        <v>4956341</v>
      </c>
      <c r="AL22" s="25" t="n">
        <v>8799011</v>
      </c>
      <c r="AM22" s="25" t="n">
        <v>3364680.48</v>
      </c>
      <c r="AN22" s="25" t="n">
        <v>5700329.51</v>
      </c>
      <c r="AO22" s="25" t="n">
        <v>5327410.76</v>
      </c>
      <c r="AP22" s="25" t="n">
        <v>570032.95</v>
      </c>
      <c r="AQ22" s="25" t="n">
        <v>532741.08</v>
      </c>
      <c r="AR22" s="25" t="n">
        <v>20728.47</v>
      </c>
      <c r="AS22" s="25" t="n">
        <v>0</v>
      </c>
      <c r="AT22" s="25" t="n">
        <v>285016.48</v>
      </c>
      <c r="AU22" s="25" t="n">
        <v>266370.54</v>
      </c>
      <c r="AV22" s="25" t="n">
        <v>25130.8</v>
      </c>
      <c r="AW22" s="25" t="n">
        <v>24073.9</v>
      </c>
      <c r="AX22" s="25" t="n">
        <v>17172.71</v>
      </c>
      <c r="AY22" s="25" t="n">
        <v>16049.27</v>
      </c>
      <c r="AZ22" s="25" t="n">
        <v>13903.24</v>
      </c>
      <c r="BA22" s="25" t="n">
        <v>0</v>
      </c>
      <c r="BB22" s="25" t="n">
        <v>48651.46</v>
      </c>
      <c r="BC22" s="25" t="n">
        <v>28039</v>
      </c>
      <c r="BD22" s="25" t="n">
        <v>964.34</v>
      </c>
      <c r="BE22" s="25" t="n">
        <v>0</v>
      </c>
      <c r="BF22" s="25" t="n">
        <f aca="false">SUM(BE22,BC22,BA22,AY22,AW22,AU22,AS22,AQ22,AO22)</f>
        <v>6194684.55</v>
      </c>
      <c r="BG22" s="25" t="n">
        <v>22896.95</v>
      </c>
      <c r="BH22" s="25" t="n">
        <v>16049.27</v>
      </c>
      <c r="BI22" s="25" t="n">
        <v>15741.65</v>
      </c>
      <c r="BJ22" s="25" t="n">
        <v>14711.83</v>
      </c>
      <c r="BK22" s="25" t="n">
        <v>11448.48</v>
      </c>
      <c r="BL22" s="25" t="n">
        <v>10699.51</v>
      </c>
      <c r="BM22" s="25" t="n">
        <v>40069.67</v>
      </c>
      <c r="BN22" s="25" t="n">
        <v>37448.29</v>
      </c>
      <c r="BO22" s="25" t="n">
        <v>57516.27</v>
      </c>
      <c r="BP22" s="25" t="n">
        <v>49274.06</v>
      </c>
      <c r="BQ22" s="25" t="n">
        <v>186037.74</v>
      </c>
      <c r="BR22" s="25" t="n">
        <v>173867.05</v>
      </c>
      <c r="BS22" s="25" t="n">
        <v>8485.93</v>
      </c>
      <c r="BT22" s="25" t="n">
        <v>6405.63</v>
      </c>
      <c r="BU22" s="25" t="n">
        <v>142508.24</v>
      </c>
      <c r="BV22" s="25" t="n">
        <v>133185.27</v>
      </c>
      <c r="BW22" s="25" t="n">
        <v>9616.72</v>
      </c>
      <c r="BX22" s="25" t="n">
        <v>9362.07</v>
      </c>
      <c r="BY22" s="25" t="n">
        <v>13142.96</v>
      </c>
      <c r="BZ22" s="25" t="n">
        <v>23030.89</v>
      </c>
      <c r="CA22" s="25" t="n">
        <v>28048.77</v>
      </c>
      <c r="CB22" s="25" t="n">
        <v>26213.8</v>
      </c>
      <c r="CC22" s="25" t="n">
        <v>93278.12</v>
      </c>
      <c r="CD22" s="25" t="n">
        <v>159822.32</v>
      </c>
      <c r="CE22" s="25" t="n">
        <v>57003.3</v>
      </c>
      <c r="CF22" s="25" t="n">
        <v>53274.11</v>
      </c>
      <c r="CG22" s="25" t="n">
        <f aca="false">SUM(CF22,CD22,CB22,BZ22,BX22,BV22,BT22,BR22,BP22,BN22,BL22,BJ22,BH22)</f>
        <v>713344.1</v>
      </c>
      <c r="CH22" s="25" t="n">
        <f aca="false">CG22+BF22</f>
        <v>6908028.65</v>
      </c>
      <c r="CI22" s="25" t="n">
        <f aca="false">SUM(CE22,CC22,CA22,BY22,BW22,BU22,BS22,BQ22,BO22,BM22,BK22,BI22,BG22,BD22,BB22,AZ22,AX22,AV22,AT22,AR22,AP22,AN22)</f>
        <v>7367724.76</v>
      </c>
      <c r="CJ22" s="25" t="n">
        <f aca="false">CI22-CH22</f>
        <v>459696.11</v>
      </c>
      <c r="CK22" s="25" t="str">
        <f aca="false">IF(CE22-CF22+CC22-CD22+CA22-CB22+BU22-BV22+BK22-BL22+BI22-BJ22 &gt; 0, CE22-CF22+CC22-CD22+CA22-CB22+BU22-BV22+BK22-BL22+BI22-BJ22, "-")</f>
        <v>-</v>
      </c>
      <c r="CL22" s="25" t="str">
        <f aca="false">IF(CJ22&lt;0,"⚠ Over Budget","✓ Within Budget")</f>
        <v>✓ Within Budget</v>
      </c>
      <c r="CM22" s="27"/>
    </row>
    <row r="23" customFormat="false" ht="18.75" hidden="false" customHeight="true" outlineLevel="0" collapsed="false">
      <c r="A23" s="28" t="s">
        <v>102</v>
      </c>
      <c r="B23" s="28" t="n">
        <v>2023</v>
      </c>
      <c r="C23" s="28" t="n">
        <v>26</v>
      </c>
      <c r="D23" s="28" t="n">
        <v>1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1</v>
      </c>
      <c r="J23" s="28" t="n">
        <v>1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0</v>
      </c>
      <c r="P23" s="28" t="n">
        <v>0</v>
      </c>
      <c r="Q23" s="28" t="n">
        <v>0</v>
      </c>
      <c r="R23" s="28" t="n">
        <v>1</v>
      </c>
      <c r="S23" s="28" t="n">
        <v>26</v>
      </c>
      <c r="T23" s="28" t="n">
        <v>7</v>
      </c>
      <c r="U23" s="28" t="n">
        <v>19</v>
      </c>
      <c r="V23" s="28" t="n">
        <v>26</v>
      </c>
      <c r="W23" s="28" t="n">
        <v>0</v>
      </c>
      <c r="X23" s="28" t="n">
        <v>3</v>
      </c>
      <c r="Y23" s="28" t="n">
        <v>6</v>
      </c>
      <c r="Z23" s="28" t="n">
        <v>8</v>
      </c>
      <c r="AA23" s="28" t="n">
        <v>6</v>
      </c>
      <c r="AB23" s="28" t="n">
        <v>2</v>
      </c>
      <c r="AC23" s="28" t="n">
        <v>1</v>
      </c>
      <c r="AD23" s="29" t="n">
        <v>0</v>
      </c>
      <c r="AE23" s="29" t="n">
        <v>0</v>
      </c>
      <c r="AF23" s="30" t="n">
        <v>56.1</v>
      </c>
      <c r="AG23" s="31" t="n">
        <v>739221</v>
      </c>
      <c r="AH23" s="31" t="n">
        <v>1158420</v>
      </c>
      <c r="AI23" s="31" t="n">
        <v>1833820</v>
      </c>
      <c r="AJ23" s="31" t="n">
        <v>3024630</v>
      </c>
      <c r="AK23" s="31" t="n">
        <v>4956341</v>
      </c>
      <c r="AL23" s="31" t="n">
        <v>8799011</v>
      </c>
      <c r="AM23" s="31" t="n">
        <v>3364680.48</v>
      </c>
      <c r="AN23" s="31" t="n">
        <v>6300364.19</v>
      </c>
      <c r="AO23" s="31" t="n">
        <v>5888190.84</v>
      </c>
      <c r="AP23" s="31" t="n">
        <v>630036.42</v>
      </c>
      <c r="AQ23" s="31" t="n">
        <v>588819.08</v>
      </c>
      <c r="AR23" s="31" t="n">
        <v>22910.42</v>
      </c>
      <c r="AS23" s="31" t="n">
        <v>0</v>
      </c>
      <c r="AT23" s="31" t="n">
        <v>315018.21</v>
      </c>
      <c r="AU23" s="31" t="n">
        <v>294409.54</v>
      </c>
      <c r="AV23" s="31" t="n">
        <v>30553.76</v>
      </c>
      <c r="AW23" s="31" t="n">
        <v>26607.99</v>
      </c>
      <c r="AX23" s="31" t="n">
        <v>18980.37</v>
      </c>
      <c r="AY23" s="31" t="n">
        <v>17738.66</v>
      </c>
      <c r="AZ23" s="31" t="n">
        <v>30733.48</v>
      </c>
      <c r="BA23" s="31" t="n">
        <v>0</v>
      </c>
      <c r="BB23" s="31" t="n">
        <v>58381.75</v>
      </c>
      <c r="BC23" s="31" t="n">
        <v>56078.01</v>
      </c>
      <c r="BD23" s="31" t="n">
        <v>321.45</v>
      </c>
      <c r="BE23" s="31" t="n">
        <v>0</v>
      </c>
      <c r="BF23" s="31" t="n">
        <f aca="false">SUM(BE23,BC23,BA23,AY23,AW23,AU23,AS23,AQ23,AO23)</f>
        <v>6871844.12</v>
      </c>
      <c r="BG23" s="31" t="n">
        <v>36442.31</v>
      </c>
      <c r="BH23" s="31" t="n">
        <v>21286.39</v>
      </c>
      <c r="BI23" s="31" t="n">
        <v>17398.67</v>
      </c>
      <c r="BJ23" s="31" t="n">
        <v>16260.44</v>
      </c>
      <c r="BK23" s="31" t="n">
        <v>12653.58</v>
      </c>
      <c r="BL23" s="31" t="n">
        <v>11825.77</v>
      </c>
      <c r="BM23" s="31" t="n">
        <v>44287.53</v>
      </c>
      <c r="BN23" s="31" t="n">
        <v>576459.06</v>
      </c>
      <c r="BO23" s="31" t="n">
        <v>57516.27</v>
      </c>
      <c r="BP23" s="31" t="n">
        <v>1092247.4</v>
      </c>
      <c r="BQ23" s="31" t="n">
        <v>214658.93</v>
      </c>
      <c r="BR23" s="31" t="n">
        <v>200615.82</v>
      </c>
      <c r="BS23" s="31" t="n">
        <v>8285.08</v>
      </c>
      <c r="BT23" s="31" t="n">
        <v>7391.11</v>
      </c>
      <c r="BU23" s="31" t="n">
        <v>157509.1</v>
      </c>
      <c r="BV23" s="31" t="n">
        <v>147204.77</v>
      </c>
      <c r="BW23" s="31" t="n">
        <v>21258.01</v>
      </c>
      <c r="BX23" s="31" t="n">
        <v>10347.55</v>
      </c>
      <c r="BY23" s="31" t="n">
        <v>5623.81</v>
      </c>
      <c r="BZ23" s="31" t="n">
        <v>11825.77</v>
      </c>
      <c r="CA23" s="31" t="n">
        <v>31001.27</v>
      </c>
      <c r="CB23" s="31" t="n">
        <v>28973.15</v>
      </c>
      <c r="CC23" s="31" t="n">
        <v>123716.24</v>
      </c>
      <c r="CD23" s="31" t="n">
        <v>176645.73</v>
      </c>
      <c r="CE23" s="31" t="n">
        <v>63003.64</v>
      </c>
      <c r="CF23" s="31" t="n">
        <v>58881.91</v>
      </c>
      <c r="CG23" s="31" t="n">
        <f aca="false">SUM(CF23,CD23,CB23,BZ23,BX23,BV23,BT23,BR23,BP23,BN23,BL23,BJ23,BH23)</f>
        <v>2359964.87</v>
      </c>
      <c r="CH23" s="31" t="n">
        <f aca="false">CG23+BF23</f>
        <v>9231808.99</v>
      </c>
      <c r="CI23" s="31" t="n">
        <f aca="false">SUM(CE23,CC23,CA23,BY23,BW23,BU23,BS23,BQ23,BO23,BM23,BK23,BI23,BG23,BD23,BB23,AZ23,AX23,AV23,AT23,AR23,AP23,AN23)</f>
        <v>8200654.49</v>
      </c>
      <c r="CJ23" s="31" t="n">
        <f aca="false">CI23-CH23</f>
        <v>-1031154.5</v>
      </c>
      <c r="CK23" s="31" t="str">
        <f aca="false">IF(CE23-CF23+CC23-CD23+CA23-CB23+BU23-BV23+BK23-BL23+BI23-BJ23 &gt; 0, CE23-CF23+CC23-CD23+CA23-CB23+BU23-BV23+BK23-BL23+BI23-BJ23, "-")</f>
        <v>-</v>
      </c>
      <c r="CL23" s="31" t="str">
        <f aca="false">IF(CJ23&lt;0,"⚠ Over Budget","✓ Within Budget")</f>
        <v>⚠ Over Budget</v>
      </c>
      <c r="CM23" s="33" t="s">
        <v>117</v>
      </c>
    </row>
    <row r="24" customFormat="false" ht="14.25" hidden="false" customHeight="false" outlineLevel="0" collapsed="false">
      <c r="A24" s="28" t="s">
        <v>103</v>
      </c>
      <c r="B24" s="28" t="n">
        <v>2023</v>
      </c>
      <c r="C24" s="28" t="n">
        <v>26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8" t="n">
        <v>0</v>
      </c>
      <c r="K24" s="28" t="n">
        <v>0</v>
      </c>
      <c r="L24" s="28" t="n">
        <v>0</v>
      </c>
      <c r="M24" s="28" t="n">
        <v>0</v>
      </c>
      <c r="N24" s="28" t="n">
        <v>0</v>
      </c>
      <c r="O24" s="28" t="n">
        <v>0</v>
      </c>
      <c r="P24" s="28" t="n">
        <v>0</v>
      </c>
      <c r="Q24" s="28" t="n">
        <v>0</v>
      </c>
      <c r="R24" s="28" t="n">
        <v>0</v>
      </c>
      <c r="S24" s="28" t="n">
        <v>26</v>
      </c>
      <c r="T24" s="28" t="n">
        <v>7</v>
      </c>
      <c r="U24" s="28" t="n">
        <v>19</v>
      </c>
      <c r="V24" s="28" t="n">
        <v>26</v>
      </c>
      <c r="W24" s="28" t="n">
        <v>0</v>
      </c>
      <c r="X24" s="28" t="n">
        <v>3</v>
      </c>
      <c r="Y24" s="28" t="n">
        <v>6</v>
      </c>
      <c r="Z24" s="28" t="n">
        <v>8</v>
      </c>
      <c r="AA24" s="28" t="n">
        <v>6</v>
      </c>
      <c r="AB24" s="28" t="n">
        <v>2</v>
      </c>
      <c r="AC24" s="28" t="n">
        <v>1</v>
      </c>
      <c r="AD24" s="29" t="n">
        <v>0</v>
      </c>
      <c r="AE24" s="29" t="n">
        <v>0.0139628447568961</v>
      </c>
      <c r="AF24" s="30" t="n">
        <v>55.7</v>
      </c>
      <c r="AG24" s="31" t="n">
        <v>750581</v>
      </c>
      <c r="AH24" s="31" t="n">
        <v>1178716</v>
      </c>
      <c r="AI24" s="31" t="n">
        <v>1859167</v>
      </c>
      <c r="AJ24" s="31" t="n">
        <v>3059106</v>
      </c>
      <c r="AK24" s="31" t="n">
        <v>5015708</v>
      </c>
      <c r="AL24" s="31" t="n">
        <v>8898974</v>
      </c>
      <c r="AM24" s="31" t="n">
        <v>3407949.13</v>
      </c>
      <c r="AN24" s="31" t="n">
        <v>6381384.74</v>
      </c>
      <c r="AO24" s="31" t="n">
        <v>5963910.98</v>
      </c>
      <c r="AP24" s="31" t="n">
        <v>638138.47</v>
      </c>
      <c r="AQ24" s="31" t="n">
        <v>596391.1</v>
      </c>
      <c r="AR24" s="31" t="n">
        <v>742561.13</v>
      </c>
      <c r="AS24" s="31" t="n">
        <v>2096012.67</v>
      </c>
      <c r="AT24" s="31" t="n">
        <v>319069.24</v>
      </c>
      <c r="AU24" s="31" t="n">
        <v>298195.55</v>
      </c>
      <c r="AV24" s="31" t="n">
        <v>24998.53</v>
      </c>
      <c r="AW24" s="31" t="n">
        <v>26607.99</v>
      </c>
      <c r="AX24" s="31" t="n">
        <v>18980.37</v>
      </c>
      <c r="AY24" s="31" t="n">
        <v>17738.66</v>
      </c>
      <c r="AZ24" s="31" t="n">
        <v>62257.41</v>
      </c>
      <c r="BA24" s="31" t="n">
        <v>796052.67</v>
      </c>
      <c r="BB24" s="31" t="n">
        <v>2956.63</v>
      </c>
      <c r="BC24" s="31" t="n">
        <v>0</v>
      </c>
      <c r="BD24" s="31" t="n">
        <v>325.58</v>
      </c>
      <c r="BE24" s="31" t="n">
        <v>0</v>
      </c>
      <c r="BF24" s="31" t="n">
        <f aca="false">SUM(BE24,BC24,BA24,AY24,AW24,AU24,AS24,AQ24,AO24)</f>
        <v>9794909.62</v>
      </c>
      <c r="BG24" s="31" t="n">
        <v>22045.35</v>
      </c>
      <c r="BH24" s="31" t="n">
        <v>16556.08</v>
      </c>
      <c r="BI24" s="31" t="n">
        <v>17398.67</v>
      </c>
      <c r="BJ24" s="31" t="n">
        <v>16260.44</v>
      </c>
      <c r="BK24" s="31" t="n">
        <v>12653.58</v>
      </c>
      <c r="BL24" s="31" t="n">
        <v>11825.77</v>
      </c>
      <c r="BM24" s="31" t="n">
        <v>44287.53</v>
      </c>
      <c r="BN24" s="31" t="n">
        <v>41390.21</v>
      </c>
      <c r="BO24" s="31" t="n">
        <v>4108.3</v>
      </c>
      <c r="BP24" s="31" t="n">
        <v>0</v>
      </c>
      <c r="BQ24" s="31" t="n">
        <v>214658.93</v>
      </c>
      <c r="BR24" s="31" t="n">
        <v>200615.82</v>
      </c>
      <c r="BS24" s="31" t="n">
        <v>7531.89</v>
      </c>
      <c r="BT24" s="31" t="n">
        <v>7391.11</v>
      </c>
      <c r="BU24" s="31" t="n">
        <v>159534.62</v>
      </c>
      <c r="BV24" s="31" t="n">
        <v>149097.77</v>
      </c>
      <c r="BW24" s="31" t="n">
        <v>15943.51</v>
      </c>
      <c r="BX24" s="31" t="n">
        <v>10347.55</v>
      </c>
      <c r="BY24" s="31" t="n">
        <v>285697.15</v>
      </c>
      <c r="BZ24" s="31" t="n">
        <v>93869.54</v>
      </c>
      <c r="CA24" s="31" t="n">
        <v>31001.27</v>
      </c>
      <c r="CB24" s="31" t="n">
        <v>28973.15</v>
      </c>
      <c r="CC24" s="31" t="n">
        <v>167076.26</v>
      </c>
      <c r="CD24" s="31" t="n">
        <v>178917.33</v>
      </c>
      <c r="CE24" s="31" t="n">
        <v>63813.85</v>
      </c>
      <c r="CF24" s="31" t="n">
        <v>59639.11</v>
      </c>
      <c r="CG24" s="31" t="n">
        <f aca="false">SUM(CF24,CD24,CB24,BZ24,BX24,BV24,BT24,BR24,BP24,BN24,BL24,BJ24,BH24)</f>
        <v>814883.88</v>
      </c>
      <c r="CH24" s="31" t="n">
        <f aca="false">CG24+BF24</f>
        <v>10609793.5</v>
      </c>
      <c r="CI24" s="31" t="n">
        <f aca="false">SUM(CE24,CC24,CA24,BY24,BW24,BU24,BS24,BQ24,BO24,BM24,BK24,BI24,BG24,BD24,BB24,AZ24,AX24,AV24,AT24,AR24,AP24,AN24)</f>
        <v>9236423.01</v>
      </c>
      <c r="CJ24" s="31" t="n">
        <f aca="false">CI24-CH24</f>
        <v>-1373370.49</v>
      </c>
      <c r="CK24" s="31" t="n">
        <f aca="false">IF(CE24-CF24+CC24-CD24+CA24-CB24+BU24-BV24+BK24-BL24+BI24-BJ24 &gt; 0, CE24-CF24+CC24-CD24+CA24-CB24+BU24-BV24+BK24-BL24+BI24-BJ24, "-")</f>
        <v>6764.68000000001</v>
      </c>
      <c r="CL24" s="31" t="str">
        <f aca="false">IF(CJ24&lt;0,"⚠ Over Budget","✓ Within Budget")</f>
        <v>⚠ Over Budget</v>
      </c>
      <c r="CM24" s="33" t="s">
        <v>111</v>
      </c>
    </row>
    <row r="25" customFormat="false" ht="18.75" hidden="false" customHeight="true" outlineLevel="0" collapsed="false">
      <c r="A25" s="28" t="s">
        <v>104</v>
      </c>
      <c r="B25" s="28" t="n">
        <v>2023</v>
      </c>
      <c r="C25" s="28" t="n">
        <v>26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v>0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</v>
      </c>
      <c r="Q25" s="28" t="n">
        <v>0</v>
      </c>
      <c r="R25" s="28" t="n">
        <v>1</v>
      </c>
      <c r="S25" s="28" t="n">
        <v>25</v>
      </c>
      <c r="T25" s="28" t="n">
        <v>7</v>
      </c>
      <c r="U25" s="28" t="n">
        <v>18</v>
      </c>
      <c r="V25" s="28" t="n">
        <v>25</v>
      </c>
      <c r="W25" s="28" t="n">
        <v>0</v>
      </c>
      <c r="X25" s="28" t="n">
        <v>2</v>
      </c>
      <c r="Y25" s="28" t="n">
        <v>6</v>
      </c>
      <c r="Z25" s="28" t="n">
        <v>8</v>
      </c>
      <c r="AA25" s="28" t="n">
        <v>6</v>
      </c>
      <c r="AB25" s="28" t="n">
        <v>2</v>
      </c>
      <c r="AC25" s="28" t="n">
        <v>1</v>
      </c>
      <c r="AD25" s="29" t="n">
        <v>0</v>
      </c>
      <c r="AE25" s="29" t="n">
        <v>0</v>
      </c>
      <c r="AF25" s="30" t="n">
        <v>56.5</v>
      </c>
      <c r="AG25" s="31" t="n">
        <v>750581</v>
      </c>
      <c r="AH25" s="31" t="n">
        <v>1178716</v>
      </c>
      <c r="AI25" s="31" t="n">
        <v>1859167</v>
      </c>
      <c r="AJ25" s="31" t="n">
        <v>3059106</v>
      </c>
      <c r="AK25" s="31" t="n">
        <v>5015708</v>
      </c>
      <c r="AL25" s="31" t="n">
        <v>8898974</v>
      </c>
      <c r="AM25" s="31" t="n">
        <v>3407949.13</v>
      </c>
      <c r="AN25" s="31" t="n">
        <v>6381384.74</v>
      </c>
      <c r="AO25" s="31" t="n">
        <v>5963910.98</v>
      </c>
      <c r="AP25" s="31" t="n">
        <v>638138.47</v>
      </c>
      <c r="AQ25" s="31" t="n">
        <v>596391.1</v>
      </c>
      <c r="AR25" s="31" t="n">
        <v>75416.37</v>
      </c>
      <c r="AS25" s="31" t="n">
        <v>0</v>
      </c>
      <c r="AT25" s="31" t="n">
        <v>319069.24</v>
      </c>
      <c r="AU25" s="31" t="n">
        <v>298195.55</v>
      </c>
      <c r="AV25" s="31" t="n">
        <v>29627.89</v>
      </c>
      <c r="AW25" s="31" t="n">
        <v>35477.32</v>
      </c>
      <c r="AX25" s="31" t="n">
        <v>18980.37</v>
      </c>
      <c r="AY25" s="31" t="n">
        <v>17738.66</v>
      </c>
      <c r="AZ25" s="31" t="n">
        <v>31128.71</v>
      </c>
      <c r="BA25" s="31" t="n">
        <v>0</v>
      </c>
      <c r="BB25" s="31" t="n">
        <v>985.54</v>
      </c>
      <c r="BC25" s="31" t="n">
        <v>0</v>
      </c>
      <c r="BD25" s="31" t="n">
        <v>325.58</v>
      </c>
      <c r="BE25" s="31" t="n">
        <v>0</v>
      </c>
      <c r="BF25" s="31" t="n">
        <f aca="false">SUM(BE25,BC25,BA25,AY25,AW25,AU25,AS25,AQ25,AO25)</f>
        <v>6911713.61</v>
      </c>
      <c r="BG25" s="31" t="n">
        <v>28793.92</v>
      </c>
      <c r="BH25" s="31" t="n">
        <v>18921.24</v>
      </c>
      <c r="BI25" s="31" t="n">
        <v>17398.67</v>
      </c>
      <c r="BJ25" s="31" t="n">
        <v>16260.44</v>
      </c>
      <c r="BK25" s="31" t="n">
        <v>12653.58</v>
      </c>
      <c r="BL25" s="31" t="n">
        <v>11825.77</v>
      </c>
      <c r="BM25" s="31" t="n">
        <v>44287.53</v>
      </c>
      <c r="BN25" s="31" t="n">
        <v>41390.21</v>
      </c>
      <c r="BO25" s="31" t="n">
        <v>4108.3</v>
      </c>
      <c r="BP25" s="31" t="n">
        <v>0</v>
      </c>
      <c r="BQ25" s="31" t="n">
        <v>214658.93</v>
      </c>
      <c r="BR25" s="31" t="n">
        <v>200615.82</v>
      </c>
      <c r="BS25" s="31" t="n">
        <v>6778.7</v>
      </c>
      <c r="BT25" s="31" t="n">
        <v>7391.11</v>
      </c>
      <c r="BU25" s="31" t="n">
        <v>159534.62</v>
      </c>
      <c r="BV25" s="31" t="n">
        <v>149097.77</v>
      </c>
      <c r="BW25" s="31" t="n">
        <v>10629.01</v>
      </c>
      <c r="BX25" s="31" t="n">
        <v>10347.55</v>
      </c>
      <c r="BY25" s="31" t="n">
        <v>52236.89</v>
      </c>
      <c r="BZ25" s="31" t="n">
        <v>1382895.34</v>
      </c>
      <c r="CA25" s="31" t="n">
        <v>31001.27</v>
      </c>
      <c r="CB25" s="31" t="n">
        <v>28973.15</v>
      </c>
      <c r="CC25" s="31" t="n">
        <v>167076.26</v>
      </c>
      <c r="CD25" s="31" t="n">
        <v>178917.33</v>
      </c>
      <c r="CE25" s="31" t="n">
        <v>63813.85</v>
      </c>
      <c r="CF25" s="31" t="n">
        <v>59639.11</v>
      </c>
      <c r="CG25" s="31" t="n">
        <f aca="false">SUM(CF25,CD25,CB25,BZ25,BX25,BV25,BT25,BR25,BP25,BN25,BL25,BJ25,BH25)</f>
        <v>2106274.84</v>
      </c>
      <c r="CH25" s="31" t="n">
        <f aca="false">CG25+BF25</f>
        <v>9017988.45</v>
      </c>
      <c r="CI25" s="31" t="n">
        <f aca="false">SUM(CE25,CC25,CA25,BY25,BW25,BU25,BS25,BQ25,BO25,BM25,BK25,BI25,BG25,BD25,BB25,AZ25,AX25,AV25,AT25,AR25,AP25,AN25)</f>
        <v>8308028.44</v>
      </c>
      <c r="CJ25" s="31" t="n">
        <f aca="false">CI25-CH25</f>
        <v>-709960.009999999</v>
      </c>
      <c r="CK25" s="31" t="n">
        <f aca="false">IF(CE25-CF25+CC25-CD25+CA25-CB25+BU25-BV25+BK25-BL25+BI25-BJ25 &gt; 0, CE25-CF25+CC25-CD25+CA25-CB25+BU25-BV25+BK25-BL25+BI25-BJ25, "-")</f>
        <v>6764.68000000001</v>
      </c>
      <c r="CL25" s="31" t="str">
        <f aca="false">IF(CJ25&lt;0,"⚠ Over Budget","✓ Within Budget")</f>
        <v>⚠ Over Budget</v>
      </c>
      <c r="CM25" s="33" t="s">
        <v>109</v>
      </c>
    </row>
    <row r="26" customFormat="false" ht="14.25" hidden="false" customHeight="false" outlineLevel="0" collapsed="false">
      <c r="A26" s="22" t="s">
        <v>105</v>
      </c>
      <c r="B26" s="22" t="n">
        <v>2023</v>
      </c>
      <c r="C26" s="22" t="n">
        <v>25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1</v>
      </c>
      <c r="S26" s="22" t="n">
        <v>24</v>
      </c>
      <c r="T26" s="22" t="n">
        <v>7</v>
      </c>
      <c r="U26" s="22" t="n">
        <v>17</v>
      </c>
      <c r="V26" s="22" t="n">
        <v>24</v>
      </c>
      <c r="W26" s="22" t="n">
        <v>0</v>
      </c>
      <c r="X26" s="22" t="n">
        <v>2</v>
      </c>
      <c r="Y26" s="22" t="n">
        <v>5</v>
      </c>
      <c r="Z26" s="22" t="n">
        <v>8</v>
      </c>
      <c r="AA26" s="22" t="n">
        <v>6</v>
      </c>
      <c r="AB26" s="22" t="n">
        <v>2</v>
      </c>
      <c r="AC26" s="22" t="n">
        <v>1</v>
      </c>
      <c r="AD26" s="23" t="n">
        <v>0</v>
      </c>
      <c r="AE26" s="23" t="n">
        <v>0</v>
      </c>
      <c r="AF26" s="24" t="n">
        <v>57.1</v>
      </c>
      <c r="AG26" s="25" t="n">
        <v>750581</v>
      </c>
      <c r="AH26" s="25" t="n">
        <v>1178716</v>
      </c>
      <c r="AI26" s="25" t="n">
        <v>1859167</v>
      </c>
      <c r="AJ26" s="25" t="n">
        <v>3059106</v>
      </c>
      <c r="AK26" s="25" t="n">
        <v>5015708</v>
      </c>
      <c r="AL26" s="25" t="n">
        <v>8898974</v>
      </c>
      <c r="AM26" s="25" t="n">
        <v>3407949.13</v>
      </c>
      <c r="AN26" s="25" t="n">
        <v>6381384.74</v>
      </c>
      <c r="AO26" s="25" t="n">
        <v>5963910.98</v>
      </c>
      <c r="AP26" s="25" t="n">
        <v>638138.47</v>
      </c>
      <c r="AQ26" s="25" t="n">
        <v>596391.1</v>
      </c>
      <c r="AR26" s="25" t="n">
        <v>2784604.25</v>
      </c>
      <c r="AS26" s="25" t="n">
        <v>596391.1</v>
      </c>
      <c r="AT26" s="25" t="n">
        <v>319069.24</v>
      </c>
      <c r="AU26" s="25" t="n">
        <v>298195.55</v>
      </c>
      <c r="AV26" s="25" t="n">
        <v>25924.41</v>
      </c>
      <c r="AW26" s="25" t="n">
        <v>35477.32</v>
      </c>
      <c r="AX26" s="25" t="n">
        <v>18980.37</v>
      </c>
      <c r="AY26" s="25" t="n">
        <v>17738.66</v>
      </c>
      <c r="AZ26" s="25" t="n">
        <v>46693.06</v>
      </c>
      <c r="BA26" s="25" t="n">
        <v>0</v>
      </c>
      <c r="BB26" s="25" t="n">
        <v>985.54</v>
      </c>
      <c r="BC26" s="25" t="n">
        <v>0</v>
      </c>
      <c r="BD26" s="25" t="n">
        <v>325.58</v>
      </c>
      <c r="BE26" s="25" t="n">
        <v>0</v>
      </c>
      <c r="BF26" s="25" t="n">
        <f aca="false">SUM(BE26,BC26,BA26,AY26,AW26,AU26,AS26,AQ26,AO26)</f>
        <v>7508104.71</v>
      </c>
      <c r="BG26" s="25" t="n">
        <v>4724</v>
      </c>
      <c r="BH26" s="25" t="n">
        <v>8278.04</v>
      </c>
      <c r="BI26" s="25" t="n">
        <v>17398.67</v>
      </c>
      <c r="BJ26" s="25" t="n">
        <v>16260.44</v>
      </c>
      <c r="BK26" s="25" t="n">
        <v>12653.58</v>
      </c>
      <c r="BL26" s="25" t="n">
        <v>11825.77</v>
      </c>
      <c r="BM26" s="25" t="n">
        <v>44287.53</v>
      </c>
      <c r="BN26" s="25" t="n">
        <v>41390.21</v>
      </c>
      <c r="BO26" s="25" t="n">
        <v>4108.3</v>
      </c>
      <c r="BP26" s="25" t="n">
        <v>0</v>
      </c>
      <c r="BQ26" s="25" t="n">
        <v>214658.93</v>
      </c>
      <c r="BR26" s="25" t="n">
        <v>200615.82</v>
      </c>
      <c r="BS26" s="25" t="n">
        <v>6025.51</v>
      </c>
      <c r="BT26" s="25" t="n">
        <v>7391.11</v>
      </c>
      <c r="BU26" s="25" t="n">
        <v>159534.62</v>
      </c>
      <c r="BV26" s="25" t="n">
        <v>149097.77</v>
      </c>
      <c r="BW26" s="25" t="n">
        <v>5314.5</v>
      </c>
      <c r="BX26" s="25" t="n">
        <v>10347.55</v>
      </c>
      <c r="BY26" s="25" t="n">
        <v>66455.73</v>
      </c>
      <c r="BZ26" s="25" t="n">
        <v>46581.12</v>
      </c>
      <c r="CA26" s="25" t="n">
        <v>31001.27</v>
      </c>
      <c r="CB26" s="25" t="n">
        <v>28973.15</v>
      </c>
      <c r="CC26" s="25" t="n">
        <v>104422.66</v>
      </c>
      <c r="CD26" s="25" t="n">
        <v>178917.33</v>
      </c>
      <c r="CE26" s="25" t="n">
        <v>63813.85</v>
      </c>
      <c r="CF26" s="25" t="n">
        <v>59639.11</v>
      </c>
      <c r="CG26" s="25" t="n">
        <f aca="false">SUM(CF26,CD26,CB26,BZ26,BX26,BV26,BT26,BR26,BP26,BN26,BL26,BJ26,BH26)</f>
        <v>759317.42</v>
      </c>
      <c r="CH26" s="25" t="n">
        <f aca="false">CG26+BF26</f>
        <v>8267422.13</v>
      </c>
      <c r="CI26" s="25" t="n">
        <f aca="false">SUM(CE26,CC26,CA26,BY26,BW26,BU26,BS26,BQ26,BO26,BM26,BK26,BI26,BG26,BD26,BB26,AZ26,AX26,AV26,AT26,AR26,AP26,AN26)</f>
        <v>10950504.81</v>
      </c>
      <c r="CJ26" s="25" t="n">
        <f aca="false">CI26-CH26</f>
        <v>2683082.68</v>
      </c>
      <c r="CK26" s="25" t="str">
        <f aca="false">IF(CE26-CF26+CC26-CD26+CA26-CB26+BU26-BV26+BK26-BL26+BI26-BJ26 &gt; 0, CE26-CF26+CC26-CD26+CA26-CB26+BU26-BV26+BK26-BL26+BI26-BJ26, "-")</f>
        <v>-</v>
      </c>
      <c r="CL26" s="25" t="str">
        <f aca="false">IF(CJ26&lt;0,"⚠ Over Budget","✓ Within Budget")</f>
        <v>✓ Within Budget</v>
      </c>
      <c r="CM26" s="27"/>
    </row>
    <row r="27" customFormat="false" ht="14.25" hidden="false" customHeight="false" outlineLevel="0" collapsed="false">
      <c r="A27" s="16" t="s">
        <v>92</v>
      </c>
      <c r="B27" s="16" t="n">
        <v>2024</v>
      </c>
      <c r="C27" s="16" t="n">
        <v>24</v>
      </c>
      <c r="D27" s="16" t="n">
        <v>0</v>
      </c>
      <c r="E27" s="16" t="n">
        <v>1</v>
      </c>
      <c r="F27" s="16" t="n">
        <v>1</v>
      </c>
      <c r="G27" s="16" t="n">
        <v>0</v>
      </c>
      <c r="H27" s="16" t="n">
        <v>0</v>
      </c>
      <c r="I27" s="16" t="n">
        <v>0</v>
      </c>
      <c r="J27" s="16" t="n">
        <v>2</v>
      </c>
      <c r="K27" s="16" t="n">
        <v>1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1</v>
      </c>
      <c r="Q27" s="16" t="n">
        <v>1</v>
      </c>
      <c r="R27" s="16" t="n">
        <v>0</v>
      </c>
      <c r="S27" s="16" t="n">
        <v>25</v>
      </c>
      <c r="T27" s="16" t="n">
        <v>7</v>
      </c>
      <c r="U27" s="16" t="n">
        <v>18</v>
      </c>
      <c r="V27" s="16" t="n">
        <v>25</v>
      </c>
      <c r="W27" s="16" t="n">
        <v>0</v>
      </c>
      <c r="X27" s="16" t="n">
        <v>2</v>
      </c>
      <c r="Y27" s="16" t="n">
        <v>6</v>
      </c>
      <c r="Z27" s="16" t="n">
        <v>8</v>
      </c>
      <c r="AA27" s="16" t="n">
        <v>6</v>
      </c>
      <c r="AB27" s="16" t="n">
        <v>2</v>
      </c>
      <c r="AC27" s="16" t="n">
        <v>1</v>
      </c>
      <c r="AD27" s="17" t="n">
        <v>0.5</v>
      </c>
      <c r="AE27" s="17" t="n">
        <v>0</v>
      </c>
      <c r="AF27" s="18" t="n">
        <v>57.8</v>
      </c>
      <c r="AG27" s="19" t="n">
        <v>750581</v>
      </c>
      <c r="AH27" s="19" t="n">
        <v>1178716</v>
      </c>
      <c r="AI27" s="19" t="n">
        <v>1859167</v>
      </c>
      <c r="AJ27" s="19" t="n">
        <v>3059106</v>
      </c>
      <c r="AK27" s="19" t="n">
        <v>5015708</v>
      </c>
      <c r="AL27" s="19" t="n">
        <v>8898974</v>
      </c>
      <c r="AM27" s="19" t="n">
        <v>3250999.96</v>
      </c>
      <c r="AN27" s="19" t="n">
        <v>5507735.77</v>
      </c>
      <c r="AO27" s="19" t="n">
        <v>5147416.61</v>
      </c>
      <c r="AP27" s="19" t="n">
        <v>550773.58</v>
      </c>
      <c r="AQ27" s="19" t="n">
        <v>514741.66</v>
      </c>
      <c r="AR27" s="19" t="n">
        <v>90126.59</v>
      </c>
      <c r="AS27" s="19" t="n">
        <v>308845</v>
      </c>
      <c r="AT27" s="19" t="n">
        <v>275386.79</v>
      </c>
      <c r="AU27" s="19" t="n">
        <v>257370.83</v>
      </c>
      <c r="AV27" s="19" t="n">
        <v>25571.66</v>
      </c>
      <c r="AW27" s="19" t="n">
        <v>30620.27</v>
      </c>
      <c r="AX27" s="19" t="n">
        <v>16381.84</v>
      </c>
      <c r="AY27" s="19" t="n">
        <v>15310.14</v>
      </c>
      <c r="AZ27" s="19" t="n">
        <v>13433.5</v>
      </c>
      <c r="BA27" s="19" t="n">
        <v>0</v>
      </c>
      <c r="BB27" s="19" t="n">
        <v>9401.54</v>
      </c>
      <c r="BC27" s="19" t="n">
        <v>27091.67</v>
      </c>
      <c r="BD27" s="19" t="n">
        <v>223622.35</v>
      </c>
      <c r="BE27" s="19" t="n">
        <v>162550</v>
      </c>
      <c r="BF27" s="19" t="n">
        <f aca="false">SUM(BE27,BC27,BA27,AY27,AW27,AU27,AS27,AQ27,AO27)</f>
        <v>6463946.18</v>
      </c>
      <c r="BG27" s="19" t="n">
        <v>2718.17</v>
      </c>
      <c r="BH27" s="19" t="n">
        <v>7144.73</v>
      </c>
      <c r="BI27" s="19" t="n">
        <v>15016.69</v>
      </c>
      <c r="BJ27" s="19" t="n">
        <v>14034.29</v>
      </c>
      <c r="BK27" s="19" t="n">
        <v>10921.23</v>
      </c>
      <c r="BL27" s="19" t="n">
        <v>10206.76</v>
      </c>
      <c r="BM27" s="19" t="n">
        <v>38224.3</v>
      </c>
      <c r="BN27" s="19" t="n">
        <v>35723.65</v>
      </c>
      <c r="BO27" s="19" t="n">
        <v>27433.71</v>
      </c>
      <c r="BP27" s="19" t="n">
        <v>47004.8</v>
      </c>
      <c r="BQ27" s="19" t="n">
        <v>191121.52</v>
      </c>
      <c r="BR27" s="19" t="n">
        <v>178618.25</v>
      </c>
      <c r="BS27" s="19" t="n">
        <v>6035.42</v>
      </c>
      <c r="BT27" s="19" t="n">
        <v>6580.67</v>
      </c>
      <c r="BU27" s="19" t="n">
        <v>137693.39</v>
      </c>
      <c r="BV27" s="19" t="n">
        <v>128685.42</v>
      </c>
      <c r="BW27" s="19" t="n">
        <v>4586.92</v>
      </c>
      <c r="BX27" s="19" t="n">
        <v>8930.91</v>
      </c>
      <c r="BY27" s="19" t="n">
        <v>4853.88</v>
      </c>
      <c r="BZ27" s="19" t="n">
        <v>10206.76</v>
      </c>
      <c r="CA27" s="19" t="n">
        <v>26757.01</v>
      </c>
      <c r="CB27" s="19" t="n">
        <v>25006.55</v>
      </c>
      <c r="CC27" s="19" t="n">
        <v>90126.59</v>
      </c>
      <c r="CD27" s="19" t="n">
        <v>154422.5</v>
      </c>
      <c r="CE27" s="19" t="n">
        <v>55077.36</v>
      </c>
      <c r="CF27" s="19" t="n">
        <v>51474.17</v>
      </c>
      <c r="CG27" s="19" t="n">
        <f aca="false">SUM(CF27,CD27,CB27,BZ27,BX27,BV27,BT27,BR27,BP27,BN27,BL27,BJ27,BH27)</f>
        <v>678039.46</v>
      </c>
      <c r="CH27" s="19" t="n">
        <f aca="false">CG27+BF27</f>
        <v>7141985.64</v>
      </c>
      <c r="CI27" s="19" t="n">
        <f aca="false">SUM(CE27,CC27,CA27,BY27,BW27,BU27,BS27,BQ27,BO27,BM27,BK27,BI27,BG27,BD27,BB27,AZ27,AX27,AV27,AT27,AR27,AP27,AN27)</f>
        <v>7322999.81</v>
      </c>
      <c r="CJ27" s="19" t="n">
        <f aca="false">CI27-CH27</f>
        <v>181014.169999999</v>
      </c>
      <c r="CK27" s="19" t="str">
        <f aca="false">IF(CE27-CF27+CC27-CD27+CA27-CB27+BU27-BV27+BK27-BL27+BI27-BJ27 &gt; 0, CE27-CF27+CC27-CD27+CA27-CB27+BU27-BV27+BK27-BL27+BI27-BJ27, "-")</f>
        <v>-</v>
      </c>
      <c r="CL27" s="19" t="str">
        <f aca="false">IF(CJ27&lt;0,"⚠ Over Budget","✓ Within Budget")</f>
        <v>✓ Within Budget</v>
      </c>
      <c r="CM27" s="21"/>
    </row>
    <row r="28" customFormat="false" ht="14.25" hidden="false" customHeight="false" outlineLevel="0" collapsed="false">
      <c r="A28" s="22" t="s">
        <v>93</v>
      </c>
      <c r="B28" s="22" t="n">
        <v>2024</v>
      </c>
      <c r="C28" s="22" t="n">
        <v>25</v>
      </c>
      <c r="D28" s="22" t="n">
        <v>1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1</v>
      </c>
      <c r="J28" s="22" t="n">
        <v>1</v>
      </c>
      <c r="K28" s="22" t="n">
        <v>1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1</v>
      </c>
      <c r="Q28" s="22" t="n">
        <v>1</v>
      </c>
      <c r="R28" s="22" t="n">
        <v>0</v>
      </c>
      <c r="S28" s="22" t="n">
        <v>25</v>
      </c>
      <c r="T28" s="22" t="n">
        <v>7</v>
      </c>
      <c r="U28" s="22" t="n">
        <v>18</v>
      </c>
      <c r="V28" s="22" t="n">
        <v>25</v>
      </c>
      <c r="W28" s="22" t="n">
        <v>0</v>
      </c>
      <c r="X28" s="22" t="n">
        <v>2</v>
      </c>
      <c r="Y28" s="22" t="n">
        <v>6</v>
      </c>
      <c r="Z28" s="22" t="n">
        <v>8</v>
      </c>
      <c r="AA28" s="22" t="n">
        <v>6</v>
      </c>
      <c r="AB28" s="22" t="n">
        <v>2</v>
      </c>
      <c r="AC28" s="22" t="n">
        <v>1</v>
      </c>
      <c r="AD28" s="23" t="n">
        <v>0.48</v>
      </c>
      <c r="AE28" s="23" t="n">
        <v>0</v>
      </c>
      <c r="AF28" s="24" t="n">
        <v>58.2</v>
      </c>
      <c r="AG28" s="25" t="n">
        <v>750581</v>
      </c>
      <c r="AH28" s="25" t="n">
        <v>1178716</v>
      </c>
      <c r="AI28" s="25" t="n">
        <v>1859167</v>
      </c>
      <c r="AJ28" s="25" t="n">
        <v>3059106</v>
      </c>
      <c r="AK28" s="25" t="n">
        <v>5015708</v>
      </c>
      <c r="AL28" s="25" t="n">
        <v>8898974</v>
      </c>
      <c r="AM28" s="25" t="n">
        <v>3250999.96</v>
      </c>
      <c r="AN28" s="25" t="n">
        <v>6087497.43</v>
      </c>
      <c r="AO28" s="25" t="n">
        <v>5689249.94</v>
      </c>
      <c r="AP28" s="25" t="n">
        <v>608749.74</v>
      </c>
      <c r="AQ28" s="25" t="n">
        <v>568924.99</v>
      </c>
      <c r="AR28" s="25" t="n">
        <v>16602.27</v>
      </c>
      <c r="AS28" s="25" t="n">
        <v>0</v>
      </c>
      <c r="AT28" s="25" t="n">
        <v>304374.87</v>
      </c>
      <c r="AU28" s="25" t="n">
        <v>284462.5</v>
      </c>
      <c r="AV28" s="25" t="n">
        <v>28263.41</v>
      </c>
      <c r="AW28" s="25" t="n">
        <v>33843.46</v>
      </c>
      <c r="AX28" s="25" t="n">
        <v>18106.25</v>
      </c>
      <c r="AY28" s="25" t="n">
        <v>16921.73</v>
      </c>
      <c r="AZ28" s="25" t="n">
        <v>14847.55</v>
      </c>
      <c r="BA28" s="25" t="n">
        <v>0</v>
      </c>
      <c r="BB28" s="25" t="n">
        <v>56409.24</v>
      </c>
      <c r="BC28" s="25" t="n">
        <v>54183.33</v>
      </c>
      <c r="BD28" s="25" t="n">
        <v>931.76</v>
      </c>
      <c r="BE28" s="25" t="n">
        <v>0</v>
      </c>
      <c r="BF28" s="25" t="n">
        <f aca="false">SUM(BE28,BC28,BA28,AY28,AW28,AU28,AS28,AQ28,AO28)</f>
        <v>6647585.95</v>
      </c>
      <c r="BG28" s="25" t="n">
        <v>3004.3</v>
      </c>
      <c r="BH28" s="25" t="n">
        <v>7896.81</v>
      </c>
      <c r="BI28" s="25" t="n">
        <v>16597.4</v>
      </c>
      <c r="BJ28" s="25" t="n">
        <v>15511.58</v>
      </c>
      <c r="BK28" s="25" t="n">
        <v>12070.83</v>
      </c>
      <c r="BL28" s="25" t="n">
        <v>11281.15</v>
      </c>
      <c r="BM28" s="25" t="n">
        <v>42247.92</v>
      </c>
      <c r="BN28" s="25" t="n">
        <v>39484.03</v>
      </c>
      <c r="BO28" s="25" t="n">
        <v>54867.42</v>
      </c>
      <c r="BP28" s="25" t="n">
        <v>94009.6</v>
      </c>
      <c r="BQ28" s="25" t="n">
        <v>204773.06</v>
      </c>
      <c r="BR28" s="25" t="n">
        <v>191376.69</v>
      </c>
      <c r="BS28" s="25" t="n">
        <v>6466.52</v>
      </c>
      <c r="BT28" s="25" t="n">
        <v>7050.72</v>
      </c>
      <c r="BU28" s="25" t="n">
        <v>152187.44</v>
      </c>
      <c r="BV28" s="25" t="n">
        <v>142231.25</v>
      </c>
      <c r="BW28" s="25" t="n">
        <v>5069.75</v>
      </c>
      <c r="BX28" s="25" t="n">
        <v>9871.01</v>
      </c>
      <c r="BY28" s="25" t="n">
        <v>5364.81</v>
      </c>
      <c r="BZ28" s="25" t="n">
        <v>11281.15</v>
      </c>
      <c r="CA28" s="25" t="n">
        <v>29573.54</v>
      </c>
      <c r="CB28" s="25" t="n">
        <v>27638.82</v>
      </c>
      <c r="CC28" s="25" t="n">
        <v>99613.59</v>
      </c>
      <c r="CD28" s="25" t="n">
        <v>170677.5</v>
      </c>
      <c r="CE28" s="25" t="n">
        <v>60874.97</v>
      </c>
      <c r="CF28" s="25" t="n">
        <v>56892.5</v>
      </c>
      <c r="CG28" s="25" t="n">
        <f aca="false">SUM(CF28,CD28,CB28,BZ28,BX28,BV28,BT28,BR28,BP28,BN28,BL28,BJ28,BH28)</f>
        <v>785202.81</v>
      </c>
      <c r="CH28" s="25" t="n">
        <f aca="false">CG28+BF28</f>
        <v>7432788.76</v>
      </c>
      <c r="CI28" s="25" t="n">
        <f aca="false">SUM(CE28,CC28,CA28,BY28,BW28,BU28,BS28,BQ28,BO28,BM28,BK28,BI28,BG28,BD28,BB28,AZ28,AX28,AV28,AT28,AR28,AP28,AN28)</f>
        <v>7828494.07</v>
      </c>
      <c r="CJ28" s="25" t="n">
        <f aca="false">CI28-CH28</f>
        <v>395705.31</v>
      </c>
      <c r="CK28" s="25" t="str">
        <f aca="false">IF(CE28-CF28+CC28-CD28+CA28-CB28+BU28-BV28+BK28-BL28+BI28-BJ28 &gt; 0, CE28-CF28+CC28-CD28+CA28-CB28+BU28-BV28+BK28-BL28+BI28-BJ28, "-")</f>
        <v>-</v>
      </c>
      <c r="CL28" s="25" t="str">
        <f aca="false">IF(CJ28&lt;0,"⚠ Over Budget","✓ Within Budget")</f>
        <v>✓ Within Budget</v>
      </c>
      <c r="CM28" s="27"/>
    </row>
    <row r="29" customFormat="false" ht="14.25" hidden="false" customHeight="false" outlineLevel="0" collapsed="false">
      <c r="A29" s="16" t="s">
        <v>94</v>
      </c>
      <c r="B29" s="16" t="n">
        <v>2024</v>
      </c>
      <c r="C29" s="16" t="n">
        <v>25</v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1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1</v>
      </c>
      <c r="Q29" s="16" t="n">
        <v>1</v>
      </c>
      <c r="R29" s="16" t="n">
        <v>0</v>
      </c>
      <c r="S29" s="16" t="n">
        <v>24</v>
      </c>
      <c r="T29" s="16" t="n">
        <v>6</v>
      </c>
      <c r="U29" s="16" t="n">
        <v>18</v>
      </c>
      <c r="V29" s="16" t="n">
        <v>24</v>
      </c>
      <c r="W29" s="16" t="n">
        <v>0</v>
      </c>
      <c r="X29" s="16" t="n">
        <v>2</v>
      </c>
      <c r="Y29" s="16" t="n">
        <v>5</v>
      </c>
      <c r="Z29" s="16" t="n">
        <v>8</v>
      </c>
      <c r="AA29" s="16" t="n">
        <v>6</v>
      </c>
      <c r="AB29" s="16" t="n">
        <v>2</v>
      </c>
      <c r="AC29" s="16" t="n">
        <v>1</v>
      </c>
      <c r="AD29" s="17" t="n">
        <v>0.48</v>
      </c>
      <c r="AE29" s="17" t="n">
        <v>0</v>
      </c>
      <c r="AF29" s="18" t="n">
        <v>61.5</v>
      </c>
      <c r="AG29" s="19" t="n">
        <v>750581</v>
      </c>
      <c r="AH29" s="19" t="n">
        <v>1178716</v>
      </c>
      <c r="AI29" s="19" t="n">
        <v>1859167</v>
      </c>
      <c r="AJ29" s="19" t="n">
        <v>3059106</v>
      </c>
      <c r="AK29" s="19" t="n">
        <v>5015708</v>
      </c>
      <c r="AL29" s="19" t="n">
        <v>8898974</v>
      </c>
      <c r="AM29" s="19" t="n">
        <v>3250999.96</v>
      </c>
      <c r="AN29" s="19" t="n">
        <v>5797616.6</v>
      </c>
      <c r="AO29" s="19" t="n">
        <v>5418333.27</v>
      </c>
      <c r="AP29" s="19" t="n">
        <v>579761.66</v>
      </c>
      <c r="AQ29" s="19" t="n">
        <v>541833.33</v>
      </c>
      <c r="AR29" s="19" t="n">
        <v>26352.8</v>
      </c>
      <c r="AS29" s="19" t="n">
        <v>0</v>
      </c>
      <c r="AT29" s="19" t="n">
        <v>289880.83</v>
      </c>
      <c r="AU29" s="19" t="n">
        <v>270916.66</v>
      </c>
      <c r="AV29" s="19" t="n">
        <v>25235.19</v>
      </c>
      <c r="AW29" s="19" t="n">
        <v>24173.9</v>
      </c>
      <c r="AX29" s="19" t="n">
        <v>17244.05</v>
      </c>
      <c r="AY29" s="19" t="n">
        <v>16115.93</v>
      </c>
      <c r="AZ29" s="19" t="n">
        <v>45249.69</v>
      </c>
      <c r="BA29" s="19" t="n">
        <v>0</v>
      </c>
      <c r="BB29" s="19" t="n">
        <v>4700.77</v>
      </c>
      <c r="BC29" s="19" t="n">
        <v>0</v>
      </c>
      <c r="BD29" s="19" t="n">
        <v>279527.94</v>
      </c>
      <c r="BE29" s="19" t="n">
        <v>162550</v>
      </c>
      <c r="BF29" s="19" t="n">
        <f aca="false">SUM(BE29,BC29,BA29,AY29,AW29,AU29,AS29,AQ29,AO29)</f>
        <v>6433923.09</v>
      </c>
      <c r="BG29" s="19" t="n">
        <v>2861.23</v>
      </c>
      <c r="BH29" s="19" t="n">
        <v>7520.77</v>
      </c>
      <c r="BI29" s="19" t="n">
        <v>15807.04</v>
      </c>
      <c r="BJ29" s="19" t="n">
        <v>14772.94</v>
      </c>
      <c r="BK29" s="19" t="n">
        <v>11496.03</v>
      </c>
      <c r="BL29" s="19" t="n">
        <v>10743.95</v>
      </c>
      <c r="BM29" s="19" t="n">
        <v>40236.11</v>
      </c>
      <c r="BN29" s="19" t="n">
        <v>37603.84</v>
      </c>
      <c r="BO29" s="19" t="n">
        <v>3919.1</v>
      </c>
      <c r="BP29" s="19" t="n">
        <v>0</v>
      </c>
      <c r="BQ29" s="19" t="n">
        <v>204773.06</v>
      </c>
      <c r="BR29" s="19" t="n">
        <v>191376.69</v>
      </c>
      <c r="BS29" s="19" t="n">
        <v>7185.02</v>
      </c>
      <c r="BT29" s="19" t="n">
        <v>7050.72</v>
      </c>
      <c r="BU29" s="19" t="n">
        <v>144940.42</v>
      </c>
      <c r="BV29" s="19" t="n">
        <v>135458.33</v>
      </c>
      <c r="BW29" s="19" t="n">
        <v>4828.33</v>
      </c>
      <c r="BX29" s="19" t="n">
        <v>9400.96</v>
      </c>
      <c r="BY29" s="19" t="n">
        <v>33080.15</v>
      </c>
      <c r="BZ29" s="19" t="n">
        <v>28983.78</v>
      </c>
      <c r="CA29" s="19" t="n">
        <v>28165.28</v>
      </c>
      <c r="CB29" s="19" t="n">
        <v>26322.69</v>
      </c>
      <c r="CC29" s="19" t="n">
        <v>1137632.62</v>
      </c>
      <c r="CD29" s="19" t="n">
        <v>389842.95</v>
      </c>
      <c r="CE29" s="19" t="n">
        <v>57976.17</v>
      </c>
      <c r="CF29" s="19" t="n">
        <v>54183.33</v>
      </c>
      <c r="CG29" s="19" t="n">
        <f aca="false">SUM(CF29,CD29,CB29,BZ29,BX29,BV29,BT29,BR29,BP29,BN29,BL29,BJ29,BH29)</f>
        <v>913260.95</v>
      </c>
      <c r="CH29" s="19" t="n">
        <f aca="false">CG29+BF29</f>
        <v>7347184.04</v>
      </c>
      <c r="CI29" s="19" t="n">
        <f aca="false">SUM(CE29,CC29,CA29,BY29,BW29,BU29,BS29,BQ29,BO29,BM29,BK29,BI29,BG29,BD29,BB29,AZ29,AX29,AV29,AT29,AR29,AP29,AN29)</f>
        <v>8758470.09</v>
      </c>
      <c r="CJ29" s="19" t="n">
        <f aca="false">CI29-CH29</f>
        <v>1411286.05</v>
      </c>
      <c r="CK29" s="19" t="n">
        <f aca="false">IF(CE29-CF29+CC29-CD29+CA29-CB29+BU29-BV29+BK29-BL29+BI29-BJ29 &gt; 0, CE29-CF29+CC29-CD29+CA29-CB29+BU29-BV29+BK29-BL29+BI29-BJ29, "-")</f>
        <v>764693.370000001</v>
      </c>
      <c r="CL29" s="19" t="str">
        <f aca="false">IF(CJ29&lt;0,"⚠ Over Budget","✓ Within Budget")</f>
        <v>✓ Within Budget</v>
      </c>
      <c r="CM29" s="21"/>
    </row>
    <row r="30" customFormat="false" ht="14.25" hidden="false" customHeight="false" outlineLevel="0" collapsed="false">
      <c r="A30" s="22" t="s">
        <v>96</v>
      </c>
      <c r="B30" s="22" t="n">
        <v>2024</v>
      </c>
      <c r="C30" s="22" t="n">
        <v>24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1</v>
      </c>
      <c r="S30" s="22" t="n">
        <v>23</v>
      </c>
      <c r="T30" s="22" t="n">
        <v>6</v>
      </c>
      <c r="U30" s="22" t="n">
        <v>17</v>
      </c>
      <c r="V30" s="22" t="n">
        <v>23</v>
      </c>
      <c r="W30" s="22" t="n">
        <v>0</v>
      </c>
      <c r="X30" s="22" t="n">
        <v>2</v>
      </c>
      <c r="Y30" s="22" t="n">
        <v>5</v>
      </c>
      <c r="Z30" s="22" t="n">
        <v>7</v>
      </c>
      <c r="AA30" s="22" t="n">
        <v>6</v>
      </c>
      <c r="AB30" s="22" t="n">
        <v>2</v>
      </c>
      <c r="AC30" s="22" t="n">
        <v>1</v>
      </c>
      <c r="AD30" s="23" t="n">
        <v>0</v>
      </c>
      <c r="AE30" s="23" t="n">
        <v>0.0973369019836777</v>
      </c>
      <c r="AF30" s="24" t="n">
        <v>62.1</v>
      </c>
      <c r="AG30" s="25" t="n">
        <v>840526</v>
      </c>
      <c r="AH30" s="25" t="n">
        <v>1313774</v>
      </c>
      <c r="AI30" s="25" t="n">
        <v>2042624</v>
      </c>
      <c r="AJ30" s="25" t="n">
        <v>3314275</v>
      </c>
      <c r="AK30" s="25" t="n">
        <v>5370671</v>
      </c>
      <c r="AL30" s="25" t="n">
        <v>9541539</v>
      </c>
      <c r="AM30" s="25" t="n">
        <v>3536726.98</v>
      </c>
      <c r="AN30" s="25" t="n">
        <v>6307163.11</v>
      </c>
      <c r="AO30" s="25" t="n">
        <v>5894544.97</v>
      </c>
      <c r="AP30" s="25" t="n">
        <v>630716.31</v>
      </c>
      <c r="AQ30" s="25" t="n">
        <v>589454.5</v>
      </c>
      <c r="AR30" s="25" t="n">
        <v>321091.94</v>
      </c>
      <c r="AS30" s="25" t="n">
        <v>412618.15</v>
      </c>
      <c r="AT30" s="25" t="n">
        <v>315358.16</v>
      </c>
      <c r="AU30" s="25" t="n">
        <v>294727.25</v>
      </c>
      <c r="AV30" s="25" t="n">
        <v>30282.23</v>
      </c>
      <c r="AW30" s="25" t="n">
        <v>24173.9</v>
      </c>
      <c r="AX30" s="25" t="n">
        <v>17244.05</v>
      </c>
      <c r="AY30" s="25" t="n">
        <v>16115.93</v>
      </c>
      <c r="AZ30" s="25" t="n">
        <v>61533.3</v>
      </c>
      <c r="BA30" s="25" t="n">
        <v>0</v>
      </c>
      <c r="BB30" s="25" t="n">
        <v>5113.92</v>
      </c>
      <c r="BC30" s="25" t="n">
        <v>0</v>
      </c>
      <c r="BD30" s="25" t="n">
        <v>337.88</v>
      </c>
      <c r="BE30" s="25" t="n">
        <v>0</v>
      </c>
      <c r="BF30" s="25" t="n">
        <f aca="false">SUM(BE30,BC30,BA30,AY30,AW30,AU30,AS30,AQ30,AO30)</f>
        <v>7231634.7</v>
      </c>
      <c r="BG30" s="25" t="n">
        <v>49458.48</v>
      </c>
      <c r="BH30" s="25" t="n">
        <v>23636.7</v>
      </c>
      <c r="BI30" s="25" t="n">
        <v>15807.04</v>
      </c>
      <c r="BJ30" s="25" t="n">
        <v>14772.94</v>
      </c>
      <c r="BK30" s="25" t="n">
        <v>11496.03</v>
      </c>
      <c r="BL30" s="25" t="n">
        <v>10743.95</v>
      </c>
      <c r="BM30" s="25" t="n">
        <v>40236.11</v>
      </c>
      <c r="BN30" s="25" t="n">
        <v>37603.84</v>
      </c>
      <c r="BO30" s="25" t="n">
        <v>19595.51</v>
      </c>
      <c r="BP30" s="25" t="n">
        <v>0</v>
      </c>
      <c r="BQ30" s="25" t="n">
        <v>204773.06</v>
      </c>
      <c r="BR30" s="25" t="n">
        <v>191376.69</v>
      </c>
      <c r="BS30" s="25" t="n">
        <v>7185.02</v>
      </c>
      <c r="BT30" s="25" t="n">
        <v>7050.72</v>
      </c>
      <c r="BU30" s="25" t="n">
        <v>157679.08</v>
      </c>
      <c r="BV30" s="25" t="n">
        <v>147363.62</v>
      </c>
      <c r="BW30" s="25" t="n">
        <v>19313.33</v>
      </c>
      <c r="BX30" s="25" t="n">
        <v>9400.96</v>
      </c>
      <c r="BY30" s="25" t="n">
        <v>5109.35</v>
      </c>
      <c r="BZ30" s="25" t="n">
        <v>10743.95</v>
      </c>
      <c r="CA30" s="25" t="n">
        <v>28165.28</v>
      </c>
      <c r="CB30" s="25" t="n">
        <v>26322.69</v>
      </c>
      <c r="CC30" s="25" t="n">
        <v>1590320.69</v>
      </c>
      <c r="CD30" s="25" t="n">
        <v>544969.71</v>
      </c>
      <c r="CE30" s="25" t="n">
        <v>63071.63</v>
      </c>
      <c r="CF30" s="25" t="n">
        <v>58945.45</v>
      </c>
      <c r="CG30" s="25" t="n">
        <f aca="false">SUM(CF30,CD30,CB30,BZ30,BX30,BV30,BT30,BR30,BP30,BN30,BL30,BJ30,BH30)</f>
        <v>1082931.22</v>
      </c>
      <c r="CH30" s="25" t="n">
        <f aca="false">CG30+BF30</f>
        <v>8314565.92</v>
      </c>
      <c r="CI30" s="25" t="n">
        <f aca="false">SUM(CE30,CC30,CA30,BY30,BW30,BU30,BS30,BQ30,BO30,BM30,BK30,BI30,BG30,BD30,BB30,AZ30,AX30,AV30,AT30,AR30,AP30,AN30)</f>
        <v>9901051.51</v>
      </c>
      <c r="CJ30" s="25" t="n">
        <f aca="false">CI30-CH30</f>
        <v>1586485.59</v>
      </c>
      <c r="CK30" s="25" t="n">
        <f aca="false">IF(CE30-CF30+CC30-CD30+CA30-CB30+BU30-BV30+BK30-BL30+BI30-BJ30 &gt; 0, CE30-CF30+CC30-CD30+CA30-CB30+BU30-BV30+BK30-BL30+BI30-BJ30, "-")</f>
        <v>1063421.39</v>
      </c>
      <c r="CL30" s="25" t="str">
        <f aca="false">IF(CJ30&lt;0,"⚠ Over Budget","✓ Within Budget")</f>
        <v>✓ Within Budget</v>
      </c>
      <c r="CM30" s="27"/>
    </row>
    <row r="31" customFormat="false" ht="14.25" hidden="false" customHeight="false" outlineLevel="0" collapsed="false">
      <c r="A31" s="16" t="s">
        <v>98</v>
      </c>
      <c r="B31" s="16" t="n">
        <v>2024</v>
      </c>
      <c r="C31" s="16" t="n">
        <v>23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23</v>
      </c>
      <c r="T31" s="16" t="n">
        <v>6</v>
      </c>
      <c r="U31" s="16" t="n">
        <v>17</v>
      </c>
      <c r="V31" s="16" t="n">
        <v>23</v>
      </c>
      <c r="W31" s="16" t="n">
        <v>0</v>
      </c>
      <c r="X31" s="16" t="n">
        <v>2</v>
      </c>
      <c r="Y31" s="16" t="n">
        <v>5</v>
      </c>
      <c r="Z31" s="16" t="n">
        <v>7</v>
      </c>
      <c r="AA31" s="16" t="n">
        <v>6</v>
      </c>
      <c r="AB31" s="16" t="n">
        <v>2</v>
      </c>
      <c r="AC31" s="16" t="n">
        <v>1</v>
      </c>
      <c r="AD31" s="17" t="n">
        <v>0</v>
      </c>
      <c r="AE31" s="17" t="n">
        <v>0</v>
      </c>
      <c r="AF31" s="18" t="n">
        <v>61.8</v>
      </c>
      <c r="AG31" s="19" t="n">
        <v>840526</v>
      </c>
      <c r="AH31" s="19" t="n">
        <v>1313774</v>
      </c>
      <c r="AI31" s="19" t="n">
        <v>2042624</v>
      </c>
      <c r="AJ31" s="19" t="n">
        <v>3314275</v>
      </c>
      <c r="AK31" s="19" t="n">
        <v>5370671</v>
      </c>
      <c r="AL31" s="19" t="n">
        <v>9541539</v>
      </c>
      <c r="AM31" s="19" t="n">
        <v>3536726.98</v>
      </c>
      <c r="AN31" s="19" t="n">
        <v>6307163.11</v>
      </c>
      <c r="AO31" s="19" t="n">
        <v>5894544.97</v>
      </c>
      <c r="AP31" s="19" t="n">
        <v>630716.31</v>
      </c>
      <c r="AQ31" s="19" t="n">
        <v>589454.5</v>
      </c>
      <c r="AR31" s="19" t="n">
        <v>22935.14</v>
      </c>
      <c r="AS31" s="19" t="n">
        <v>0</v>
      </c>
      <c r="AT31" s="19" t="n">
        <v>315358.16</v>
      </c>
      <c r="AU31" s="19" t="n">
        <v>294727.25</v>
      </c>
      <c r="AV31" s="19" t="n">
        <v>32805.75</v>
      </c>
      <c r="AW31" s="19" t="n">
        <v>24173.9</v>
      </c>
      <c r="AX31" s="19" t="n">
        <v>17244.05</v>
      </c>
      <c r="AY31" s="19" t="n">
        <v>16115.93</v>
      </c>
      <c r="AZ31" s="19" t="n">
        <v>18459.99</v>
      </c>
      <c r="BA31" s="19" t="n">
        <v>0</v>
      </c>
      <c r="BB31" s="19" t="n">
        <v>2045.57</v>
      </c>
      <c r="BC31" s="19" t="n">
        <v>0</v>
      </c>
      <c r="BD31" s="19" t="n">
        <v>337.88</v>
      </c>
      <c r="BE31" s="19" t="n">
        <v>0</v>
      </c>
      <c r="BF31" s="19" t="n">
        <f aca="false">SUM(BE31,BC31,BA31,AY31,AW31,AU31,AS31,AQ31,AO31)</f>
        <v>6819016.55</v>
      </c>
      <c r="BG31" s="19" t="n">
        <v>33108.57</v>
      </c>
      <c r="BH31" s="19" t="n">
        <v>19339.12</v>
      </c>
      <c r="BI31" s="19" t="n">
        <v>15807.04</v>
      </c>
      <c r="BJ31" s="19" t="n">
        <v>14772.94</v>
      </c>
      <c r="BK31" s="19" t="n">
        <v>11496.03</v>
      </c>
      <c r="BL31" s="19" t="n">
        <v>10743.95</v>
      </c>
      <c r="BM31" s="19" t="n">
        <v>40236.11</v>
      </c>
      <c r="BN31" s="19" t="n">
        <v>37603.84</v>
      </c>
      <c r="BO31" s="19" t="n">
        <v>7838.2</v>
      </c>
      <c r="BP31" s="19" t="n">
        <v>0</v>
      </c>
      <c r="BQ31" s="19" t="n">
        <v>204773.06</v>
      </c>
      <c r="BR31" s="19" t="n">
        <v>191376.69</v>
      </c>
      <c r="BS31" s="19" t="n">
        <v>7903.52</v>
      </c>
      <c r="BT31" s="19" t="n">
        <v>7050.72</v>
      </c>
      <c r="BU31" s="19" t="n">
        <v>157679.08</v>
      </c>
      <c r="BV31" s="19" t="n">
        <v>147363.62</v>
      </c>
      <c r="BW31" s="19" t="n">
        <v>14485</v>
      </c>
      <c r="BX31" s="19" t="n">
        <v>9400.96</v>
      </c>
      <c r="BY31" s="19" t="n">
        <v>5109.35</v>
      </c>
      <c r="BZ31" s="19" t="n">
        <v>10743.95</v>
      </c>
      <c r="CA31" s="19" t="n">
        <v>28165.28</v>
      </c>
      <c r="CB31" s="19" t="n">
        <v>26322.69</v>
      </c>
      <c r="CC31" s="19" t="n">
        <v>165133</v>
      </c>
      <c r="CD31" s="19" t="n">
        <v>176836.35</v>
      </c>
      <c r="CE31" s="19" t="n">
        <v>63071.63</v>
      </c>
      <c r="CF31" s="19" t="n">
        <v>58945.45</v>
      </c>
      <c r="CG31" s="19" t="n">
        <f aca="false">SUM(CF31,CD31,CB31,BZ31,BX31,BV31,BT31,BR31,BP31,BN31,BL31,BJ31,BH31)</f>
        <v>710500.28</v>
      </c>
      <c r="CH31" s="19" t="n">
        <f aca="false">CG31+BF31</f>
        <v>7529516.83</v>
      </c>
      <c r="CI31" s="19" t="n">
        <f aca="false">SUM(CE31,CC31,CA31,BY31,BW31,BU31,BS31,BQ31,BO31,BM31,BK31,BI31,BG31,BD31,BB31,AZ31,AX31,AV31,AT31,AR31,AP31,AN31)</f>
        <v>8101871.83</v>
      </c>
      <c r="CJ31" s="19" t="n">
        <f aca="false">CI31-CH31</f>
        <v>572355</v>
      </c>
      <c r="CK31" s="19" t="n">
        <f aca="false">IF(CE31-CF31+CC31-CD31+CA31-CB31+BU31-BV31+BK31-BL31+BI31-BJ31 &gt; 0, CE31-CF31+CC31-CD31+CA31-CB31+BU31-BV31+BK31-BL31+BI31-BJ31, "-")</f>
        <v>6367.05999999998</v>
      </c>
      <c r="CL31" s="19" t="str">
        <f aca="false">IF(CJ31&lt;0,"⚠ Over Budget","✓ Within Budget")</f>
        <v>✓ Within Budget</v>
      </c>
      <c r="CM31" s="21"/>
    </row>
    <row r="32" customFormat="false" ht="14.25" hidden="false" customHeight="false" outlineLevel="0" collapsed="false">
      <c r="A32" s="22" t="s">
        <v>99</v>
      </c>
      <c r="B32" s="22" t="n">
        <v>2024</v>
      </c>
      <c r="C32" s="22" t="n">
        <v>23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23</v>
      </c>
      <c r="T32" s="22" t="n">
        <v>7</v>
      </c>
      <c r="U32" s="22" t="n">
        <v>16</v>
      </c>
      <c r="V32" s="22" t="n">
        <v>23</v>
      </c>
      <c r="W32" s="22" t="n">
        <v>0</v>
      </c>
      <c r="X32" s="22" t="n">
        <v>2</v>
      </c>
      <c r="Y32" s="22" t="n">
        <v>5</v>
      </c>
      <c r="Z32" s="22" t="n">
        <v>7</v>
      </c>
      <c r="AA32" s="22" t="n">
        <v>6</v>
      </c>
      <c r="AB32" s="22" t="n">
        <v>2</v>
      </c>
      <c r="AC32" s="22" t="n">
        <v>1</v>
      </c>
      <c r="AD32" s="23" t="n">
        <v>0</v>
      </c>
      <c r="AE32" s="23" t="n">
        <v>0</v>
      </c>
      <c r="AF32" s="24" t="n">
        <v>61.4</v>
      </c>
      <c r="AG32" s="25" t="n">
        <v>840526</v>
      </c>
      <c r="AH32" s="25" t="n">
        <v>1313774</v>
      </c>
      <c r="AI32" s="25" t="n">
        <v>2042624</v>
      </c>
      <c r="AJ32" s="25" t="n">
        <v>3314275</v>
      </c>
      <c r="AK32" s="25" t="n">
        <v>5370671</v>
      </c>
      <c r="AL32" s="25" t="n">
        <v>9541539</v>
      </c>
      <c r="AM32" s="25" t="n">
        <v>3536726.98</v>
      </c>
      <c r="AN32" s="25" t="n">
        <v>6307163.11</v>
      </c>
      <c r="AO32" s="25" t="n">
        <v>5894544.97</v>
      </c>
      <c r="AP32" s="25" t="n">
        <v>630716.31</v>
      </c>
      <c r="AQ32" s="25" t="n">
        <v>589454.5</v>
      </c>
      <c r="AR32" s="25" t="n">
        <v>22935.14</v>
      </c>
      <c r="AS32" s="25" t="n">
        <v>0</v>
      </c>
      <c r="AT32" s="25" t="n">
        <v>315358.16</v>
      </c>
      <c r="AU32" s="25" t="n">
        <v>294727.25</v>
      </c>
      <c r="AV32" s="25" t="n">
        <v>37852.79</v>
      </c>
      <c r="AW32" s="25" t="n">
        <v>24173.9</v>
      </c>
      <c r="AX32" s="25" t="n">
        <v>17244.05</v>
      </c>
      <c r="AY32" s="25" t="n">
        <v>16115.93</v>
      </c>
      <c r="AZ32" s="25" t="n">
        <v>18459.99</v>
      </c>
      <c r="BA32" s="25" t="n">
        <v>0</v>
      </c>
      <c r="BB32" s="25" t="n">
        <v>3068.35</v>
      </c>
      <c r="BC32" s="25" t="n">
        <v>0</v>
      </c>
      <c r="BD32" s="25" t="n">
        <v>675.77</v>
      </c>
      <c r="BE32" s="25" t="n">
        <v>0</v>
      </c>
      <c r="BF32" s="25" t="n">
        <f aca="false">SUM(BE32,BC32,BA32,AY32,AW32,AU32,AS32,AQ32,AO32)</f>
        <v>6819016.55</v>
      </c>
      <c r="BG32" s="25" t="n">
        <v>5722.47</v>
      </c>
      <c r="BH32" s="25" t="n">
        <v>7520.77</v>
      </c>
      <c r="BI32" s="25" t="n">
        <v>15807.04</v>
      </c>
      <c r="BJ32" s="25" t="n">
        <v>14772.94</v>
      </c>
      <c r="BK32" s="25" t="n">
        <v>11496.03</v>
      </c>
      <c r="BL32" s="25" t="n">
        <v>10743.95</v>
      </c>
      <c r="BM32" s="25" t="n">
        <v>40236.11</v>
      </c>
      <c r="BN32" s="25" t="n">
        <v>37603.84</v>
      </c>
      <c r="BO32" s="25" t="n">
        <v>3919.1</v>
      </c>
      <c r="BP32" s="25" t="n">
        <v>0</v>
      </c>
      <c r="BQ32" s="25" t="n">
        <v>191121.52</v>
      </c>
      <c r="BR32" s="25" t="n">
        <v>178618.25</v>
      </c>
      <c r="BS32" s="25" t="n">
        <v>8717.82</v>
      </c>
      <c r="BT32" s="25" t="n">
        <v>6580.67</v>
      </c>
      <c r="BU32" s="25" t="n">
        <v>157679.08</v>
      </c>
      <c r="BV32" s="25" t="n">
        <v>147363.62</v>
      </c>
      <c r="BW32" s="25" t="n">
        <v>9656.67</v>
      </c>
      <c r="BX32" s="25" t="n">
        <v>9400.96</v>
      </c>
      <c r="BY32" s="25" t="n">
        <v>168576.22</v>
      </c>
      <c r="BZ32" s="25" t="n">
        <v>70896.54</v>
      </c>
      <c r="CA32" s="25" t="n">
        <v>28165.28</v>
      </c>
      <c r="CB32" s="25" t="n">
        <v>26322.69</v>
      </c>
      <c r="CC32" s="25" t="n">
        <v>103208.12</v>
      </c>
      <c r="CD32" s="25" t="n">
        <v>176836.35</v>
      </c>
      <c r="CE32" s="25" t="n">
        <v>63071.63</v>
      </c>
      <c r="CF32" s="25" t="n">
        <v>58945.45</v>
      </c>
      <c r="CG32" s="25" t="n">
        <f aca="false">SUM(CF32,CD32,CB32,BZ32,BX32,BV32,BT32,BR32,BP32,BN32,BL32,BJ32,BH32)</f>
        <v>745606.03</v>
      </c>
      <c r="CH32" s="25" t="n">
        <f aca="false">CG32+BF32</f>
        <v>7564622.58</v>
      </c>
      <c r="CI32" s="25" t="n">
        <f aca="false">SUM(CE32,CC32,CA32,BY32,BW32,BU32,BS32,BQ32,BO32,BM32,BK32,BI32,BG32,BD32,BB32,AZ32,AX32,AV32,AT32,AR32,AP32,AN32)</f>
        <v>8160850.76</v>
      </c>
      <c r="CJ32" s="25" t="n">
        <f aca="false">CI32-CH32</f>
        <v>596228.180000001</v>
      </c>
      <c r="CK32" s="25" t="str">
        <f aca="false">IF(CE32-CF32+CC32-CD32+CA32-CB32+BU32-BV32+BK32-BL32+BI32-BJ32 &gt; 0, CE32-CF32+CC32-CD32+CA32-CB32+BU32-BV32+BK32-BL32+BI32-BJ32, "-")</f>
        <v>-</v>
      </c>
      <c r="CL32" s="25" t="str">
        <f aca="false">IF(CJ32&lt;0,"⚠ Over Budget","✓ Within Budget")</f>
        <v>✓ Within Budget</v>
      </c>
      <c r="CM32" s="27"/>
    </row>
    <row r="33" customFormat="false" ht="14.25" hidden="false" customHeight="false" outlineLevel="0" collapsed="false">
      <c r="A33" s="16" t="s">
        <v>100</v>
      </c>
      <c r="B33" s="16" t="n">
        <v>2024</v>
      </c>
      <c r="C33" s="16" t="n">
        <v>23</v>
      </c>
      <c r="D33" s="16" t="n">
        <v>1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1</v>
      </c>
      <c r="J33" s="16" t="n">
        <v>1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24</v>
      </c>
      <c r="T33" s="16" t="n">
        <v>7</v>
      </c>
      <c r="U33" s="16" t="n">
        <v>17</v>
      </c>
      <c r="V33" s="16" t="n">
        <v>24</v>
      </c>
      <c r="W33" s="16" t="n">
        <v>0</v>
      </c>
      <c r="X33" s="16" t="n">
        <v>2</v>
      </c>
      <c r="Y33" s="16" t="n">
        <v>5</v>
      </c>
      <c r="Z33" s="16" t="n">
        <v>8</v>
      </c>
      <c r="AA33" s="16" t="n">
        <v>6</v>
      </c>
      <c r="AB33" s="16" t="n">
        <v>2</v>
      </c>
      <c r="AC33" s="16" t="n">
        <v>1</v>
      </c>
      <c r="AD33" s="17" t="n">
        <v>0</v>
      </c>
      <c r="AE33" s="17" t="n">
        <v>0</v>
      </c>
      <c r="AF33" s="18" t="n">
        <v>61.9</v>
      </c>
      <c r="AG33" s="19" t="n">
        <v>840526</v>
      </c>
      <c r="AH33" s="19" t="n">
        <v>1313774</v>
      </c>
      <c r="AI33" s="19" t="n">
        <v>2042624</v>
      </c>
      <c r="AJ33" s="19" t="n">
        <v>3314275</v>
      </c>
      <c r="AK33" s="19" t="n">
        <v>5370671</v>
      </c>
      <c r="AL33" s="19" t="n">
        <v>9541539</v>
      </c>
      <c r="AM33" s="19" t="n">
        <v>3536726.98</v>
      </c>
      <c r="AN33" s="19" t="n">
        <v>6307163.11</v>
      </c>
      <c r="AO33" s="19" t="n">
        <v>5894544.97</v>
      </c>
      <c r="AP33" s="19" t="n">
        <v>630716.31</v>
      </c>
      <c r="AQ33" s="19" t="n">
        <v>589454.5</v>
      </c>
      <c r="AR33" s="19" t="n">
        <v>22935.14</v>
      </c>
      <c r="AS33" s="19" t="n">
        <v>0</v>
      </c>
      <c r="AT33" s="19" t="n">
        <v>315358.16</v>
      </c>
      <c r="AU33" s="19" t="n">
        <v>294727.25</v>
      </c>
      <c r="AV33" s="19" t="n">
        <v>30282.23</v>
      </c>
      <c r="AW33" s="19" t="n">
        <v>24173.9</v>
      </c>
      <c r="AX33" s="19" t="n">
        <v>17244.05</v>
      </c>
      <c r="AY33" s="19" t="n">
        <v>16115.93</v>
      </c>
      <c r="AZ33" s="19" t="n">
        <v>15383.32</v>
      </c>
      <c r="BA33" s="19" t="n">
        <v>0</v>
      </c>
      <c r="BB33" s="19" t="n">
        <v>5113.92</v>
      </c>
      <c r="BC33" s="19" t="n">
        <v>0</v>
      </c>
      <c r="BD33" s="19" t="n">
        <v>1013.65</v>
      </c>
      <c r="BE33" s="19" t="n">
        <v>0</v>
      </c>
      <c r="BF33" s="19" t="n">
        <f aca="false">SUM(BE33,BC33,BA33,AY33,AW33,AU33,AS33,AQ33,AO33)</f>
        <v>6819016.55</v>
      </c>
      <c r="BG33" s="19" t="n">
        <v>4291.85</v>
      </c>
      <c r="BH33" s="19" t="n">
        <v>7520.77</v>
      </c>
      <c r="BI33" s="19" t="n">
        <v>15807.04</v>
      </c>
      <c r="BJ33" s="19" t="n">
        <v>14772.94</v>
      </c>
      <c r="BK33" s="19" t="n">
        <v>11496.03</v>
      </c>
      <c r="BL33" s="19" t="n">
        <v>10743.95</v>
      </c>
      <c r="BM33" s="19" t="n">
        <v>40236.11</v>
      </c>
      <c r="BN33" s="19" t="n">
        <v>37603.84</v>
      </c>
      <c r="BO33" s="19" t="n">
        <v>19595.51</v>
      </c>
      <c r="BP33" s="19" t="n">
        <v>0</v>
      </c>
      <c r="BQ33" s="19" t="n">
        <v>191121.52</v>
      </c>
      <c r="BR33" s="19" t="n">
        <v>178618.25</v>
      </c>
      <c r="BS33" s="19" t="n">
        <v>8717.82</v>
      </c>
      <c r="BT33" s="19" t="n">
        <v>6580.67</v>
      </c>
      <c r="BU33" s="19" t="n">
        <v>157679.08</v>
      </c>
      <c r="BV33" s="19" t="n">
        <v>147363.62</v>
      </c>
      <c r="BW33" s="19" t="n">
        <v>4828.33</v>
      </c>
      <c r="BX33" s="19" t="n">
        <v>9400.96</v>
      </c>
      <c r="BY33" s="19" t="n">
        <v>5109.35</v>
      </c>
      <c r="BZ33" s="19" t="n">
        <v>10743.95</v>
      </c>
      <c r="CA33" s="19" t="n">
        <v>28165.28</v>
      </c>
      <c r="CB33" s="19" t="n">
        <v>26322.69</v>
      </c>
      <c r="CC33" s="19" t="n">
        <v>103208.12</v>
      </c>
      <c r="CD33" s="19" t="n">
        <v>176836.35</v>
      </c>
      <c r="CE33" s="19" t="n">
        <v>63071.63</v>
      </c>
      <c r="CF33" s="19" t="n">
        <v>58945.45</v>
      </c>
      <c r="CG33" s="19" t="n">
        <f aca="false">SUM(CF33,CD33,CB33,BZ33,BX33,BV33,BT33,BR33,BP33,BN33,BL33,BJ33,BH33)</f>
        <v>685453.44</v>
      </c>
      <c r="CH33" s="19" t="n">
        <f aca="false">CG33+BF33</f>
        <v>7504469.99</v>
      </c>
      <c r="CI33" s="19" t="n">
        <f aca="false">SUM(CE33,CC33,CA33,BY33,BW33,BU33,BS33,BQ33,BO33,BM33,BK33,BI33,BG33,BD33,BB33,AZ33,AX33,AV33,AT33,AR33,AP33,AN33)</f>
        <v>7998537.56</v>
      </c>
      <c r="CJ33" s="19" t="n">
        <f aca="false">CI33-CH33</f>
        <v>494067.57</v>
      </c>
      <c r="CK33" s="19" t="str">
        <f aca="false">IF(CE33-CF33+CC33-CD33+CA33-CB33+BU33-BV33+BK33-BL33+BI33-BJ33 &gt; 0, CE33-CF33+CC33-CD33+CA33-CB33+BU33-BV33+BK33-BL33+BI33-BJ33, "-")</f>
        <v>-</v>
      </c>
      <c r="CL33" s="19" t="str">
        <f aca="false">IF(CJ33&lt;0,"⚠ Over Budget","✓ Within Budget")</f>
        <v>✓ Within Budget</v>
      </c>
      <c r="CM33" s="21"/>
    </row>
    <row r="34" customFormat="false" ht="14.25" hidden="false" customHeight="false" outlineLevel="0" collapsed="false">
      <c r="A34" s="22" t="s">
        <v>101</v>
      </c>
      <c r="B34" s="22" t="n">
        <v>2024</v>
      </c>
      <c r="C34" s="22" t="n">
        <v>24</v>
      </c>
      <c r="D34" s="22" t="n">
        <v>1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1</v>
      </c>
      <c r="J34" s="22" t="n">
        <v>1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25</v>
      </c>
      <c r="T34" s="22" t="n">
        <v>8</v>
      </c>
      <c r="U34" s="22" t="n">
        <v>17</v>
      </c>
      <c r="V34" s="22" t="n">
        <v>25</v>
      </c>
      <c r="W34" s="22" t="n">
        <v>0</v>
      </c>
      <c r="X34" s="22" t="n">
        <v>2</v>
      </c>
      <c r="Y34" s="22" t="n">
        <v>6</v>
      </c>
      <c r="Z34" s="22" t="n">
        <v>8</v>
      </c>
      <c r="AA34" s="22" t="n">
        <v>6</v>
      </c>
      <c r="AB34" s="22" t="n">
        <v>2</v>
      </c>
      <c r="AC34" s="22" t="n">
        <v>1</v>
      </c>
      <c r="AD34" s="23" t="n">
        <v>0</v>
      </c>
      <c r="AE34" s="23" t="n">
        <v>0</v>
      </c>
      <c r="AF34" s="24" t="n">
        <v>62.3</v>
      </c>
      <c r="AG34" s="25" t="n">
        <v>840526</v>
      </c>
      <c r="AH34" s="25" t="n">
        <v>1313774</v>
      </c>
      <c r="AI34" s="25" t="n">
        <v>2042624</v>
      </c>
      <c r="AJ34" s="25" t="n">
        <v>3314275</v>
      </c>
      <c r="AK34" s="25" t="n">
        <v>5370671</v>
      </c>
      <c r="AL34" s="25" t="n">
        <v>9541539</v>
      </c>
      <c r="AM34" s="25" t="n">
        <v>3536726.98</v>
      </c>
      <c r="AN34" s="25" t="n">
        <v>6307163.11</v>
      </c>
      <c r="AO34" s="25" t="n">
        <v>5894544.97</v>
      </c>
      <c r="AP34" s="25" t="n">
        <v>630716.31</v>
      </c>
      <c r="AQ34" s="25" t="n">
        <v>589454.5</v>
      </c>
      <c r="AR34" s="25" t="n">
        <v>22935.14</v>
      </c>
      <c r="AS34" s="25" t="n">
        <v>0</v>
      </c>
      <c r="AT34" s="25" t="n">
        <v>315358.16</v>
      </c>
      <c r="AU34" s="25" t="n">
        <v>294727.25</v>
      </c>
      <c r="AV34" s="25" t="n">
        <v>25235.19</v>
      </c>
      <c r="AW34" s="25" t="n">
        <v>24173.9</v>
      </c>
      <c r="AX34" s="25" t="n">
        <v>17244.05</v>
      </c>
      <c r="AY34" s="25" t="n">
        <v>16115.93</v>
      </c>
      <c r="AZ34" s="25" t="n">
        <v>15383.32</v>
      </c>
      <c r="BA34" s="25" t="n">
        <v>0</v>
      </c>
      <c r="BB34" s="25" t="n">
        <v>5113.92</v>
      </c>
      <c r="BC34" s="25" t="n">
        <v>0</v>
      </c>
      <c r="BD34" s="25" t="n">
        <v>1013.65</v>
      </c>
      <c r="BE34" s="25" t="n">
        <v>0</v>
      </c>
      <c r="BF34" s="25" t="n">
        <f aca="false">SUM(BE34,BC34,BA34,AY34,AW34,AU34,AS34,AQ34,AO34)</f>
        <v>6819016.55</v>
      </c>
      <c r="BG34" s="25" t="n">
        <v>22992.06</v>
      </c>
      <c r="BH34" s="25" t="n">
        <v>16115.93</v>
      </c>
      <c r="BI34" s="25" t="n">
        <v>15807.04</v>
      </c>
      <c r="BJ34" s="25" t="n">
        <v>14772.94</v>
      </c>
      <c r="BK34" s="25" t="n">
        <v>11496.03</v>
      </c>
      <c r="BL34" s="25" t="n">
        <v>10743.95</v>
      </c>
      <c r="BM34" s="25" t="n">
        <v>40236.11</v>
      </c>
      <c r="BN34" s="25" t="n">
        <v>37603.84</v>
      </c>
      <c r="BO34" s="25" t="n">
        <v>7838.2</v>
      </c>
      <c r="BP34" s="25" t="n">
        <v>0</v>
      </c>
      <c r="BQ34" s="25" t="n">
        <v>191121.52</v>
      </c>
      <c r="BR34" s="25" t="n">
        <v>178618.25</v>
      </c>
      <c r="BS34" s="25" t="n">
        <v>8717.82</v>
      </c>
      <c r="BT34" s="25" t="n">
        <v>6580.67</v>
      </c>
      <c r="BU34" s="25" t="n">
        <v>157679.08</v>
      </c>
      <c r="BV34" s="25" t="n">
        <v>147363.62</v>
      </c>
      <c r="BW34" s="25" t="n">
        <v>9656.67</v>
      </c>
      <c r="BX34" s="25" t="n">
        <v>9400.96</v>
      </c>
      <c r="BY34" s="25" t="n">
        <v>13541.46</v>
      </c>
      <c r="BZ34" s="25" t="n">
        <v>23729.19</v>
      </c>
      <c r="CA34" s="25" t="n">
        <v>28165.28</v>
      </c>
      <c r="CB34" s="25" t="n">
        <v>26322.69</v>
      </c>
      <c r="CC34" s="25" t="n">
        <v>103208.12</v>
      </c>
      <c r="CD34" s="25" t="n">
        <v>176836.35</v>
      </c>
      <c r="CE34" s="25" t="n">
        <v>63071.63</v>
      </c>
      <c r="CF34" s="25" t="n">
        <v>58945.45</v>
      </c>
      <c r="CG34" s="25" t="n">
        <f aca="false">SUM(CF34,CD34,CB34,BZ34,BX34,BV34,BT34,BR34,BP34,BN34,BL34,BJ34,BH34)</f>
        <v>707033.84</v>
      </c>
      <c r="CH34" s="25" t="n">
        <f aca="false">CG34+BF34</f>
        <v>7526050.39</v>
      </c>
      <c r="CI34" s="25" t="n">
        <f aca="false">SUM(CE34,CC34,CA34,BY34,BW34,BU34,BS34,BQ34,BO34,BM34,BK34,BI34,BG34,BD34,BB34,AZ34,AX34,AV34,AT34,AR34,AP34,AN34)</f>
        <v>8013693.87</v>
      </c>
      <c r="CJ34" s="25" t="n">
        <f aca="false">CI34-CH34</f>
        <v>487643.48</v>
      </c>
      <c r="CK34" s="25" t="str">
        <f aca="false">IF(CE34-CF34+CC34-CD34+CA34-CB34+BU34-BV34+BK34-BL34+BI34-BJ34 &gt; 0, CE34-CF34+CC34-CD34+CA34-CB34+BU34-BV34+BK34-BL34+BI34-BJ34, "-")</f>
        <v>-</v>
      </c>
      <c r="CL34" s="25" t="str">
        <f aca="false">IF(CJ34&lt;0,"⚠ Over Budget","✓ Within Budget")</f>
        <v>✓ Within Budget</v>
      </c>
      <c r="CM34" s="27"/>
    </row>
    <row r="35" customFormat="false" ht="14.25" hidden="false" customHeight="false" outlineLevel="0" collapsed="false">
      <c r="A35" s="16" t="s">
        <v>102</v>
      </c>
      <c r="B35" s="16" t="n">
        <v>2024</v>
      </c>
      <c r="C35" s="16" t="n">
        <v>25</v>
      </c>
      <c r="D35" s="16" t="n">
        <v>1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1</v>
      </c>
      <c r="J35" s="16" t="n">
        <v>1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1</v>
      </c>
      <c r="S35" s="16" t="n">
        <v>25</v>
      </c>
      <c r="T35" s="16" t="n">
        <v>6</v>
      </c>
      <c r="U35" s="16" t="n">
        <v>19</v>
      </c>
      <c r="V35" s="16" t="n">
        <v>25</v>
      </c>
      <c r="W35" s="16" t="n">
        <v>0</v>
      </c>
      <c r="X35" s="16" t="n">
        <v>2</v>
      </c>
      <c r="Y35" s="16" t="n">
        <v>6</v>
      </c>
      <c r="Z35" s="16" t="n">
        <v>8</v>
      </c>
      <c r="AA35" s="16" t="n">
        <v>6</v>
      </c>
      <c r="AB35" s="16" t="n">
        <v>2</v>
      </c>
      <c r="AC35" s="16" t="n">
        <v>1</v>
      </c>
      <c r="AD35" s="17" t="n">
        <v>0</v>
      </c>
      <c r="AE35" s="17" t="n">
        <v>0</v>
      </c>
      <c r="AF35" s="18" t="n">
        <v>61.7</v>
      </c>
      <c r="AG35" s="19" t="n">
        <v>840526</v>
      </c>
      <c r="AH35" s="19" t="n">
        <v>1313774</v>
      </c>
      <c r="AI35" s="19" t="n">
        <v>2042624</v>
      </c>
      <c r="AJ35" s="19" t="n">
        <v>3314275</v>
      </c>
      <c r="AK35" s="19" t="n">
        <v>5370671</v>
      </c>
      <c r="AL35" s="19" t="n">
        <v>9541539</v>
      </c>
      <c r="AM35" s="19" t="n">
        <v>3536726.98</v>
      </c>
      <c r="AN35" s="19" t="n">
        <v>6307163.11</v>
      </c>
      <c r="AO35" s="19" t="n">
        <v>5894544.97</v>
      </c>
      <c r="AP35" s="19" t="n">
        <v>630716.31</v>
      </c>
      <c r="AQ35" s="19" t="n">
        <v>589454.5</v>
      </c>
      <c r="AR35" s="19" t="n">
        <v>22935.14</v>
      </c>
      <c r="AS35" s="19" t="n">
        <v>0</v>
      </c>
      <c r="AT35" s="19" t="n">
        <v>315358.16</v>
      </c>
      <c r="AU35" s="19" t="n">
        <v>294727.25</v>
      </c>
      <c r="AV35" s="19" t="n">
        <v>27758.71</v>
      </c>
      <c r="AW35" s="19" t="n">
        <v>24173.9</v>
      </c>
      <c r="AX35" s="19" t="n">
        <v>17244.05</v>
      </c>
      <c r="AY35" s="19" t="n">
        <v>16115.93</v>
      </c>
      <c r="AZ35" s="19" t="n">
        <v>30766.65</v>
      </c>
      <c r="BA35" s="19" t="n">
        <v>0</v>
      </c>
      <c r="BB35" s="19" t="n">
        <v>92050.49</v>
      </c>
      <c r="BC35" s="19" t="n">
        <v>88418.17</v>
      </c>
      <c r="BD35" s="19" t="n">
        <v>337.88</v>
      </c>
      <c r="BE35" s="19" t="n">
        <v>0</v>
      </c>
      <c r="BF35" s="19" t="n">
        <f aca="false">SUM(BE35,BC35,BA35,AY35,AW35,AU35,AS35,AQ35,AO35)</f>
        <v>6907434.72</v>
      </c>
      <c r="BG35" s="19" t="n">
        <v>33108.57</v>
      </c>
      <c r="BH35" s="19" t="n">
        <v>19339.12</v>
      </c>
      <c r="BI35" s="19" t="n">
        <v>15807.04</v>
      </c>
      <c r="BJ35" s="19" t="n">
        <v>14772.94</v>
      </c>
      <c r="BK35" s="19" t="n">
        <v>11496.03</v>
      </c>
      <c r="BL35" s="19" t="n">
        <v>10743.95</v>
      </c>
      <c r="BM35" s="19" t="n">
        <v>40236.11</v>
      </c>
      <c r="BN35" s="19" t="n">
        <v>37603.84</v>
      </c>
      <c r="BO35" s="19" t="n">
        <v>82301.13</v>
      </c>
      <c r="BP35" s="19" t="n">
        <v>141014.41</v>
      </c>
      <c r="BQ35" s="19" t="n">
        <v>204773.06</v>
      </c>
      <c r="BR35" s="19" t="n">
        <v>191376.69</v>
      </c>
      <c r="BS35" s="19" t="n">
        <v>7903.52</v>
      </c>
      <c r="BT35" s="19" t="n">
        <v>7050.72</v>
      </c>
      <c r="BU35" s="19" t="n">
        <v>157679.08</v>
      </c>
      <c r="BV35" s="19" t="n">
        <v>147363.62</v>
      </c>
      <c r="BW35" s="19" t="n">
        <v>19313.33</v>
      </c>
      <c r="BX35" s="19" t="n">
        <v>9400.96</v>
      </c>
      <c r="BY35" s="19" t="n">
        <v>5109.35</v>
      </c>
      <c r="BZ35" s="19" t="n">
        <v>10743.95</v>
      </c>
      <c r="CA35" s="19" t="n">
        <v>28165.28</v>
      </c>
      <c r="CB35" s="19" t="n">
        <v>26322.69</v>
      </c>
      <c r="CC35" s="19" t="n">
        <v>123849.75</v>
      </c>
      <c r="CD35" s="19" t="n">
        <v>176836.35</v>
      </c>
      <c r="CE35" s="19" t="n">
        <v>63071.63</v>
      </c>
      <c r="CF35" s="19" t="n">
        <v>58945.45</v>
      </c>
      <c r="CG35" s="19" t="n">
        <f aca="false">SUM(CF35,CD35,CB35,BZ35,BX35,BV35,BT35,BR35,BP35,BN35,BL35,BJ35,BH35)</f>
        <v>851514.69</v>
      </c>
      <c r="CH35" s="19" t="n">
        <f aca="false">CG35+BF35</f>
        <v>7758949.41</v>
      </c>
      <c r="CI35" s="19" t="n">
        <f aca="false">SUM(CE35,CC35,CA35,BY35,BW35,BU35,BS35,BQ35,BO35,BM35,BK35,BI35,BG35,BD35,BB35,AZ35,AX35,AV35,AT35,AR35,AP35,AN35)</f>
        <v>8237144.38</v>
      </c>
      <c r="CJ35" s="19" t="n">
        <f aca="false">CI35-CH35</f>
        <v>478194.970000001</v>
      </c>
      <c r="CK35" s="19" t="str">
        <f aca="false">IF(CE35-CF35+CC35-CD35+CA35-CB35+BU35-BV35+BK35-BL35+BI35-BJ35 &gt; 0, CE35-CF35+CC35-CD35+CA35-CB35+BU35-BV35+BK35-BL35+BI35-BJ35, "-")</f>
        <v>-</v>
      </c>
      <c r="CL35" s="19" t="str">
        <f aca="false">IF(CJ35&lt;0,"⚠ Over Budget","✓ Within Budget")</f>
        <v>✓ Within Budget</v>
      </c>
      <c r="CM35" s="21"/>
    </row>
    <row r="36" customFormat="false" ht="14.25" hidden="false" customHeight="false" outlineLevel="0" collapsed="false">
      <c r="A36" s="28" t="s">
        <v>103</v>
      </c>
      <c r="B36" s="28" t="n">
        <v>2024</v>
      </c>
      <c r="C36" s="28" t="n">
        <v>25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0</v>
      </c>
      <c r="M36" s="28" t="n">
        <v>0</v>
      </c>
      <c r="N36" s="28" t="n">
        <v>0</v>
      </c>
      <c r="O36" s="28" t="n">
        <v>0</v>
      </c>
      <c r="P36" s="28" t="n">
        <v>0</v>
      </c>
      <c r="Q36" s="28" t="n">
        <v>0</v>
      </c>
      <c r="R36" s="28" t="n">
        <v>1</v>
      </c>
      <c r="S36" s="28" t="n">
        <v>24</v>
      </c>
      <c r="T36" s="28" t="n">
        <v>6</v>
      </c>
      <c r="U36" s="28" t="n">
        <v>18</v>
      </c>
      <c r="V36" s="28" t="n">
        <v>24</v>
      </c>
      <c r="W36" s="28" t="n">
        <v>0</v>
      </c>
      <c r="X36" s="28" t="n">
        <v>2</v>
      </c>
      <c r="Y36" s="28" t="n">
        <v>5</v>
      </c>
      <c r="Z36" s="28" t="n">
        <v>8</v>
      </c>
      <c r="AA36" s="28" t="n">
        <v>6</v>
      </c>
      <c r="AB36" s="28" t="n">
        <v>2</v>
      </c>
      <c r="AC36" s="28" t="n">
        <v>1</v>
      </c>
      <c r="AD36" s="29" t="n">
        <v>0</v>
      </c>
      <c r="AE36" s="29" t="n">
        <v>0.0139289889246937</v>
      </c>
      <c r="AF36" s="30" t="n">
        <v>60.9</v>
      </c>
      <c r="AG36" s="31" t="n">
        <v>855168</v>
      </c>
      <c r="AH36" s="31" t="n">
        <v>1339769</v>
      </c>
      <c r="AI36" s="31" t="n">
        <v>2065899</v>
      </c>
      <c r="AJ36" s="31" t="n">
        <v>3352364</v>
      </c>
      <c r="AK36" s="31" t="n">
        <v>5434490</v>
      </c>
      <c r="AL36" s="31" t="n">
        <v>9655698</v>
      </c>
      <c r="AM36" s="31" t="n">
        <v>3581642.54</v>
      </c>
      <c r="AN36" s="31" t="n">
        <v>6387262.53</v>
      </c>
      <c r="AO36" s="31" t="n">
        <v>5969404.23</v>
      </c>
      <c r="AP36" s="31" t="n">
        <v>638726.25</v>
      </c>
      <c r="AQ36" s="31" t="n">
        <v>596940.42</v>
      </c>
      <c r="AR36" s="31" t="n">
        <v>743245.09</v>
      </c>
      <c r="AS36" s="31" t="n">
        <v>1471487.27</v>
      </c>
      <c r="AT36" s="31" t="n">
        <v>319363.13</v>
      </c>
      <c r="AU36" s="31" t="n">
        <v>298470.21</v>
      </c>
      <c r="AV36" s="31" t="n">
        <v>22711.67</v>
      </c>
      <c r="AW36" s="31" t="n">
        <v>24173.9</v>
      </c>
      <c r="AX36" s="31" t="n">
        <v>17244.05</v>
      </c>
      <c r="AY36" s="31" t="n">
        <v>16115.93</v>
      </c>
      <c r="AZ36" s="31" t="n">
        <v>62314.76</v>
      </c>
      <c r="BA36" s="31" t="n">
        <v>528304.76</v>
      </c>
      <c r="BB36" s="31" t="n">
        <v>3107.32</v>
      </c>
      <c r="BC36" s="31" t="n">
        <v>0</v>
      </c>
      <c r="BD36" s="31" t="n">
        <v>342.17</v>
      </c>
      <c r="BE36" s="31" t="n">
        <v>0</v>
      </c>
      <c r="BF36" s="31" t="n">
        <f aca="false">SUM(BE36,BC36,BA36,AY36,AW36,AU36,AS36,AQ36,AO36)</f>
        <v>8904896.72</v>
      </c>
      <c r="BG36" s="31" t="n">
        <v>20028.64</v>
      </c>
      <c r="BH36" s="31" t="n">
        <v>15041.54</v>
      </c>
      <c r="BI36" s="31" t="n">
        <v>15807.04</v>
      </c>
      <c r="BJ36" s="31" t="n">
        <v>14772.94</v>
      </c>
      <c r="BK36" s="31" t="n">
        <v>11496.03</v>
      </c>
      <c r="BL36" s="31" t="n">
        <v>10743.95</v>
      </c>
      <c r="BM36" s="31" t="n">
        <v>40236.11</v>
      </c>
      <c r="BN36" s="31" t="n">
        <v>37603.84</v>
      </c>
      <c r="BO36" s="31" t="n">
        <v>3919.1</v>
      </c>
      <c r="BP36" s="31" t="n">
        <v>0</v>
      </c>
      <c r="BQ36" s="31" t="n">
        <v>204773.06</v>
      </c>
      <c r="BR36" s="31" t="n">
        <v>191376.69</v>
      </c>
      <c r="BS36" s="31" t="n">
        <v>7185.02</v>
      </c>
      <c r="BT36" s="31" t="n">
        <v>7050.72</v>
      </c>
      <c r="BU36" s="31" t="n">
        <v>159681.56</v>
      </c>
      <c r="BV36" s="31" t="n">
        <v>149235.11</v>
      </c>
      <c r="BW36" s="31" t="n">
        <v>14485</v>
      </c>
      <c r="BX36" s="31" t="n">
        <v>9400.96</v>
      </c>
      <c r="BY36" s="31" t="n">
        <v>237474.37</v>
      </c>
      <c r="BZ36" s="31" t="n">
        <v>78025.31</v>
      </c>
      <c r="CA36" s="31" t="n">
        <v>28165.28</v>
      </c>
      <c r="CB36" s="31" t="n">
        <v>26322.69</v>
      </c>
      <c r="CC36" s="31" t="n">
        <v>167230.15</v>
      </c>
      <c r="CD36" s="31" t="n">
        <v>179082.13</v>
      </c>
      <c r="CE36" s="31" t="n">
        <v>63872.63</v>
      </c>
      <c r="CF36" s="31" t="n">
        <v>59694.04</v>
      </c>
      <c r="CG36" s="31" t="n">
        <f aca="false">SUM(CF36,CD36,CB36,BZ36,BX36,BV36,BT36,BR36,BP36,BN36,BL36,BJ36,BH36)</f>
        <v>778349.92</v>
      </c>
      <c r="CH36" s="31" t="n">
        <f aca="false">CG36+BF36</f>
        <v>9683246.64</v>
      </c>
      <c r="CI36" s="31" t="n">
        <f aca="false">SUM(CE36,CC36,CA36,BY36,BW36,BU36,BS36,BQ36,BO36,BM36,BK36,BI36,BG36,BD36,BB36,AZ36,AX36,AV36,AT36,AR36,AP36,AN36)</f>
        <v>9168670.96</v>
      </c>
      <c r="CJ36" s="31" t="n">
        <f aca="false">CI36-CH36</f>
        <v>-514575.68</v>
      </c>
      <c r="CK36" s="31" t="n">
        <f aca="false">IF(CE36-CF36+CC36-CD36+CA36-CB36+BU36-BV36+BK36-BL36+BI36-BJ36 &gt; 0, CE36-CF36+CC36-CD36+CA36-CB36+BU36-BV36+BK36-BL36+BI36-BJ36, "-")</f>
        <v>6401.83</v>
      </c>
      <c r="CL36" s="31" t="str">
        <f aca="false">IF(CJ36&lt;0,"⚠ Over Budget","✓ Within Budget")</f>
        <v>⚠ Over Budget</v>
      </c>
      <c r="CM36" s="33" t="s">
        <v>111</v>
      </c>
    </row>
    <row r="37" customFormat="false" ht="14.25" hidden="false" customHeight="false" outlineLevel="0" collapsed="false">
      <c r="A37" s="16" t="s">
        <v>104</v>
      </c>
      <c r="B37" s="16" t="n">
        <v>2024</v>
      </c>
      <c r="C37" s="16" t="n">
        <v>24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24</v>
      </c>
      <c r="T37" s="16" t="n">
        <v>6</v>
      </c>
      <c r="U37" s="16" t="n">
        <v>18</v>
      </c>
      <c r="V37" s="16" t="n">
        <v>24</v>
      </c>
      <c r="W37" s="16" t="n">
        <v>0</v>
      </c>
      <c r="X37" s="16" t="n">
        <v>2</v>
      </c>
      <c r="Y37" s="16" t="n">
        <v>5</v>
      </c>
      <c r="Z37" s="16" t="n">
        <v>8</v>
      </c>
      <c r="AA37" s="16" t="n">
        <v>6</v>
      </c>
      <c r="AB37" s="16" t="n">
        <v>2</v>
      </c>
      <c r="AC37" s="16" t="n">
        <v>1</v>
      </c>
      <c r="AD37" s="17" t="n">
        <v>0</v>
      </c>
      <c r="AE37" s="17" t="n">
        <v>0</v>
      </c>
      <c r="AF37" s="18" t="n">
        <v>60.2</v>
      </c>
      <c r="AG37" s="19" t="n">
        <v>855168</v>
      </c>
      <c r="AH37" s="19" t="n">
        <v>1339769</v>
      </c>
      <c r="AI37" s="19" t="n">
        <v>2065899</v>
      </c>
      <c r="AJ37" s="19" t="n">
        <v>3352364</v>
      </c>
      <c r="AK37" s="19" t="n">
        <v>5434490</v>
      </c>
      <c r="AL37" s="19" t="n">
        <v>9655698</v>
      </c>
      <c r="AM37" s="19" t="n">
        <v>3581642.54</v>
      </c>
      <c r="AN37" s="19" t="n">
        <v>6387262.53</v>
      </c>
      <c r="AO37" s="19" t="n">
        <v>5969404.23</v>
      </c>
      <c r="AP37" s="19" t="n">
        <v>638726.25</v>
      </c>
      <c r="AQ37" s="19" t="n">
        <v>596940.42</v>
      </c>
      <c r="AR37" s="19" t="n">
        <v>75485.83</v>
      </c>
      <c r="AS37" s="19" t="n">
        <v>0</v>
      </c>
      <c r="AT37" s="19" t="n">
        <v>319363.13</v>
      </c>
      <c r="AU37" s="19" t="n">
        <v>298470.21</v>
      </c>
      <c r="AV37" s="19" t="n">
        <v>26917.54</v>
      </c>
      <c r="AW37" s="19" t="n">
        <v>32231.86</v>
      </c>
      <c r="AX37" s="19" t="n">
        <v>17244.05</v>
      </c>
      <c r="AY37" s="19" t="n">
        <v>16115.93</v>
      </c>
      <c r="AZ37" s="19" t="n">
        <v>31157.38</v>
      </c>
      <c r="BA37" s="19" t="n">
        <v>0</v>
      </c>
      <c r="BB37" s="19" t="n">
        <v>1035.77</v>
      </c>
      <c r="BC37" s="19" t="n">
        <v>0</v>
      </c>
      <c r="BD37" s="19" t="n">
        <v>342.17</v>
      </c>
      <c r="BE37" s="19" t="n">
        <v>0</v>
      </c>
      <c r="BF37" s="19" t="n">
        <f aca="false">SUM(BE37,BC37,BA37,AY37,AW37,AU37,AS37,AQ37,AO37)</f>
        <v>6913162.65</v>
      </c>
      <c r="BG37" s="19" t="n">
        <v>26159.86</v>
      </c>
      <c r="BH37" s="19" t="n">
        <v>17190.33</v>
      </c>
      <c r="BI37" s="19" t="n">
        <v>15807.04</v>
      </c>
      <c r="BJ37" s="19" t="n">
        <v>14772.94</v>
      </c>
      <c r="BK37" s="19" t="n">
        <v>11496.03</v>
      </c>
      <c r="BL37" s="19" t="n">
        <v>10743.95</v>
      </c>
      <c r="BM37" s="19" t="n">
        <v>40236.11</v>
      </c>
      <c r="BN37" s="19" t="n">
        <v>37603.84</v>
      </c>
      <c r="BO37" s="19" t="n">
        <v>3919.1</v>
      </c>
      <c r="BP37" s="19" t="n">
        <v>0</v>
      </c>
      <c r="BQ37" s="19" t="n">
        <v>204773.06</v>
      </c>
      <c r="BR37" s="19" t="n">
        <v>191376.69</v>
      </c>
      <c r="BS37" s="19" t="n">
        <v>6466.52</v>
      </c>
      <c r="BT37" s="19" t="n">
        <v>7050.72</v>
      </c>
      <c r="BU37" s="19" t="n">
        <v>159681.56</v>
      </c>
      <c r="BV37" s="19" t="n">
        <v>149235.11</v>
      </c>
      <c r="BW37" s="19" t="n">
        <v>9656.67</v>
      </c>
      <c r="BX37" s="19" t="n">
        <v>9400.96</v>
      </c>
      <c r="BY37" s="19" t="n">
        <v>43941.7</v>
      </c>
      <c r="BZ37" s="19" t="n">
        <v>30800.26</v>
      </c>
      <c r="CA37" s="19" t="n">
        <v>28165.28</v>
      </c>
      <c r="CB37" s="19" t="n">
        <v>26322.69</v>
      </c>
      <c r="CC37" s="19" t="n">
        <v>167230.15</v>
      </c>
      <c r="CD37" s="19" t="n">
        <v>179082.13</v>
      </c>
      <c r="CE37" s="19" t="n">
        <v>63872.63</v>
      </c>
      <c r="CF37" s="19" t="n">
        <v>59694.04</v>
      </c>
      <c r="CG37" s="19" t="n">
        <f aca="false">SUM(CF37,CD37,CB37,BZ37,BX37,BV37,BT37,BR37,BP37,BN37,BL37,BJ37,BH37)</f>
        <v>733273.66</v>
      </c>
      <c r="CH37" s="19" t="n">
        <f aca="false">CG37+BF37</f>
        <v>7646436.31</v>
      </c>
      <c r="CI37" s="19" t="n">
        <f aca="false">SUM(CE37,CC37,CA37,BY37,BW37,BU37,BS37,BQ37,BO37,BM37,BK37,BI37,BG37,BD37,BB37,AZ37,AX37,AV37,AT37,AR37,AP37,AN37)</f>
        <v>8278940.36</v>
      </c>
      <c r="CJ37" s="19" t="n">
        <f aca="false">CI37-CH37</f>
        <v>632504.05</v>
      </c>
      <c r="CK37" s="19" t="n">
        <f aca="false">IF(CE37-CF37+CC37-CD37+CA37-CB37+BU37-BV37+BK37-BL37+BI37-BJ37 &gt; 0, CE37-CF37+CC37-CD37+CA37-CB37+BU37-BV37+BK37-BL37+BI37-BJ37, "-")</f>
        <v>6401.83</v>
      </c>
      <c r="CL37" s="19" t="str">
        <f aca="false">IF(CJ37&lt;0,"⚠ Over Budget","✓ Within Budget")</f>
        <v>✓ Within Budget</v>
      </c>
      <c r="CM37" s="21"/>
    </row>
    <row r="38" customFormat="false" ht="14.25" hidden="false" customHeight="false" outlineLevel="0" collapsed="false">
      <c r="A38" s="22" t="s">
        <v>105</v>
      </c>
      <c r="B38" s="22" t="n">
        <v>2024</v>
      </c>
      <c r="C38" s="22" t="n">
        <v>24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</v>
      </c>
      <c r="S38" s="22" t="n">
        <v>23</v>
      </c>
      <c r="T38" s="22" t="n">
        <v>6</v>
      </c>
      <c r="U38" s="22" t="n">
        <v>17</v>
      </c>
      <c r="V38" s="22" t="n">
        <v>23</v>
      </c>
      <c r="W38" s="22" t="n">
        <v>0</v>
      </c>
      <c r="X38" s="22" t="n">
        <v>2</v>
      </c>
      <c r="Y38" s="22" t="n">
        <v>5</v>
      </c>
      <c r="Z38" s="22" t="n">
        <v>7</v>
      </c>
      <c r="AA38" s="22" t="n">
        <v>6</v>
      </c>
      <c r="AB38" s="22" t="n">
        <v>2</v>
      </c>
      <c r="AC38" s="22" t="n">
        <v>1</v>
      </c>
      <c r="AD38" s="23" t="n">
        <v>0</v>
      </c>
      <c r="AE38" s="23" t="n">
        <v>0</v>
      </c>
      <c r="AF38" s="24" t="n">
        <v>59.8</v>
      </c>
      <c r="AG38" s="25" t="n">
        <v>855168</v>
      </c>
      <c r="AH38" s="25" t="n">
        <v>1339769</v>
      </c>
      <c r="AI38" s="25" t="n">
        <v>2065899</v>
      </c>
      <c r="AJ38" s="25" t="n">
        <v>3352364</v>
      </c>
      <c r="AK38" s="25" t="n">
        <v>5434490</v>
      </c>
      <c r="AL38" s="25" t="n">
        <v>9655698</v>
      </c>
      <c r="AM38" s="25" t="n">
        <v>3581642.54</v>
      </c>
      <c r="AN38" s="25" t="n">
        <v>6387262.53</v>
      </c>
      <c r="AO38" s="25" t="n">
        <v>5969404.23</v>
      </c>
      <c r="AP38" s="25" t="n">
        <v>638726.25</v>
      </c>
      <c r="AQ38" s="25" t="n">
        <v>596940.42</v>
      </c>
      <c r="AR38" s="25" t="n">
        <v>2787169.1</v>
      </c>
      <c r="AS38" s="25" t="n">
        <v>596940.42</v>
      </c>
      <c r="AT38" s="25" t="n">
        <v>319363.13</v>
      </c>
      <c r="AU38" s="25" t="n">
        <v>298470.21</v>
      </c>
      <c r="AV38" s="25" t="n">
        <v>23552.85</v>
      </c>
      <c r="AW38" s="25" t="n">
        <v>32231.86</v>
      </c>
      <c r="AX38" s="25" t="n">
        <v>17244.05</v>
      </c>
      <c r="AY38" s="25" t="n">
        <v>16115.93</v>
      </c>
      <c r="AZ38" s="25" t="n">
        <v>46736.07</v>
      </c>
      <c r="BA38" s="25" t="n">
        <v>0</v>
      </c>
      <c r="BB38" s="25" t="n">
        <v>1035.77</v>
      </c>
      <c r="BC38" s="25" t="n">
        <v>0</v>
      </c>
      <c r="BD38" s="25" t="n">
        <v>342.17</v>
      </c>
      <c r="BE38" s="25" t="n">
        <v>0</v>
      </c>
      <c r="BF38" s="25" t="n">
        <f aca="false">SUM(BE38,BC38,BA38,AY38,AW38,AU38,AS38,AQ38,AO38)</f>
        <v>7510103.07</v>
      </c>
      <c r="BG38" s="25" t="n">
        <v>4291.85</v>
      </c>
      <c r="BH38" s="25" t="n">
        <v>7520.77</v>
      </c>
      <c r="BI38" s="25" t="n">
        <v>15807.04</v>
      </c>
      <c r="BJ38" s="25" t="n">
        <v>14772.94</v>
      </c>
      <c r="BK38" s="25" t="n">
        <v>11496.03</v>
      </c>
      <c r="BL38" s="25" t="n">
        <v>10743.95</v>
      </c>
      <c r="BM38" s="25" t="n">
        <v>40236.11</v>
      </c>
      <c r="BN38" s="25" t="n">
        <v>37603.84</v>
      </c>
      <c r="BO38" s="25" t="n">
        <v>3919.1</v>
      </c>
      <c r="BP38" s="25" t="n">
        <v>0</v>
      </c>
      <c r="BQ38" s="25" t="n">
        <v>204773.06</v>
      </c>
      <c r="BR38" s="25" t="n">
        <v>191376.69</v>
      </c>
      <c r="BS38" s="25" t="n">
        <v>5748.02</v>
      </c>
      <c r="BT38" s="25" t="n">
        <v>7050.72</v>
      </c>
      <c r="BU38" s="25" t="n">
        <v>159681.56</v>
      </c>
      <c r="BV38" s="25" t="n">
        <v>149235.11</v>
      </c>
      <c r="BW38" s="25" t="n">
        <v>4828.33</v>
      </c>
      <c r="BX38" s="25" t="n">
        <v>9400.96</v>
      </c>
      <c r="BY38" s="25" t="n">
        <v>54575.3</v>
      </c>
      <c r="BZ38" s="25" t="n">
        <v>38253.72</v>
      </c>
      <c r="CA38" s="25" t="n">
        <v>28165.28</v>
      </c>
      <c r="CB38" s="25" t="n">
        <v>26322.69</v>
      </c>
      <c r="CC38" s="25" t="n">
        <v>104518.84</v>
      </c>
      <c r="CD38" s="25" t="n">
        <v>179082.13</v>
      </c>
      <c r="CE38" s="25" t="n">
        <v>63872.63</v>
      </c>
      <c r="CF38" s="25" t="n">
        <v>59694.04</v>
      </c>
      <c r="CG38" s="25" t="n">
        <f aca="false">SUM(CF38,CD38,CB38,BZ38,BX38,BV38,BT38,BR38,BP38,BN38,BL38,BJ38,BH38)</f>
        <v>731057.56</v>
      </c>
      <c r="CH38" s="25" t="n">
        <f aca="false">CG38+BF38</f>
        <v>8241160.63</v>
      </c>
      <c r="CI38" s="25" t="n">
        <f aca="false">SUM(CE38,CC38,CA38,BY38,BW38,BU38,BS38,BQ38,BO38,BM38,BK38,BI38,BG38,BD38,BB38,AZ38,AX38,AV38,AT38,AR38,AP38,AN38)</f>
        <v>10923345.07</v>
      </c>
      <c r="CJ38" s="25" t="n">
        <f aca="false">CI38-CH38</f>
        <v>2682184.44</v>
      </c>
      <c r="CK38" s="25" t="str">
        <f aca="false">IF(CE38-CF38+CC38-CD38+CA38-CB38+BU38-BV38+BK38-BL38+BI38-BJ38 &gt; 0, CE38-CF38+CC38-CD38+CA38-CB38+BU38-BV38+BK38-BL38+BI38-BJ38, "-")</f>
        <v>-</v>
      </c>
      <c r="CL38" s="25" t="str">
        <f aca="false">IF(CJ38&lt;0,"⚠ Over Budget","✓ Within Budget")</f>
        <v>✓ Within Budget</v>
      </c>
      <c r="CM38" s="27"/>
    </row>
    <row r="39" customFormat="false" ht="14.25" hidden="false" customHeight="false" outlineLevel="0" collapsed="false">
      <c r="A39" s="16" t="s">
        <v>92</v>
      </c>
      <c r="B39" s="16" t="n">
        <v>2025</v>
      </c>
      <c r="C39" s="16" t="n">
        <v>23</v>
      </c>
      <c r="D39" s="16" t="n">
        <v>0</v>
      </c>
      <c r="E39" s="16" t="n">
        <v>1</v>
      </c>
      <c r="F39" s="16" t="n">
        <v>1</v>
      </c>
      <c r="G39" s="16" t="n">
        <v>0</v>
      </c>
      <c r="H39" s="16" t="n">
        <v>0</v>
      </c>
      <c r="I39" s="16" t="n">
        <v>0</v>
      </c>
      <c r="J39" s="16" t="n">
        <v>2</v>
      </c>
      <c r="K39" s="16" t="n">
        <v>1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1</v>
      </c>
      <c r="Q39" s="16" t="n">
        <v>1</v>
      </c>
      <c r="R39" s="16" t="n">
        <v>0</v>
      </c>
      <c r="S39" s="16" t="n">
        <v>24</v>
      </c>
      <c r="T39" s="16" t="n">
        <v>6</v>
      </c>
      <c r="U39" s="16" t="n">
        <v>18</v>
      </c>
      <c r="V39" s="16" t="n">
        <v>24</v>
      </c>
      <c r="W39" s="16" t="n">
        <v>0</v>
      </c>
      <c r="X39" s="16" t="n">
        <v>2</v>
      </c>
      <c r="Y39" s="16" t="n">
        <v>5</v>
      </c>
      <c r="Z39" s="16" t="n">
        <v>8</v>
      </c>
      <c r="AA39" s="16" t="n">
        <v>6</v>
      </c>
      <c r="AB39" s="16" t="n">
        <v>2</v>
      </c>
      <c r="AC39" s="16" t="n">
        <v>1</v>
      </c>
      <c r="AD39" s="17" t="n">
        <v>0.521739</v>
      </c>
      <c r="AE39" s="17" t="n">
        <v>0</v>
      </c>
      <c r="AF39" s="18" t="n">
        <v>59.4</v>
      </c>
      <c r="AG39" s="19" t="n">
        <v>855168</v>
      </c>
      <c r="AH39" s="19" t="n">
        <v>1339769</v>
      </c>
      <c r="AI39" s="19" t="n">
        <v>2065899</v>
      </c>
      <c r="AJ39" s="19" t="n">
        <v>3352364</v>
      </c>
      <c r="AK39" s="19" t="n">
        <v>5434490</v>
      </c>
      <c r="AL39" s="19" t="n">
        <v>9655698</v>
      </c>
      <c r="AM39" s="19" t="n">
        <v>3448877.98</v>
      </c>
      <c r="AN39" s="19" t="n">
        <v>6150499.06</v>
      </c>
      <c r="AO39" s="19" t="n">
        <v>5748129.97</v>
      </c>
      <c r="AP39" s="19" t="n">
        <v>615049.91</v>
      </c>
      <c r="AQ39" s="19" t="n">
        <v>574813</v>
      </c>
      <c r="AR39" s="19" t="n">
        <v>100644.53</v>
      </c>
      <c r="AS39" s="19" t="n">
        <v>344887.8</v>
      </c>
      <c r="AT39" s="19" t="n">
        <v>307524.95</v>
      </c>
      <c r="AU39" s="19" t="n">
        <v>287406.5</v>
      </c>
      <c r="AV39" s="19" t="n">
        <v>25919.76</v>
      </c>
      <c r="AW39" s="19" t="n">
        <v>31037.09</v>
      </c>
      <c r="AX39" s="19" t="n">
        <v>16604.84</v>
      </c>
      <c r="AY39" s="19" t="n">
        <v>15518.55</v>
      </c>
      <c r="AZ39" s="19" t="n">
        <v>15001.22</v>
      </c>
      <c r="BA39" s="19" t="n">
        <v>0</v>
      </c>
      <c r="BB39" s="19" t="n">
        <v>19947.56</v>
      </c>
      <c r="BC39" s="19" t="n">
        <v>57481.3</v>
      </c>
      <c r="BD39" s="19" t="n">
        <v>790.78</v>
      </c>
      <c r="BE39" s="19" t="n">
        <v>0</v>
      </c>
      <c r="BF39" s="19" t="n">
        <f aca="false">SUM(BE39,BC39,BA39,AY39,AW39,AU39,AS39,AQ39,AO39)</f>
        <v>7059274.21</v>
      </c>
      <c r="BG39" s="19" t="n">
        <v>2755.17</v>
      </c>
      <c r="BH39" s="19" t="n">
        <v>7241.99</v>
      </c>
      <c r="BI39" s="19" t="n">
        <v>15221.11</v>
      </c>
      <c r="BJ39" s="19" t="n">
        <v>14225.33</v>
      </c>
      <c r="BK39" s="19" t="n">
        <v>11069.9</v>
      </c>
      <c r="BL39" s="19" t="n">
        <v>10345.7</v>
      </c>
      <c r="BM39" s="19" t="n">
        <v>38744.64</v>
      </c>
      <c r="BN39" s="19" t="n">
        <v>36209.94</v>
      </c>
      <c r="BO39" s="19" t="n">
        <v>52833.59</v>
      </c>
      <c r="BP39" s="19" t="n">
        <v>90524.85</v>
      </c>
      <c r="BQ39" s="19" t="n">
        <v>197182.52</v>
      </c>
      <c r="BR39" s="19" t="n">
        <v>184282.73</v>
      </c>
      <c r="BS39" s="19" t="n">
        <v>6226.82</v>
      </c>
      <c r="BT39" s="19" t="n">
        <v>6789.36</v>
      </c>
      <c r="BU39" s="19" t="n">
        <v>153762.48</v>
      </c>
      <c r="BV39" s="19" t="n">
        <v>143703.25</v>
      </c>
      <c r="BW39" s="19" t="n">
        <v>4649.36</v>
      </c>
      <c r="BX39" s="19" t="n">
        <v>9052.48</v>
      </c>
      <c r="BY39" s="19" t="n">
        <v>4919.95</v>
      </c>
      <c r="BZ39" s="19" t="n">
        <v>10345.7</v>
      </c>
      <c r="CA39" s="19" t="n">
        <v>27121.24</v>
      </c>
      <c r="CB39" s="19" t="n">
        <v>25346.96</v>
      </c>
      <c r="CC39" s="19" t="n">
        <v>100644.53</v>
      </c>
      <c r="CD39" s="19" t="n">
        <v>172443.9</v>
      </c>
      <c r="CE39" s="19" t="n">
        <v>61504.99</v>
      </c>
      <c r="CF39" s="19" t="n">
        <v>57481.3</v>
      </c>
      <c r="CG39" s="19" t="n">
        <f aca="false">SUM(CF39,CD39,CB39,BZ39,BX39,BV39,BT39,BR39,BP39,BN39,BL39,BJ39,BH39)</f>
        <v>767993.49</v>
      </c>
      <c r="CH39" s="19" t="n">
        <f aca="false">CG39+BF39</f>
        <v>7827267.7</v>
      </c>
      <c r="CI39" s="19" t="n">
        <f aca="false">SUM(CE39,CC39,CA39,BY39,BW39,BU39,BS39,BQ39,BO39,BM39,BK39,BI39,BG39,BD39,BB39,AZ39,AX39,AV39,AT39,AR39,AP39,AN39)</f>
        <v>7928618.91</v>
      </c>
      <c r="CJ39" s="19" t="n">
        <f aca="false">CI39-CH39</f>
        <v>101351.209999999</v>
      </c>
      <c r="CK39" s="19" t="str">
        <f aca="false">IF(CE39-CF39+CC39-CD39+CA39-CB39+BU39-BV39+BK39-BL39+BI39-BJ39 &gt; 0, CE39-CF39+CC39-CD39+CA39-CB39+BU39-BV39+BK39-BL39+BI39-BJ39, "-")</f>
        <v>-</v>
      </c>
      <c r="CL39" s="19" t="str">
        <f aca="false">IF(CJ39&lt;0,"⚠ Over Budget","✓ Within Budget")</f>
        <v>✓ Within Budget</v>
      </c>
      <c r="CM39" s="21"/>
    </row>
    <row r="40" customFormat="false" ht="14.25" hidden="false" customHeight="false" outlineLevel="0" collapsed="false">
      <c r="A40" s="22" t="s">
        <v>93</v>
      </c>
      <c r="B40" s="22" t="n">
        <v>2025</v>
      </c>
      <c r="C40" s="22" t="n">
        <v>24</v>
      </c>
      <c r="D40" s="22" t="n">
        <v>1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1</v>
      </c>
      <c r="J40" s="22" t="n">
        <v>1</v>
      </c>
      <c r="K40" s="22" t="n">
        <v>1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1</v>
      </c>
      <c r="Q40" s="22" t="n">
        <v>1</v>
      </c>
      <c r="R40" s="22" t="n">
        <v>0</v>
      </c>
      <c r="S40" s="22" t="n">
        <v>24</v>
      </c>
      <c r="T40" s="22" t="n">
        <v>7</v>
      </c>
      <c r="U40" s="22" t="n">
        <v>17</v>
      </c>
      <c r="V40" s="22" t="n">
        <v>24</v>
      </c>
      <c r="W40" s="22" t="n">
        <v>0</v>
      </c>
      <c r="X40" s="22" t="n">
        <v>2</v>
      </c>
      <c r="Y40" s="22" t="n">
        <v>5</v>
      </c>
      <c r="Z40" s="22" t="n">
        <v>8</v>
      </c>
      <c r="AA40" s="22" t="n">
        <v>6</v>
      </c>
      <c r="AB40" s="22" t="n">
        <v>2</v>
      </c>
      <c r="AC40" s="22" t="n">
        <v>1</v>
      </c>
      <c r="AD40" s="23" t="n">
        <v>0.5</v>
      </c>
      <c r="AE40" s="23" t="n">
        <v>0</v>
      </c>
      <c r="AF40" s="24" t="n">
        <v>58.9</v>
      </c>
      <c r="AG40" s="25" t="n">
        <v>855168</v>
      </c>
      <c r="AH40" s="25" t="n">
        <v>1339769</v>
      </c>
      <c r="AI40" s="25" t="n">
        <v>2065899</v>
      </c>
      <c r="AJ40" s="25" t="n">
        <v>3352364</v>
      </c>
      <c r="AK40" s="25" t="n">
        <v>5434490</v>
      </c>
      <c r="AL40" s="25" t="n">
        <v>9655698</v>
      </c>
      <c r="AM40" s="25" t="n">
        <v>3448877.98</v>
      </c>
      <c r="AN40" s="25" t="n">
        <v>5535449.16</v>
      </c>
      <c r="AO40" s="25" t="n">
        <v>5173316.97</v>
      </c>
      <c r="AP40" s="25" t="n">
        <v>553544.92</v>
      </c>
      <c r="AQ40" s="25" t="n">
        <v>517331.7</v>
      </c>
      <c r="AR40" s="25" t="n">
        <v>15096.68</v>
      </c>
      <c r="AS40" s="25" t="n">
        <v>0</v>
      </c>
      <c r="AT40" s="25" t="n">
        <v>276772.46</v>
      </c>
      <c r="AU40" s="25" t="n">
        <v>258665.85</v>
      </c>
      <c r="AV40" s="25" t="n">
        <v>23327.78</v>
      </c>
      <c r="AW40" s="25" t="n">
        <v>27933.38</v>
      </c>
      <c r="AX40" s="25" t="n">
        <v>14944.36</v>
      </c>
      <c r="AY40" s="25" t="n">
        <v>13966.69</v>
      </c>
      <c r="AZ40" s="25" t="n">
        <v>13501.1</v>
      </c>
      <c r="BA40" s="25" t="n">
        <v>0</v>
      </c>
      <c r="BB40" s="25" t="n">
        <v>2992.13</v>
      </c>
      <c r="BC40" s="25" t="n">
        <v>0</v>
      </c>
      <c r="BD40" s="25" t="n">
        <v>988.47</v>
      </c>
      <c r="BE40" s="25" t="n">
        <v>0</v>
      </c>
      <c r="BF40" s="25" t="n">
        <f aca="false">SUM(BE40,BC40,BA40,AY40,AW40,AU40,AS40,AQ40,AO40)</f>
        <v>5991214.59</v>
      </c>
      <c r="BG40" s="25" t="n">
        <v>2479.66</v>
      </c>
      <c r="BH40" s="25" t="n">
        <v>6517.79</v>
      </c>
      <c r="BI40" s="25" t="n">
        <v>13699</v>
      </c>
      <c r="BJ40" s="25" t="n">
        <v>12802.8</v>
      </c>
      <c r="BK40" s="25" t="n">
        <v>9962.91</v>
      </c>
      <c r="BL40" s="25" t="n">
        <v>9311.13</v>
      </c>
      <c r="BM40" s="25" t="n">
        <v>34870.17</v>
      </c>
      <c r="BN40" s="25" t="n">
        <v>32588.95</v>
      </c>
      <c r="BO40" s="25" t="n">
        <v>3773.83</v>
      </c>
      <c r="BP40" s="25" t="n">
        <v>0</v>
      </c>
      <c r="BQ40" s="25" t="n">
        <v>170891.52</v>
      </c>
      <c r="BR40" s="25" t="n">
        <v>159711.7</v>
      </c>
      <c r="BS40" s="25" t="n">
        <v>5396.57</v>
      </c>
      <c r="BT40" s="25" t="n">
        <v>5884.12</v>
      </c>
      <c r="BU40" s="25" t="n">
        <v>138386.23</v>
      </c>
      <c r="BV40" s="25" t="n">
        <v>129332.92</v>
      </c>
      <c r="BW40" s="25" t="n">
        <v>4184.42</v>
      </c>
      <c r="BX40" s="25" t="n">
        <v>8147.24</v>
      </c>
      <c r="BY40" s="25" t="n">
        <v>4427.96</v>
      </c>
      <c r="BZ40" s="25" t="n">
        <v>9311.13</v>
      </c>
      <c r="CA40" s="25" t="n">
        <v>24409.12</v>
      </c>
      <c r="CB40" s="25" t="n">
        <v>22812.26</v>
      </c>
      <c r="CC40" s="25" t="n">
        <v>90580.08</v>
      </c>
      <c r="CD40" s="25" t="n">
        <v>155199.51</v>
      </c>
      <c r="CE40" s="25" t="n">
        <v>55354.49</v>
      </c>
      <c r="CF40" s="25" t="n">
        <v>51733.17</v>
      </c>
      <c r="CG40" s="25" t="n">
        <f aca="false">SUM(CF40,CD40,CB40,BZ40,BX40,BV40,BT40,BR40,BP40,BN40,BL40,BJ40,BH40)</f>
        <v>603352.72</v>
      </c>
      <c r="CH40" s="25" t="n">
        <f aca="false">CG40+BF40</f>
        <v>6594567.31</v>
      </c>
      <c r="CI40" s="25" t="n">
        <f aca="false">SUM(CE40,CC40,CA40,BY40,BW40,BU40,BS40,BQ40,BO40,BM40,BK40,BI40,BG40,BD40,BB40,AZ40,AX40,AV40,AT40,AR40,AP40,AN40)</f>
        <v>6995033.02</v>
      </c>
      <c r="CJ40" s="25" t="n">
        <f aca="false">CI40-CH40</f>
        <v>400465.710000001</v>
      </c>
      <c r="CK40" s="25" t="str">
        <f aca="false">IF(CE40-CF40+CC40-CD40+CA40-CB40+BU40-BV40+BK40-BL40+BI40-BJ40 &gt; 0, CE40-CF40+CC40-CD40+CA40-CB40+BU40-BV40+BK40-BL40+BI40-BJ40, "-")</f>
        <v>-</v>
      </c>
      <c r="CL40" s="25" t="str">
        <f aca="false">IF(CJ40&lt;0,"⚠ Over Budget","✓ Within Budget")</f>
        <v>✓ Within Budget</v>
      </c>
      <c r="CM40" s="27"/>
    </row>
    <row r="41" customFormat="false" ht="14.25" hidden="false" customHeight="false" outlineLevel="0" collapsed="false">
      <c r="A41" s="16" t="s">
        <v>94</v>
      </c>
      <c r="B41" s="16" t="n">
        <v>2025</v>
      </c>
      <c r="C41" s="16" t="n">
        <v>24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1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1</v>
      </c>
      <c r="Q41" s="16" t="n">
        <v>1</v>
      </c>
      <c r="R41" s="16" t="n">
        <v>0</v>
      </c>
      <c r="S41" s="16" t="n">
        <v>23</v>
      </c>
      <c r="T41" s="16" t="n">
        <v>6</v>
      </c>
      <c r="U41" s="16" t="n">
        <v>17</v>
      </c>
      <c r="V41" s="16" t="n">
        <v>23</v>
      </c>
      <c r="W41" s="16" t="n">
        <v>0</v>
      </c>
      <c r="X41" s="16" t="n">
        <v>2</v>
      </c>
      <c r="Y41" s="16" t="n">
        <v>5</v>
      </c>
      <c r="Z41" s="16" t="n">
        <v>7</v>
      </c>
      <c r="AA41" s="16" t="n">
        <v>6</v>
      </c>
      <c r="AB41" s="16" t="n">
        <v>2</v>
      </c>
      <c r="AC41" s="16" t="n">
        <v>1</v>
      </c>
      <c r="AD41" s="17" t="n">
        <v>0.5</v>
      </c>
      <c r="AE41" s="17" t="n">
        <v>0</v>
      </c>
      <c r="AF41" s="18" t="n">
        <v>58.5</v>
      </c>
      <c r="AG41" s="19" t="n">
        <v>855168</v>
      </c>
      <c r="AH41" s="19" t="n">
        <v>1339769</v>
      </c>
      <c r="AI41" s="19" t="n">
        <v>2065899</v>
      </c>
      <c r="AJ41" s="19" t="n">
        <v>3352364</v>
      </c>
      <c r="AK41" s="19" t="n">
        <v>5434490</v>
      </c>
      <c r="AL41" s="19" t="n">
        <v>9655698</v>
      </c>
      <c r="AM41" s="19" t="n">
        <v>3448877.98</v>
      </c>
      <c r="AN41" s="19" t="n">
        <v>5535449.16</v>
      </c>
      <c r="AO41" s="19" t="n">
        <v>5173316.97</v>
      </c>
      <c r="AP41" s="19" t="n">
        <v>553544.92</v>
      </c>
      <c r="AQ41" s="19" t="n">
        <v>517331.7</v>
      </c>
      <c r="AR41" s="19" t="n">
        <v>25161.13</v>
      </c>
      <c r="AS41" s="19" t="n">
        <v>0</v>
      </c>
      <c r="AT41" s="19" t="n">
        <v>276772.46</v>
      </c>
      <c r="AU41" s="19" t="n">
        <v>258665.85</v>
      </c>
      <c r="AV41" s="19" t="n">
        <v>21869.79</v>
      </c>
      <c r="AW41" s="19" t="n">
        <v>20950.04</v>
      </c>
      <c r="AX41" s="19" t="n">
        <v>14944.36</v>
      </c>
      <c r="AY41" s="19" t="n">
        <v>13966.69</v>
      </c>
      <c r="AZ41" s="19" t="n">
        <v>43203.51</v>
      </c>
      <c r="BA41" s="19" t="n">
        <v>0</v>
      </c>
      <c r="BB41" s="19" t="n">
        <v>4986.89</v>
      </c>
      <c r="BC41" s="19" t="n">
        <v>0</v>
      </c>
      <c r="BD41" s="19" t="n">
        <v>988.47</v>
      </c>
      <c r="BE41" s="19" t="n">
        <v>0</v>
      </c>
      <c r="BF41" s="19" t="n">
        <f aca="false">SUM(BE41,BC41,BA41,AY41,AW41,AU41,AS41,AQ41,AO41)</f>
        <v>5984231.25</v>
      </c>
      <c r="BG41" s="19" t="n">
        <v>2479.66</v>
      </c>
      <c r="BH41" s="19" t="n">
        <v>6517.79</v>
      </c>
      <c r="BI41" s="19" t="n">
        <v>13699</v>
      </c>
      <c r="BJ41" s="19" t="n">
        <v>12802.8</v>
      </c>
      <c r="BK41" s="19" t="n">
        <v>9962.91</v>
      </c>
      <c r="BL41" s="19" t="n">
        <v>9311.13</v>
      </c>
      <c r="BM41" s="19" t="n">
        <v>34870.17</v>
      </c>
      <c r="BN41" s="19" t="n">
        <v>32588.95</v>
      </c>
      <c r="BO41" s="19" t="n">
        <v>3773.83</v>
      </c>
      <c r="BP41" s="19" t="n">
        <v>0</v>
      </c>
      <c r="BQ41" s="19" t="n">
        <v>170891.52</v>
      </c>
      <c r="BR41" s="19" t="n">
        <v>159711.7</v>
      </c>
      <c r="BS41" s="19" t="n">
        <v>5996.19</v>
      </c>
      <c r="BT41" s="19" t="n">
        <v>5884.12</v>
      </c>
      <c r="BU41" s="19" t="n">
        <v>138386.23</v>
      </c>
      <c r="BV41" s="19" t="n">
        <v>129332.92</v>
      </c>
      <c r="BW41" s="19" t="n">
        <v>4184.42</v>
      </c>
      <c r="BX41" s="19" t="n">
        <v>8147.24</v>
      </c>
      <c r="BY41" s="19" t="n">
        <v>29340.3</v>
      </c>
      <c r="BZ41" s="19" t="n">
        <v>25707.04</v>
      </c>
      <c r="CA41" s="19" t="n">
        <v>24409.12</v>
      </c>
      <c r="CB41" s="19" t="n">
        <v>22812.26</v>
      </c>
      <c r="CC41" s="19" t="n">
        <v>999189.08</v>
      </c>
      <c r="CD41" s="19" t="n">
        <v>342401.24</v>
      </c>
      <c r="CE41" s="19" t="n">
        <v>55354.49</v>
      </c>
      <c r="CF41" s="19" t="n">
        <v>51733.17</v>
      </c>
      <c r="CG41" s="19" t="n">
        <f aca="false">SUM(CF41,CD41,CB41,BZ41,BX41,BV41,BT41,BR41,BP41,BN41,BL41,BJ41,BH41)</f>
        <v>806950.36</v>
      </c>
      <c r="CH41" s="19" t="n">
        <f aca="false">CG41+BF41</f>
        <v>6791181.61</v>
      </c>
      <c r="CI41" s="19" t="n">
        <f aca="false">SUM(CE41,CC41,CA41,BY41,BW41,BU41,BS41,BQ41,BO41,BM41,BK41,BI41,BG41,BD41,BB41,AZ41,AX41,AV41,AT41,AR41,AP41,AN41)</f>
        <v>7969457.61</v>
      </c>
      <c r="CJ41" s="19" t="n">
        <f aca="false">CI41-CH41</f>
        <v>1178276</v>
      </c>
      <c r="CK41" s="19" t="n">
        <f aca="false">IF(CE41-CF41+CC41-CD41+CA41-CB41+BU41-BV41+BK41-BL41+BI41-BJ41 &gt; 0, CE41-CF41+CC41-CD41+CA41-CB41+BU41-BV41+BK41-BL41+BI41-BJ41, "-")</f>
        <v>672607.31</v>
      </c>
      <c r="CL41" s="19" t="str">
        <f aca="false">IF(CJ41&lt;0,"⚠ Over Budget","✓ Within Budget")</f>
        <v>✓ Within Budget</v>
      </c>
      <c r="CM41" s="21"/>
    </row>
    <row r="42" customFormat="false" ht="14.25" hidden="false" customHeight="false" outlineLevel="0" collapsed="false">
      <c r="A42" s="22" t="s">
        <v>96</v>
      </c>
      <c r="B42" s="22" t="n">
        <v>2025</v>
      </c>
      <c r="C42" s="22" t="n">
        <v>23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23</v>
      </c>
      <c r="T42" s="22" t="n">
        <v>6</v>
      </c>
      <c r="U42" s="22" t="n">
        <v>17</v>
      </c>
      <c r="V42" s="22" t="n">
        <v>23</v>
      </c>
      <c r="W42" s="22" t="n">
        <v>0</v>
      </c>
      <c r="X42" s="22" t="n">
        <v>2</v>
      </c>
      <c r="Y42" s="22" t="n">
        <v>5</v>
      </c>
      <c r="Z42" s="22" t="n">
        <v>7</v>
      </c>
      <c r="AA42" s="22" t="n">
        <v>6</v>
      </c>
      <c r="AB42" s="22" t="n">
        <v>2</v>
      </c>
      <c r="AC42" s="22" t="n">
        <v>1</v>
      </c>
      <c r="AD42" s="23" t="n">
        <v>0</v>
      </c>
      <c r="AE42" s="23" t="n">
        <v>0.0983246114727212</v>
      </c>
      <c r="AF42" s="24" t="n">
        <v>58</v>
      </c>
      <c r="AG42" s="25" t="n">
        <v>961608</v>
      </c>
      <c r="AH42" s="25" t="n">
        <v>1493398</v>
      </c>
      <c r="AI42" s="25" t="n">
        <v>2256724</v>
      </c>
      <c r="AJ42" s="25" t="n">
        <v>3653384</v>
      </c>
      <c r="AK42" s="25" t="n">
        <v>5886692</v>
      </c>
      <c r="AL42" s="25" t="n">
        <v>10352216</v>
      </c>
      <c r="AM42" s="25" t="n">
        <v>3761561.23</v>
      </c>
      <c r="AN42" s="25" t="n">
        <v>6037305.78</v>
      </c>
      <c r="AO42" s="25" t="n">
        <v>5642341.85</v>
      </c>
      <c r="AP42" s="25" t="n">
        <v>603730.58</v>
      </c>
      <c r="AQ42" s="25" t="n">
        <v>564234.19</v>
      </c>
      <c r="AR42" s="25" t="n">
        <v>307353.75</v>
      </c>
      <c r="AS42" s="25" t="n">
        <v>394963.93</v>
      </c>
      <c r="AT42" s="25" t="n">
        <v>301865.29</v>
      </c>
      <c r="AU42" s="25" t="n">
        <v>282117.09</v>
      </c>
      <c r="AV42" s="25" t="n">
        <v>26243.75</v>
      </c>
      <c r="AW42" s="25" t="n">
        <v>20950.04</v>
      </c>
      <c r="AX42" s="25" t="n">
        <v>14944.36</v>
      </c>
      <c r="AY42" s="25" t="n">
        <v>13966.69</v>
      </c>
      <c r="AZ42" s="25" t="n">
        <v>58900.54</v>
      </c>
      <c r="BA42" s="25" t="n">
        <v>0</v>
      </c>
      <c r="BB42" s="25" t="n">
        <v>5439.01</v>
      </c>
      <c r="BC42" s="25" t="n">
        <v>0</v>
      </c>
      <c r="BD42" s="25" t="n">
        <v>359.36</v>
      </c>
      <c r="BE42" s="25" t="n">
        <v>0</v>
      </c>
      <c r="BF42" s="25" t="n">
        <f aca="false">SUM(BE42,BC42,BA42,AY42,AW42,AU42,AS42,AQ42,AO42)</f>
        <v>6918573.79</v>
      </c>
      <c r="BG42" s="25" t="n">
        <v>42862.64</v>
      </c>
      <c r="BH42" s="25" t="n">
        <v>20484.48</v>
      </c>
      <c r="BI42" s="25" t="n">
        <v>13699</v>
      </c>
      <c r="BJ42" s="25" t="n">
        <v>12802.8</v>
      </c>
      <c r="BK42" s="25" t="n">
        <v>9962.91</v>
      </c>
      <c r="BL42" s="25" t="n">
        <v>9311.13</v>
      </c>
      <c r="BM42" s="25" t="n">
        <v>34870.17</v>
      </c>
      <c r="BN42" s="25" t="n">
        <v>32588.95</v>
      </c>
      <c r="BO42" s="25" t="n">
        <v>18869.14</v>
      </c>
      <c r="BP42" s="25" t="n">
        <v>0</v>
      </c>
      <c r="BQ42" s="25" t="n">
        <v>170891.52</v>
      </c>
      <c r="BR42" s="25" t="n">
        <v>159711.7</v>
      </c>
      <c r="BS42" s="25" t="n">
        <v>5996.19</v>
      </c>
      <c r="BT42" s="25" t="n">
        <v>5884.12</v>
      </c>
      <c r="BU42" s="25" t="n">
        <v>150932.64</v>
      </c>
      <c r="BV42" s="25" t="n">
        <v>141058.55</v>
      </c>
      <c r="BW42" s="25" t="n">
        <v>16737.68</v>
      </c>
      <c r="BX42" s="25" t="n">
        <v>8147.24</v>
      </c>
      <c r="BY42" s="25" t="n">
        <v>4427.96</v>
      </c>
      <c r="BZ42" s="25" t="n">
        <v>9311.13</v>
      </c>
      <c r="CA42" s="25" t="n">
        <v>24409.12</v>
      </c>
      <c r="CB42" s="25" t="n">
        <v>22812.26</v>
      </c>
      <c r="CC42" s="25" t="n">
        <v>1548009.07</v>
      </c>
      <c r="CD42" s="25" t="n">
        <v>530470.4</v>
      </c>
      <c r="CE42" s="25" t="n">
        <v>60373.06</v>
      </c>
      <c r="CF42" s="25" t="n">
        <v>56423.42</v>
      </c>
      <c r="CG42" s="25" t="n">
        <f aca="false">SUM(CF42,CD42,CB42,BZ42,BX42,BV42,BT42,BR42,BP42,BN42,BL42,BJ42,BH42)</f>
        <v>1009006.18</v>
      </c>
      <c r="CH42" s="25" t="n">
        <f aca="false">CG42+BF42</f>
        <v>7927579.97</v>
      </c>
      <c r="CI42" s="25" t="n">
        <f aca="false">SUM(CE42,CC42,CA42,BY42,BW42,BU42,BS42,BQ42,BO42,BM42,BK42,BI42,BG42,BD42,BB42,AZ42,AX42,AV42,AT42,AR42,AP42,AN42)</f>
        <v>9458183.52</v>
      </c>
      <c r="CJ42" s="25" t="n">
        <f aca="false">CI42-CH42</f>
        <v>1530603.55</v>
      </c>
      <c r="CK42" s="25" t="n">
        <f aca="false">IF(CE42-CF42+CC42-CD42+CA42-CB42+BU42-BV42+BK42-BL42+BI42-BJ42 &gt; 0, CE42-CF42+CC42-CD42+CA42-CB42+BU42-BV42+BK42-BL42+BI42-BJ42, "-")</f>
        <v>1034507.24</v>
      </c>
      <c r="CL42" s="25" t="str">
        <f aca="false">IF(CJ42&lt;0,"⚠ Over Budget","✓ Within Budget")</f>
        <v>✓ Within Budget</v>
      </c>
      <c r="CM42" s="27"/>
    </row>
    <row r="43" customFormat="false" ht="14.25" hidden="false" customHeight="false" outlineLevel="0" collapsed="false">
      <c r="A43" s="16" t="s">
        <v>98</v>
      </c>
      <c r="B43" s="16" t="n">
        <v>2025</v>
      </c>
      <c r="C43" s="16" t="n">
        <v>23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23</v>
      </c>
      <c r="T43" s="16" t="n">
        <v>6</v>
      </c>
      <c r="U43" s="16" t="n">
        <v>17</v>
      </c>
      <c r="V43" s="16" t="n">
        <v>23</v>
      </c>
      <c r="W43" s="16" t="n">
        <v>0</v>
      </c>
      <c r="X43" s="16" t="n">
        <v>2</v>
      </c>
      <c r="Y43" s="16" t="n">
        <v>5</v>
      </c>
      <c r="Z43" s="16" t="n">
        <v>7</v>
      </c>
      <c r="AA43" s="16" t="n">
        <v>6</v>
      </c>
      <c r="AB43" s="16" t="n">
        <v>2</v>
      </c>
      <c r="AC43" s="16" t="n">
        <v>1</v>
      </c>
      <c r="AD43" s="17" t="n">
        <v>0</v>
      </c>
      <c r="AE43" s="17" t="n">
        <v>0</v>
      </c>
      <c r="AF43" s="18" t="n">
        <v>57.6</v>
      </c>
      <c r="AG43" s="19" t="n">
        <v>961608</v>
      </c>
      <c r="AH43" s="19" t="n">
        <v>1493398</v>
      </c>
      <c r="AI43" s="19" t="n">
        <v>2256724</v>
      </c>
      <c r="AJ43" s="19" t="n">
        <v>3653384</v>
      </c>
      <c r="AK43" s="19" t="n">
        <v>5886692</v>
      </c>
      <c r="AL43" s="19" t="n">
        <v>10352216</v>
      </c>
      <c r="AM43" s="19" t="n">
        <v>3761561.23</v>
      </c>
      <c r="AN43" s="19" t="n">
        <v>6037305.78</v>
      </c>
      <c r="AO43" s="19" t="n">
        <v>5642341.85</v>
      </c>
      <c r="AP43" s="19" t="n">
        <v>603730.58</v>
      </c>
      <c r="AQ43" s="19" t="n">
        <v>564234.19</v>
      </c>
      <c r="AR43" s="19" t="n">
        <v>21953.84</v>
      </c>
      <c r="AS43" s="19" t="n">
        <v>0</v>
      </c>
      <c r="AT43" s="19" t="n">
        <v>301865.29</v>
      </c>
      <c r="AU43" s="19" t="n">
        <v>282117.09</v>
      </c>
      <c r="AV43" s="19" t="n">
        <v>28430.73</v>
      </c>
      <c r="AW43" s="19" t="n">
        <v>20950.04</v>
      </c>
      <c r="AX43" s="19" t="n">
        <v>14944.36</v>
      </c>
      <c r="AY43" s="19" t="n">
        <v>13966.69</v>
      </c>
      <c r="AZ43" s="19" t="n">
        <v>17670.16</v>
      </c>
      <c r="BA43" s="19" t="n">
        <v>0</v>
      </c>
      <c r="BB43" s="19" t="n">
        <v>2175.61</v>
      </c>
      <c r="BC43" s="19" t="n">
        <v>0</v>
      </c>
      <c r="BD43" s="19" t="n">
        <v>359.36</v>
      </c>
      <c r="BE43" s="19" t="n">
        <v>0</v>
      </c>
      <c r="BF43" s="19" t="n">
        <f aca="false">SUM(BE43,BC43,BA43,AY43,AW43,AU43,AS43,AQ43,AO43)</f>
        <v>6523609.86</v>
      </c>
      <c r="BG43" s="19" t="n">
        <v>28693.17</v>
      </c>
      <c r="BH43" s="19" t="n">
        <v>16760.03</v>
      </c>
      <c r="BI43" s="19" t="n">
        <v>13699</v>
      </c>
      <c r="BJ43" s="19" t="n">
        <v>12802.8</v>
      </c>
      <c r="BK43" s="19" t="n">
        <v>9962.91</v>
      </c>
      <c r="BL43" s="19" t="n">
        <v>9311.13</v>
      </c>
      <c r="BM43" s="19" t="n">
        <v>34870.17</v>
      </c>
      <c r="BN43" s="19" t="n">
        <v>32588.95</v>
      </c>
      <c r="BO43" s="19" t="n">
        <v>7547.66</v>
      </c>
      <c r="BP43" s="19" t="n">
        <v>0</v>
      </c>
      <c r="BQ43" s="19" t="n">
        <v>170891.52</v>
      </c>
      <c r="BR43" s="19" t="n">
        <v>159711.7</v>
      </c>
      <c r="BS43" s="19" t="n">
        <v>6595.81</v>
      </c>
      <c r="BT43" s="19" t="n">
        <v>5884.12</v>
      </c>
      <c r="BU43" s="19" t="n">
        <v>150932.64</v>
      </c>
      <c r="BV43" s="19" t="n">
        <v>141058.55</v>
      </c>
      <c r="BW43" s="19" t="n">
        <v>12553.26</v>
      </c>
      <c r="BX43" s="19" t="n">
        <v>8147.24</v>
      </c>
      <c r="BY43" s="19" t="n">
        <v>4427.96</v>
      </c>
      <c r="BZ43" s="19" t="n">
        <v>9311.13</v>
      </c>
      <c r="CA43" s="19" t="n">
        <v>24409.12</v>
      </c>
      <c r="CB43" s="19" t="n">
        <v>22812.26</v>
      </c>
      <c r="CC43" s="19" t="n">
        <v>158067.64</v>
      </c>
      <c r="CD43" s="19" t="n">
        <v>169270.26</v>
      </c>
      <c r="CE43" s="19" t="n">
        <v>60373.06</v>
      </c>
      <c r="CF43" s="19" t="n">
        <v>56423.42</v>
      </c>
      <c r="CG43" s="19" t="n">
        <f aca="false">SUM(CF43,CD43,CB43,BZ43,BX43,BV43,BT43,BR43,BP43,BN43,BL43,BJ43,BH43)</f>
        <v>644081.59</v>
      </c>
      <c r="CH43" s="19" t="n">
        <f aca="false">CG43+BF43</f>
        <v>7167691.45</v>
      </c>
      <c r="CI43" s="19" t="n">
        <f aca="false">SUM(CE43,CC43,CA43,BY43,BW43,BU43,BS43,BQ43,BO43,BM43,BK43,BI43,BG43,BD43,BB43,AZ43,AX43,AV43,AT43,AR43,AP43,AN43)</f>
        <v>7711459.63</v>
      </c>
      <c r="CJ43" s="19" t="n">
        <f aca="false">CI43-CH43</f>
        <v>543768.180000001</v>
      </c>
      <c r="CK43" s="19" t="n">
        <f aca="false">IF(CE43-CF43+CC43-CD43+CA43-CB43+BU43-BV43+BK43-BL43+BI43-BJ43 &gt; 0, CE43-CF43+CC43-CD43+CA43-CB43+BU43-BV43+BK43-BL43+BI43-BJ43, "-")</f>
        <v>5765.95000000003</v>
      </c>
      <c r="CL43" s="19" t="str">
        <f aca="false">IF(CJ43&lt;0,"⚠ Over Budget","✓ Within Budget")</f>
        <v>✓ Within Budget</v>
      </c>
      <c r="CM43" s="21"/>
    </row>
    <row r="44" customFormat="false" ht="14.25" hidden="false" customHeight="false" outlineLevel="0" collapsed="false">
      <c r="A44" s="22" t="s">
        <v>99</v>
      </c>
      <c r="B44" s="22" t="n">
        <v>2025</v>
      </c>
      <c r="C44" s="22" t="n">
        <v>23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23</v>
      </c>
      <c r="T44" s="22" t="n">
        <v>6</v>
      </c>
      <c r="U44" s="22" t="n">
        <v>17</v>
      </c>
      <c r="V44" s="22" t="n">
        <v>23</v>
      </c>
      <c r="W44" s="22" t="n">
        <v>0</v>
      </c>
      <c r="X44" s="22" t="n">
        <v>2</v>
      </c>
      <c r="Y44" s="22" t="n">
        <v>5</v>
      </c>
      <c r="Z44" s="22" t="n">
        <v>7</v>
      </c>
      <c r="AA44" s="22" t="n">
        <v>6</v>
      </c>
      <c r="AB44" s="22" t="n">
        <v>2</v>
      </c>
      <c r="AC44" s="22" t="n">
        <v>1</v>
      </c>
      <c r="AD44" s="23" t="n">
        <v>0</v>
      </c>
      <c r="AE44" s="23" t="n">
        <v>0</v>
      </c>
      <c r="AF44" s="24" t="n">
        <v>57.9</v>
      </c>
      <c r="AG44" s="25" t="n">
        <v>961608</v>
      </c>
      <c r="AH44" s="25" t="n">
        <v>1493398</v>
      </c>
      <c r="AI44" s="25" t="n">
        <v>2256724</v>
      </c>
      <c r="AJ44" s="25" t="n">
        <v>3653384</v>
      </c>
      <c r="AK44" s="25" t="n">
        <v>5886692</v>
      </c>
      <c r="AL44" s="25" t="n">
        <v>10352216</v>
      </c>
      <c r="AM44" s="25" t="n">
        <v>3761561.23</v>
      </c>
      <c r="AN44" s="25" t="n">
        <v>6037305.78</v>
      </c>
      <c r="AO44" s="25" t="n">
        <v>5642341.85</v>
      </c>
      <c r="AP44" s="25" t="n">
        <v>603730.58</v>
      </c>
      <c r="AQ44" s="25" t="n">
        <v>564234.19</v>
      </c>
      <c r="AR44" s="25" t="n">
        <v>21953.84</v>
      </c>
      <c r="AS44" s="25" t="n">
        <v>0</v>
      </c>
      <c r="AT44" s="25" t="n">
        <v>301865.29</v>
      </c>
      <c r="AU44" s="25" t="n">
        <v>282117.09</v>
      </c>
      <c r="AV44" s="25" t="n">
        <v>32804.69</v>
      </c>
      <c r="AW44" s="25" t="n">
        <v>20950.04</v>
      </c>
      <c r="AX44" s="25" t="n">
        <v>14944.36</v>
      </c>
      <c r="AY44" s="25" t="n">
        <v>13966.69</v>
      </c>
      <c r="AZ44" s="25" t="n">
        <v>17670.16</v>
      </c>
      <c r="BA44" s="25" t="n">
        <v>0</v>
      </c>
      <c r="BB44" s="25" t="n">
        <v>3263.41</v>
      </c>
      <c r="BC44" s="25" t="n">
        <v>0</v>
      </c>
      <c r="BD44" s="25" t="n">
        <v>718.73</v>
      </c>
      <c r="BE44" s="25" t="n">
        <v>0</v>
      </c>
      <c r="BF44" s="25" t="n">
        <f aca="false">SUM(BE44,BC44,BA44,AY44,AW44,AU44,AS44,AQ44,AO44)</f>
        <v>6523609.86</v>
      </c>
      <c r="BG44" s="25" t="n">
        <v>4959.31</v>
      </c>
      <c r="BH44" s="25" t="n">
        <v>6517.79</v>
      </c>
      <c r="BI44" s="25" t="n">
        <v>13699</v>
      </c>
      <c r="BJ44" s="25" t="n">
        <v>12802.8</v>
      </c>
      <c r="BK44" s="25" t="n">
        <v>9962.91</v>
      </c>
      <c r="BL44" s="25" t="n">
        <v>9311.13</v>
      </c>
      <c r="BM44" s="25" t="n">
        <v>34870.17</v>
      </c>
      <c r="BN44" s="25" t="n">
        <v>32588.95</v>
      </c>
      <c r="BO44" s="25" t="n">
        <v>3773.83</v>
      </c>
      <c r="BP44" s="25" t="n">
        <v>0</v>
      </c>
      <c r="BQ44" s="25" t="n">
        <v>170891.52</v>
      </c>
      <c r="BR44" s="25" t="n">
        <v>159711.7</v>
      </c>
      <c r="BS44" s="25" t="n">
        <v>7795.05</v>
      </c>
      <c r="BT44" s="25" t="n">
        <v>5884.12</v>
      </c>
      <c r="BU44" s="25" t="n">
        <v>150932.64</v>
      </c>
      <c r="BV44" s="25" t="n">
        <v>141058.55</v>
      </c>
      <c r="BW44" s="25" t="n">
        <v>8368.84</v>
      </c>
      <c r="BX44" s="25" t="n">
        <v>8147.24</v>
      </c>
      <c r="BY44" s="25" t="n">
        <v>108111.17</v>
      </c>
      <c r="BZ44" s="25" t="n">
        <v>45467.31</v>
      </c>
      <c r="CA44" s="25" t="n">
        <v>24409.12</v>
      </c>
      <c r="CB44" s="25" t="n">
        <v>22812.26</v>
      </c>
      <c r="CC44" s="25" t="n">
        <v>98792.28</v>
      </c>
      <c r="CD44" s="25" t="n">
        <v>169270.26</v>
      </c>
      <c r="CE44" s="25" t="n">
        <v>60373.06</v>
      </c>
      <c r="CF44" s="25" t="n">
        <v>56423.42</v>
      </c>
      <c r="CG44" s="25" t="n">
        <f aca="false">SUM(CF44,CD44,CB44,BZ44,BX44,BV44,BT44,BR44,BP44,BN44,BL44,BJ44,BH44)</f>
        <v>669995.53</v>
      </c>
      <c r="CH44" s="25" t="n">
        <f aca="false">CG44+BF44</f>
        <v>7193605.39</v>
      </c>
      <c r="CI44" s="25" t="n">
        <f aca="false">SUM(CE44,CC44,CA44,BY44,BW44,BU44,BS44,BQ44,BO44,BM44,BK44,BI44,BG44,BD44,BB44,AZ44,AX44,AV44,AT44,AR44,AP44,AN44)</f>
        <v>7731195.74</v>
      </c>
      <c r="CJ44" s="25" t="n">
        <f aca="false">CI44-CH44</f>
        <v>537590.350000001</v>
      </c>
      <c r="CK44" s="25" t="str">
        <f aca="false">IF(CE44-CF44+CC44-CD44+CA44-CB44+BU44-BV44+BK44-BL44+BI44-BJ44 &gt; 0, CE44-CF44+CC44-CD44+CA44-CB44+BU44-BV44+BK44-BL44+BI44-BJ44, "-")</f>
        <v>-</v>
      </c>
      <c r="CL44" s="25" t="str">
        <f aca="false">IF(CJ44&lt;0,"⚠ Over Budget","✓ Within Budget")</f>
        <v>✓ Within Budget</v>
      </c>
      <c r="CM44" s="27"/>
    </row>
    <row r="45" customFormat="false" ht="14.25" hidden="false" customHeight="false" outlineLevel="0" collapsed="false">
      <c r="A45" s="16" t="s">
        <v>100</v>
      </c>
      <c r="B45" s="16" t="n">
        <v>2025</v>
      </c>
      <c r="C45" s="16" t="n">
        <v>23</v>
      </c>
      <c r="D45" s="16" t="n">
        <v>0</v>
      </c>
      <c r="E45" s="16" t="n">
        <v>1</v>
      </c>
      <c r="F45" s="16" t="n">
        <v>1</v>
      </c>
      <c r="G45" s="16" t="n">
        <v>0</v>
      </c>
      <c r="H45" s="16" t="n">
        <v>0</v>
      </c>
      <c r="I45" s="16" t="n">
        <v>0</v>
      </c>
      <c r="J45" s="16" t="n">
        <v>2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25</v>
      </c>
      <c r="T45" s="16" t="n">
        <v>6</v>
      </c>
      <c r="U45" s="16" t="n">
        <v>19</v>
      </c>
      <c r="V45" s="16" t="n">
        <v>25</v>
      </c>
      <c r="W45" s="16" t="n">
        <v>0</v>
      </c>
      <c r="X45" s="16" t="n">
        <v>2</v>
      </c>
      <c r="Y45" s="16" t="n">
        <v>6</v>
      </c>
      <c r="Z45" s="16" t="n">
        <v>8</v>
      </c>
      <c r="AA45" s="16" t="n">
        <v>6</v>
      </c>
      <c r="AB45" s="16" t="n">
        <v>2</v>
      </c>
      <c r="AC45" s="16" t="n">
        <v>1</v>
      </c>
      <c r="AD45" s="17" t="n">
        <v>0</v>
      </c>
      <c r="AE45" s="17" t="n">
        <v>0</v>
      </c>
      <c r="AF45" s="18" t="n">
        <v>58.4</v>
      </c>
      <c r="AG45" s="19" t="n">
        <v>961608</v>
      </c>
      <c r="AH45" s="19" t="n">
        <v>1493398</v>
      </c>
      <c r="AI45" s="19" t="n">
        <v>2256724</v>
      </c>
      <c r="AJ45" s="19" t="n">
        <v>3653384</v>
      </c>
      <c r="AK45" s="19" t="n">
        <v>5886692</v>
      </c>
      <c r="AL45" s="19" t="n">
        <v>10352216</v>
      </c>
      <c r="AM45" s="19" t="n">
        <v>3761561.23</v>
      </c>
      <c r="AN45" s="19" t="n">
        <v>6708117.53</v>
      </c>
      <c r="AO45" s="19" t="n">
        <v>6269268.72</v>
      </c>
      <c r="AP45" s="19" t="n">
        <v>670811.75</v>
      </c>
      <c r="AQ45" s="19" t="n">
        <v>626926.87</v>
      </c>
      <c r="AR45" s="19" t="n">
        <v>24393.15</v>
      </c>
      <c r="AS45" s="19" t="n">
        <v>0</v>
      </c>
      <c r="AT45" s="19" t="n">
        <v>335405.88</v>
      </c>
      <c r="AU45" s="19" t="n">
        <v>313463.44</v>
      </c>
      <c r="AV45" s="19" t="n">
        <v>29159.73</v>
      </c>
      <c r="AW45" s="19" t="n">
        <v>23277.82</v>
      </c>
      <c r="AX45" s="19" t="n">
        <v>16604.84</v>
      </c>
      <c r="AY45" s="19" t="n">
        <v>15518.55</v>
      </c>
      <c r="AZ45" s="19" t="n">
        <v>16361.26</v>
      </c>
      <c r="BA45" s="19" t="n">
        <v>0</v>
      </c>
      <c r="BB45" s="19" t="n">
        <v>108780.28</v>
      </c>
      <c r="BC45" s="19" t="n">
        <v>62692.69</v>
      </c>
      <c r="BD45" s="19" t="n">
        <v>1078.09</v>
      </c>
      <c r="BE45" s="19" t="n">
        <v>0</v>
      </c>
      <c r="BF45" s="19" t="n">
        <f aca="false">SUM(BE45,BC45,BA45,AY45,AW45,AU45,AS45,AQ45,AO45)</f>
        <v>7311148.09</v>
      </c>
      <c r="BG45" s="19" t="n">
        <v>4132.76</v>
      </c>
      <c r="BH45" s="19" t="n">
        <v>7241.99</v>
      </c>
      <c r="BI45" s="19" t="n">
        <v>15221.11</v>
      </c>
      <c r="BJ45" s="19" t="n">
        <v>14225.33</v>
      </c>
      <c r="BK45" s="19" t="n">
        <v>11069.9</v>
      </c>
      <c r="BL45" s="19" t="n">
        <v>10345.7</v>
      </c>
      <c r="BM45" s="19" t="n">
        <v>38744.64</v>
      </c>
      <c r="BN45" s="19" t="n">
        <v>36209.94</v>
      </c>
      <c r="BO45" s="19" t="n">
        <v>264167.97</v>
      </c>
      <c r="BP45" s="19" t="n">
        <v>90524.85</v>
      </c>
      <c r="BQ45" s="19" t="n">
        <v>197182.52</v>
      </c>
      <c r="BR45" s="19" t="n">
        <v>184282.73</v>
      </c>
      <c r="BS45" s="19" t="n">
        <v>8994.29</v>
      </c>
      <c r="BT45" s="19" t="n">
        <v>6789.36</v>
      </c>
      <c r="BU45" s="19" t="n">
        <v>167702.94</v>
      </c>
      <c r="BV45" s="19" t="n">
        <v>156731.72</v>
      </c>
      <c r="BW45" s="19" t="n">
        <v>4649.36</v>
      </c>
      <c r="BX45" s="19" t="n">
        <v>9052.48</v>
      </c>
      <c r="BY45" s="19" t="n">
        <v>4919.95</v>
      </c>
      <c r="BZ45" s="19" t="n">
        <v>10345.7</v>
      </c>
      <c r="CA45" s="19" t="n">
        <v>27121.24</v>
      </c>
      <c r="CB45" s="19" t="n">
        <v>25346.96</v>
      </c>
      <c r="CC45" s="19" t="n">
        <v>109769.2</v>
      </c>
      <c r="CD45" s="19" t="n">
        <v>188078.06</v>
      </c>
      <c r="CE45" s="19" t="n">
        <v>67081.18</v>
      </c>
      <c r="CF45" s="19" t="n">
        <v>62692.69</v>
      </c>
      <c r="CG45" s="19" t="n">
        <f aca="false">SUM(CF45,CD45,CB45,BZ45,BX45,BV45,BT45,BR45,BP45,BN45,BL45,BJ45,BH45)</f>
        <v>801867.51</v>
      </c>
      <c r="CH45" s="19" t="n">
        <f aca="false">CG45+BF45</f>
        <v>8113015.6</v>
      </c>
      <c r="CI45" s="19" t="n">
        <f aca="false">SUM(CE45,CC45,CA45,BY45,BW45,BU45,BS45,BQ45,BO45,BM45,BK45,BI45,BG45,BD45,BB45,AZ45,AX45,AV45,AT45,AR45,AP45,AN45)</f>
        <v>8831469.57</v>
      </c>
      <c r="CJ45" s="19" t="n">
        <f aca="false">CI45-CH45</f>
        <v>718453.970000001</v>
      </c>
      <c r="CK45" s="19" t="str">
        <f aca="false">IF(CE45-CF45+CC45-CD45+CA45-CB45+BU45-BV45+BK45-BL45+BI45-BJ45 &gt; 0, CE45-CF45+CC45-CD45+CA45-CB45+BU45-BV45+BK45-BL45+BI45-BJ45, "-")</f>
        <v>-</v>
      </c>
      <c r="CL45" s="19" t="str">
        <f aca="false">IF(CJ45&lt;0,"⚠ Over Budget","✓ Within Budget")</f>
        <v>✓ Within Budget</v>
      </c>
      <c r="CM45" s="21"/>
    </row>
    <row r="46" customFormat="false" ht="14.25" hidden="false" customHeight="false" outlineLevel="0" collapsed="false">
      <c r="A46" s="22" t="s">
        <v>101</v>
      </c>
      <c r="B46" s="22" t="n">
        <v>2025</v>
      </c>
      <c r="C46" s="22" t="n">
        <v>25</v>
      </c>
      <c r="D46" s="22" t="n">
        <v>1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1</v>
      </c>
      <c r="J46" s="22" t="n">
        <v>1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26</v>
      </c>
      <c r="T46" s="22" t="n">
        <v>7</v>
      </c>
      <c r="U46" s="22" t="n">
        <v>19</v>
      </c>
      <c r="V46" s="22" t="n">
        <v>26</v>
      </c>
      <c r="W46" s="22" t="n">
        <v>0</v>
      </c>
      <c r="X46" s="22" t="n">
        <v>3</v>
      </c>
      <c r="Y46" s="22" t="n">
        <v>6</v>
      </c>
      <c r="Z46" s="22" t="n">
        <v>8</v>
      </c>
      <c r="AA46" s="22" t="n">
        <v>6</v>
      </c>
      <c r="AB46" s="22" t="n">
        <v>2</v>
      </c>
      <c r="AC46" s="22" t="n">
        <v>1</v>
      </c>
      <c r="AD46" s="23" t="n">
        <v>0</v>
      </c>
      <c r="AE46" s="23" t="n">
        <v>0</v>
      </c>
      <c r="AF46" s="24" t="n">
        <v>58.8</v>
      </c>
      <c r="AG46" s="25" t="n">
        <v>961608</v>
      </c>
      <c r="AH46" s="25" t="n">
        <v>1493398</v>
      </c>
      <c r="AI46" s="25" t="n">
        <v>2256724</v>
      </c>
      <c r="AJ46" s="25" t="n">
        <v>3653384</v>
      </c>
      <c r="AK46" s="25" t="n">
        <v>5886692</v>
      </c>
      <c r="AL46" s="25" t="n">
        <v>10352216</v>
      </c>
      <c r="AM46" s="25" t="n">
        <v>3761561.23</v>
      </c>
      <c r="AN46" s="25" t="n">
        <v>7043523.41</v>
      </c>
      <c r="AO46" s="25" t="n">
        <v>6582732.16</v>
      </c>
      <c r="AP46" s="25" t="n">
        <v>704352.34</v>
      </c>
      <c r="AQ46" s="25" t="n">
        <v>658273.22</v>
      </c>
      <c r="AR46" s="25" t="n">
        <v>25612.81</v>
      </c>
      <c r="AS46" s="25" t="n">
        <v>0</v>
      </c>
      <c r="AT46" s="25" t="n">
        <v>352176.17</v>
      </c>
      <c r="AU46" s="25" t="n">
        <v>329136.61</v>
      </c>
      <c r="AV46" s="25" t="n">
        <v>25514.76</v>
      </c>
      <c r="AW46" s="25" t="n">
        <v>24441.71</v>
      </c>
      <c r="AX46" s="25" t="n">
        <v>17435.09</v>
      </c>
      <c r="AY46" s="25" t="n">
        <v>16294.47</v>
      </c>
      <c r="AZ46" s="25" t="n">
        <v>17179.33</v>
      </c>
      <c r="BA46" s="25" t="n">
        <v>0</v>
      </c>
      <c r="BB46" s="25" t="n">
        <v>108780.28</v>
      </c>
      <c r="BC46" s="25" t="n">
        <v>62692.69</v>
      </c>
      <c r="BD46" s="25" t="n">
        <v>323427.1</v>
      </c>
      <c r="BE46" s="25" t="n">
        <v>188078.06</v>
      </c>
      <c r="BF46" s="25" t="n">
        <f aca="false">SUM(BE46,BC46,BA46,AY46,AW46,AU46,AS46,AQ46,AO46)</f>
        <v>7861648.92</v>
      </c>
      <c r="BG46" s="25" t="n">
        <v>23246.78</v>
      </c>
      <c r="BH46" s="25" t="n">
        <v>16294.47</v>
      </c>
      <c r="BI46" s="25" t="n">
        <v>15982.16</v>
      </c>
      <c r="BJ46" s="25" t="n">
        <v>14936.6</v>
      </c>
      <c r="BK46" s="25" t="n">
        <v>11623.39</v>
      </c>
      <c r="BL46" s="25" t="n">
        <v>10862.98</v>
      </c>
      <c r="BM46" s="25" t="n">
        <v>40681.87</v>
      </c>
      <c r="BN46" s="25" t="n">
        <v>38020.44</v>
      </c>
      <c r="BO46" s="25" t="n">
        <v>105667.19</v>
      </c>
      <c r="BP46" s="25" t="n">
        <v>90524.85</v>
      </c>
      <c r="BQ46" s="25" t="n">
        <v>197182.52</v>
      </c>
      <c r="BR46" s="25" t="n">
        <v>184282.73</v>
      </c>
      <c r="BS46" s="25" t="n">
        <v>8994.29</v>
      </c>
      <c r="BT46" s="25" t="n">
        <v>6789.36</v>
      </c>
      <c r="BU46" s="25" t="n">
        <v>176088.09</v>
      </c>
      <c r="BV46" s="25" t="n">
        <v>164568.3</v>
      </c>
      <c r="BW46" s="25" t="n">
        <v>9763.65</v>
      </c>
      <c r="BX46" s="25" t="n">
        <v>9505.11</v>
      </c>
      <c r="BY46" s="25" t="n">
        <v>14924.79</v>
      </c>
      <c r="BZ46" s="25" t="n">
        <v>26153.25</v>
      </c>
      <c r="CA46" s="25" t="n">
        <v>28477.31</v>
      </c>
      <c r="CB46" s="25" t="n">
        <v>26614.31</v>
      </c>
      <c r="CC46" s="25" t="n">
        <v>115257.66</v>
      </c>
      <c r="CD46" s="25" t="n">
        <v>197481.96</v>
      </c>
      <c r="CE46" s="25" t="n">
        <v>70435.23</v>
      </c>
      <c r="CF46" s="25" t="n">
        <v>65827.32</v>
      </c>
      <c r="CG46" s="25" t="n">
        <f aca="false">SUM(CF46,CD46,CB46,BZ46,BX46,BV46,BT46,BR46,BP46,BN46,BL46,BJ46,BH46)</f>
        <v>851861.68</v>
      </c>
      <c r="CH46" s="25" t="n">
        <f aca="false">CG46+BF46</f>
        <v>8713510.6</v>
      </c>
      <c r="CI46" s="25" t="n">
        <f aca="false">SUM(CE46,CC46,CA46,BY46,BW46,BU46,BS46,BQ46,BO46,BM46,BK46,BI46,BG46,BD46,BB46,AZ46,AX46,AV46,AT46,AR46,AP46,AN46)</f>
        <v>9436326.22</v>
      </c>
      <c r="CJ46" s="25" t="n">
        <f aca="false">CI46-CH46</f>
        <v>722815.620000001</v>
      </c>
      <c r="CK46" s="25" t="str">
        <f aca="false">IF(CE46-CF46+CC46-CD46+CA46-CB46+BU46-BV46+BK46-BL46+BI46-BJ46 &gt; 0, CE46-CF46+CC46-CD46+CA46-CB46+BU46-BV46+BK46-BL46+BI46-BJ46, "-")</f>
        <v>-</v>
      </c>
      <c r="CL46" s="25" t="str">
        <f aca="false">IF(CJ46&lt;0,"⚠ Over Budget","✓ Within Budget")</f>
        <v>✓ Within Budget</v>
      </c>
      <c r="CM46" s="27"/>
    </row>
    <row r="47" customFormat="false" ht="14.25" hidden="false" customHeight="false" outlineLevel="0" collapsed="false">
      <c r="A47" s="16" t="s">
        <v>102</v>
      </c>
      <c r="B47" s="16" t="n">
        <v>2025</v>
      </c>
      <c r="C47" s="16" t="n">
        <v>26</v>
      </c>
      <c r="D47" s="16" t="n">
        <v>1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1</v>
      </c>
      <c r="J47" s="16" t="n">
        <v>1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27</v>
      </c>
      <c r="T47" s="16" t="n">
        <v>8</v>
      </c>
      <c r="U47" s="16" t="n">
        <v>19</v>
      </c>
      <c r="V47" s="16" t="n">
        <v>27</v>
      </c>
      <c r="W47" s="16" t="n">
        <v>0</v>
      </c>
      <c r="X47" s="16" t="n">
        <v>3</v>
      </c>
      <c r="Y47" s="16" t="n">
        <v>6</v>
      </c>
      <c r="Z47" s="16" t="n">
        <v>9</v>
      </c>
      <c r="AA47" s="16" t="n">
        <v>6</v>
      </c>
      <c r="AB47" s="16" t="n">
        <v>2</v>
      </c>
      <c r="AC47" s="16" t="n">
        <v>1</v>
      </c>
      <c r="AD47" s="17" t="n">
        <v>0</v>
      </c>
      <c r="AE47" s="17" t="n">
        <v>0</v>
      </c>
      <c r="AF47" s="18" t="n">
        <v>59.1</v>
      </c>
      <c r="AG47" s="19" t="n">
        <v>961608</v>
      </c>
      <c r="AH47" s="19" t="n">
        <v>1493398</v>
      </c>
      <c r="AI47" s="19" t="n">
        <v>2256724</v>
      </c>
      <c r="AJ47" s="19" t="n">
        <v>3653384</v>
      </c>
      <c r="AK47" s="19" t="n">
        <v>5886692</v>
      </c>
      <c r="AL47" s="19" t="n">
        <v>10352216</v>
      </c>
      <c r="AM47" s="19" t="n">
        <v>3761561.23</v>
      </c>
      <c r="AN47" s="19" t="n">
        <v>6037305.78</v>
      </c>
      <c r="AO47" s="19" t="n">
        <v>5642341.85</v>
      </c>
      <c r="AP47" s="19" t="n">
        <v>603730.58</v>
      </c>
      <c r="AQ47" s="19" t="n">
        <v>564234.19</v>
      </c>
      <c r="AR47" s="19" t="n">
        <v>21953.84</v>
      </c>
      <c r="AS47" s="19" t="n">
        <v>0</v>
      </c>
      <c r="AT47" s="19" t="n">
        <v>301865.29</v>
      </c>
      <c r="AU47" s="19" t="n">
        <v>282117.09</v>
      </c>
      <c r="AV47" s="19" t="n">
        <v>24056.77</v>
      </c>
      <c r="AW47" s="19" t="n">
        <v>20950.04</v>
      </c>
      <c r="AX47" s="19" t="n">
        <v>14944.36</v>
      </c>
      <c r="AY47" s="19" t="n">
        <v>13966.69</v>
      </c>
      <c r="AZ47" s="19" t="n">
        <v>29450.27</v>
      </c>
      <c r="BA47" s="19" t="n">
        <v>0</v>
      </c>
      <c r="BB47" s="19" t="n">
        <v>3263.41</v>
      </c>
      <c r="BC47" s="19" t="n">
        <v>0</v>
      </c>
      <c r="BD47" s="19" t="n">
        <v>107809.03</v>
      </c>
      <c r="BE47" s="19" t="n">
        <v>188078.06</v>
      </c>
      <c r="BF47" s="19" t="n">
        <f aca="false">SUM(BE47,BC47,BA47,AY47,AW47,AU47,AS47,AQ47,AO47)</f>
        <v>6711687.92</v>
      </c>
      <c r="BG47" s="19" t="n">
        <v>28693.17</v>
      </c>
      <c r="BH47" s="19" t="n">
        <v>16760.03</v>
      </c>
      <c r="BI47" s="19" t="n">
        <v>13699</v>
      </c>
      <c r="BJ47" s="19" t="n">
        <v>12802.8</v>
      </c>
      <c r="BK47" s="19" t="n">
        <v>9962.91</v>
      </c>
      <c r="BL47" s="19" t="n">
        <v>9311.13</v>
      </c>
      <c r="BM47" s="19" t="n">
        <v>34870.17</v>
      </c>
      <c r="BN47" s="19" t="n">
        <v>32588.95</v>
      </c>
      <c r="BO47" s="19" t="n">
        <v>3773.83</v>
      </c>
      <c r="BP47" s="19" t="n">
        <v>0</v>
      </c>
      <c r="BQ47" s="19" t="n">
        <v>170891.52</v>
      </c>
      <c r="BR47" s="19" t="n">
        <v>159711.7</v>
      </c>
      <c r="BS47" s="19" t="n">
        <v>6595.81</v>
      </c>
      <c r="BT47" s="19" t="n">
        <v>5884.12</v>
      </c>
      <c r="BU47" s="19" t="n">
        <v>150932.64</v>
      </c>
      <c r="BV47" s="19" t="n">
        <v>141058.55</v>
      </c>
      <c r="BW47" s="19" t="n">
        <v>16737.68</v>
      </c>
      <c r="BX47" s="19" t="n">
        <v>8147.24</v>
      </c>
      <c r="BY47" s="19" t="n">
        <v>4427.96</v>
      </c>
      <c r="BZ47" s="19" t="n">
        <v>9311.13</v>
      </c>
      <c r="CA47" s="19" t="n">
        <v>24409.12</v>
      </c>
      <c r="CB47" s="19" t="n">
        <v>22812.26</v>
      </c>
      <c r="CC47" s="19" t="n">
        <v>118550.73</v>
      </c>
      <c r="CD47" s="19" t="n">
        <v>169270.26</v>
      </c>
      <c r="CE47" s="19" t="n">
        <v>60373.06</v>
      </c>
      <c r="CF47" s="19" t="n">
        <v>56423.42</v>
      </c>
      <c r="CG47" s="19" t="n">
        <f aca="false">SUM(CF47,CD47,CB47,BZ47,BX47,BV47,BT47,BR47,BP47,BN47,BL47,BJ47,BH47)</f>
        <v>644081.59</v>
      </c>
      <c r="CH47" s="19" t="n">
        <f aca="false">CG47+BF47</f>
        <v>7355769.51</v>
      </c>
      <c r="CI47" s="19" t="n">
        <f aca="false">SUM(CE47,CC47,CA47,BY47,BW47,BU47,BS47,BQ47,BO47,BM47,BK47,BI47,BG47,BD47,BB47,AZ47,AX47,AV47,AT47,AR47,AP47,AN47)</f>
        <v>7788296.93</v>
      </c>
      <c r="CJ47" s="19" t="n">
        <f aca="false">CI47-CH47</f>
        <v>432527.420000001</v>
      </c>
      <c r="CK47" s="19" t="str">
        <f aca="false">IF(CE47-CF47+CC47-CD47+CA47-CB47+BU47-BV47+BK47-BL47+BI47-BJ47 &gt; 0, CE47-CF47+CC47-CD47+CA47-CB47+BU47-BV47+BK47-BL47+BI47-BJ47, "-")</f>
        <v>-</v>
      </c>
      <c r="CL47" s="19" t="str">
        <f aca="false">IF(CJ47&lt;0,"⚠ Over Budget","✓ Within Budget")</f>
        <v>✓ Within Budget</v>
      </c>
      <c r="CM47" s="21"/>
    </row>
    <row r="48" customFormat="false" ht="14.25" hidden="false" customHeight="false" outlineLevel="0" collapsed="false">
      <c r="A48" s="28" t="s">
        <v>103</v>
      </c>
      <c r="B48" s="28" t="n">
        <v>2025</v>
      </c>
      <c r="C48" s="28" t="n">
        <v>27</v>
      </c>
      <c r="D48" s="28" t="n">
        <v>0</v>
      </c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0</v>
      </c>
      <c r="N48" s="28" t="n">
        <v>0</v>
      </c>
      <c r="O48" s="28" t="n">
        <v>0</v>
      </c>
      <c r="P48" s="28" t="n">
        <v>0</v>
      </c>
      <c r="Q48" s="28" t="n">
        <v>0</v>
      </c>
      <c r="R48" s="28" t="n">
        <v>0</v>
      </c>
      <c r="S48" s="28" t="n">
        <v>27</v>
      </c>
      <c r="T48" s="28" t="n">
        <v>8</v>
      </c>
      <c r="U48" s="28" t="n">
        <v>19</v>
      </c>
      <c r="V48" s="28" t="n">
        <v>27</v>
      </c>
      <c r="W48" s="28" t="n">
        <v>0</v>
      </c>
      <c r="X48" s="28" t="n">
        <v>3</v>
      </c>
      <c r="Y48" s="28" t="n">
        <v>6</v>
      </c>
      <c r="Z48" s="28" t="n">
        <v>9</v>
      </c>
      <c r="AA48" s="28" t="n">
        <v>6</v>
      </c>
      <c r="AB48" s="28" t="n">
        <v>2</v>
      </c>
      <c r="AC48" s="28" t="n">
        <v>1</v>
      </c>
      <c r="AD48" s="29" t="n">
        <v>0</v>
      </c>
      <c r="AE48" s="29" t="n">
        <v>0.0141937649503877</v>
      </c>
      <c r="AF48" s="30" t="n">
        <v>59.5</v>
      </c>
      <c r="AG48" s="31" t="n">
        <v>977343</v>
      </c>
      <c r="AH48" s="31" t="n">
        <v>1521838</v>
      </c>
      <c r="AI48" s="31" t="n">
        <v>2283022</v>
      </c>
      <c r="AJ48" s="31" t="n">
        <v>3703273</v>
      </c>
      <c r="AK48" s="31" t="n">
        <v>5953191</v>
      </c>
      <c r="AL48" s="31" t="n">
        <v>10470616</v>
      </c>
      <c r="AM48" s="31" t="n">
        <v>3811058.85</v>
      </c>
      <c r="AN48" s="31" t="n">
        <v>6116749.46</v>
      </c>
      <c r="AO48" s="31" t="n">
        <v>5716588.28</v>
      </c>
      <c r="AP48" s="31" t="n">
        <v>611674.95</v>
      </c>
      <c r="AQ48" s="31" t="n">
        <v>571658.83</v>
      </c>
      <c r="AR48" s="31" t="n">
        <v>711767.21</v>
      </c>
      <c r="AS48" s="31" t="n">
        <v>1932272.96</v>
      </c>
      <c r="AT48" s="31" t="n">
        <v>305837.47</v>
      </c>
      <c r="AU48" s="31" t="n">
        <v>285829.41</v>
      </c>
      <c r="AV48" s="31" t="n">
        <v>19682.81</v>
      </c>
      <c r="AW48" s="31" t="n">
        <v>20950.04</v>
      </c>
      <c r="AX48" s="31" t="n">
        <v>14944.36</v>
      </c>
      <c r="AY48" s="31" t="n">
        <v>13966.69</v>
      </c>
      <c r="AZ48" s="31" t="n">
        <v>59675.6</v>
      </c>
      <c r="BA48" s="31" t="n">
        <v>730118.33</v>
      </c>
      <c r="BB48" s="31" t="n">
        <v>3306.35</v>
      </c>
      <c r="BC48" s="31" t="n">
        <v>0</v>
      </c>
      <c r="BD48" s="31" t="n">
        <v>364.09</v>
      </c>
      <c r="BE48" s="31" t="n">
        <v>0</v>
      </c>
      <c r="BF48" s="31" t="n">
        <f aca="false">SUM(BE48,BC48,BA48,AY48,AW48,AU48,AS48,AQ48,AO48)</f>
        <v>9271384.54</v>
      </c>
      <c r="BG48" s="31" t="n">
        <v>17357.6</v>
      </c>
      <c r="BH48" s="31" t="n">
        <v>13035.58</v>
      </c>
      <c r="BI48" s="31" t="n">
        <v>13699</v>
      </c>
      <c r="BJ48" s="31" t="n">
        <v>12802.8</v>
      </c>
      <c r="BK48" s="31" t="n">
        <v>9962.91</v>
      </c>
      <c r="BL48" s="31" t="n">
        <v>9311.13</v>
      </c>
      <c r="BM48" s="31" t="n">
        <v>34870.17</v>
      </c>
      <c r="BN48" s="31" t="n">
        <v>32588.95</v>
      </c>
      <c r="BO48" s="31" t="n">
        <v>3773.83</v>
      </c>
      <c r="BP48" s="31" t="n">
        <v>0</v>
      </c>
      <c r="BQ48" s="31" t="n">
        <v>170891.52</v>
      </c>
      <c r="BR48" s="31" t="n">
        <v>159711.7</v>
      </c>
      <c r="BS48" s="31" t="n">
        <v>5996.19</v>
      </c>
      <c r="BT48" s="31" t="n">
        <v>5884.12</v>
      </c>
      <c r="BU48" s="31" t="n">
        <v>152918.74</v>
      </c>
      <c r="BV48" s="31" t="n">
        <v>142914.71</v>
      </c>
      <c r="BW48" s="31" t="n">
        <v>12553.26</v>
      </c>
      <c r="BX48" s="31" t="n">
        <v>8147.24</v>
      </c>
      <c r="BY48" s="31" t="n">
        <v>179747.63</v>
      </c>
      <c r="BZ48" s="31" t="n">
        <v>59058.44</v>
      </c>
      <c r="CA48" s="31" t="n">
        <v>24409.12</v>
      </c>
      <c r="CB48" s="31" t="n">
        <v>22812.26</v>
      </c>
      <c r="CC48" s="31" t="n">
        <v>160147.62</v>
      </c>
      <c r="CD48" s="31" t="n">
        <v>171497.65</v>
      </c>
      <c r="CE48" s="31" t="n">
        <v>61167.49</v>
      </c>
      <c r="CF48" s="31" t="n">
        <v>57165.88</v>
      </c>
      <c r="CG48" s="31" t="n">
        <f aca="false">SUM(CF48,CD48,CB48,BZ48,BX48,BV48,BT48,BR48,BP48,BN48,BL48,BJ48,BH48)</f>
        <v>694930.46</v>
      </c>
      <c r="CH48" s="31" t="n">
        <f aca="false">CG48+BF48</f>
        <v>9966315</v>
      </c>
      <c r="CI48" s="31" t="n">
        <f aca="false">SUM(CE48,CC48,CA48,BY48,BW48,BU48,BS48,BQ48,BO48,BM48,BK48,BI48,BG48,BD48,BB48,AZ48,AX48,AV48,AT48,AR48,AP48,AN48)</f>
        <v>8691497.38</v>
      </c>
      <c r="CJ48" s="31" t="n">
        <f aca="false">CI48-CH48</f>
        <v>-1274817.62</v>
      </c>
      <c r="CK48" s="31" t="n">
        <f aca="false">IF(CE48-CF48+CC48-CD48+CA48-CB48+BU48-BV48+BK48-BL48+BI48-BJ48 &gt; 0, CE48-CF48+CC48-CD48+CA48-CB48+BU48-BV48+BK48-BL48+BI48-BJ48, "-")</f>
        <v>5800.45</v>
      </c>
      <c r="CL48" s="31" t="str">
        <f aca="false">IF(CJ48&lt;0,"⚠ Over Budget","✓ Within Budget")</f>
        <v>⚠ Over Budget</v>
      </c>
      <c r="CM48" s="33" t="s">
        <v>111</v>
      </c>
    </row>
    <row r="49" customFormat="false" ht="18.75" hidden="false" customHeight="true" outlineLevel="0" collapsed="false">
      <c r="A49" s="28" t="s">
        <v>104</v>
      </c>
      <c r="B49" s="28" t="n">
        <v>2025</v>
      </c>
      <c r="C49" s="28" t="n">
        <v>27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1</v>
      </c>
      <c r="S49" s="28" t="n">
        <v>26</v>
      </c>
      <c r="T49" s="28" t="n">
        <v>7</v>
      </c>
      <c r="U49" s="28" t="n">
        <v>19</v>
      </c>
      <c r="V49" s="28" t="n">
        <v>26</v>
      </c>
      <c r="W49" s="28" t="n">
        <v>0</v>
      </c>
      <c r="X49" s="28" t="n">
        <v>3</v>
      </c>
      <c r="Y49" s="28" t="n">
        <v>6</v>
      </c>
      <c r="Z49" s="28" t="n">
        <v>8</v>
      </c>
      <c r="AA49" s="28" t="n">
        <v>6</v>
      </c>
      <c r="AB49" s="28" t="n">
        <v>2</v>
      </c>
      <c r="AC49" s="28" t="n">
        <v>1</v>
      </c>
      <c r="AD49" s="29" t="n">
        <v>0</v>
      </c>
      <c r="AE49" s="29" t="n">
        <v>0</v>
      </c>
      <c r="AF49" s="30" t="n">
        <v>59.8</v>
      </c>
      <c r="AG49" s="31" t="n">
        <v>977343</v>
      </c>
      <c r="AH49" s="31" t="n">
        <v>1521838</v>
      </c>
      <c r="AI49" s="31" t="n">
        <v>2283022</v>
      </c>
      <c r="AJ49" s="31" t="n">
        <v>3703273</v>
      </c>
      <c r="AK49" s="31" t="n">
        <v>5953191</v>
      </c>
      <c r="AL49" s="31" t="n">
        <v>10470616</v>
      </c>
      <c r="AM49" s="31" t="n">
        <v>3811058.85</v>
      </c>
      <c r="AN49" s="31" t="n">
        <v>6116749.46</v>
      </c>
      <c r="AO49" s="31" t="n">
        <v>5716588.28</v>
      </c>
      <c r="AP49" s="31" t="n">
        <v>611674.95</v>
      </c>
      <c r="AQ49" s="31" t="n">
        <v>571658.83</v>
      </c>
      <c r="AR49" s="31" t="n">
        <v>72288.86</v>
      </c>
      <c r="AS49" s="31" t="n">
        <v>0</v>
      </c>
      <c r="AT49" s="31" t="n">
        <v>305837.47</v>
      </c>
      <c r="AU49" s="31" t="n">
        <v>285829.41</v>
      </c>
      <c r="AV49" s="31" t="n">
        <v>23327.78</v>
      </c>
      <c r="AW49" s="31" t="n">
        <v>27933.38</v>
      </c>
      <c r="AX49" s="31" t="n">
        <v>14944.36</v>
      </c>
      <c r="AY49" s="31" t="n">
        <v>13966.69</v>
      </c>
      <c r="AZ49" s="31" t="n">
        <v>29837.8</v>
      </c>
      <c r="BA49" s="31" t="n">
        <v>0</v>
      </c>
      <c r="BB49" s="31" t="n">
        <v>1102.12</v>
      </c>
      <c r="BC49" s="31" t="n">
        <v>0</v>
      </c>
      <c r="BD49" s="31" t="n">
        <v>364.09</v>
      </c>
      <c r="BE49" s="31" t="n">
        <v>0</v>
      </c>
      <c r="BF49" s="31" t="n">
        <f aca="false">SUM(BE49,BC49,BA49,AY49,AW49,AU49,AS49,AQ49,AO49)</f>
        <v>6615976.59</v>
      </c>
      <c r="BG49" s="31" t="n">
        <v>22671.15</v>
      </c>
      <c r="BH49" s="31" t="n">
        <v>14897.8</v>
      </c>
      <c r="BI49" s="31" t="n">
        <v>13699</v>
      </c>
      <c r="BJ49" s="31" t="n">
        <v>12802.8</v>
      </c>
      <c r="BK49" s="31" t="n">
        <v>9962.91</v>
      </c>
      <c r="BL49" s="31" t="n">
        <v>9311.13</v>
      </c>
      <c r="BM49" s="31" t="n">
        <v>34870.17</v>
      </c>
      <c r="BN49" s="31" t="n">
        <v>32588.95</v>
      </c>
      <c r="BO49" s="31" t="n">
        <v>3773.83</v>
      </c>
      <c r="BP49" s="31" t="n">
        <v>0</v>
      </c>
      <c r="BQ49" s="31" t="n">
        <v>170891.52</v>
      </c>
      <c r="BR49" s="31" t="n">
        <v>159711.7</v>
      </c>
      <c r="BS49" s="31" t="n">
        <v>5396.57</v>
      </c>
      <c r="BT49" s="31" t="n">
        <v>5884.12</v>
      </c>
      <c r="BU49" s="31" t="n">
        <v>152918.74</v>
      </c>
      <c r="BV49" s="31" t="n">
        <v>142914.71</v>
      </c>
      <c r="BW49" s="31" t="n">
        <v>8368.84</v>
      </c>
      <c r="BX49" s="31" t="n">
        <v>8147.24</v>
      </c>
      <c r="BY49" s="31" t="n">
        <v>39928.68</v>
      </c>
      <c r="BZ49" s="31" t="n">
        <v>2362838</v>
      </c>
      <c r="CA49" s="31" t="n">
        <v>24409.12</v>
      </c>
      <c r="CB49" s="31" t="n">
        <v>22812.26</v>
      </c>
      <c r="CC49" s="31" t="n">
        <v>160147.62</v>
      </c>
      <c r="CD49" s="31" t="n">
        <v>171497.65</v>
      </c>
      <c r="CE49" s="31" t="n">
        <v>61167.49</v>
      </c>
      <c r="CF49" s="31" t="n">
        <v>57165.88</v>
      </c>
      <c r="CG49" s="31" t="n">
        <f aca="false">SUM(CF49,CD49,CB49,BZ49,BX49,BV49,BT49,BR49,BP49,BN49,BL49,BJ49,BH49)</f>
        <v>3000572.24</v>
      </c>
      <c r="CH49" s="31" t="n">
        <f aca="false">CG49+BF49</f>
        <v>9616548.83</v>
      </c>
      <c r="CI49" s="31" t="n">
        <f aca="false">SUM(CE49,CC49,CA49,BY49,BW49,BU49,BS49,BQ49,BO49,BM49,BK49,BI49,BG49,BD49,BB49,AZ49,AX49,AV49,AT49,AR49,AP49,AN49)</f>
        <v>7884332.53</v>
      </c>
      <c r="CJ49" s="31" t="n">
        <f aca="false">CI49-CH49</f>
        <v>-1732216.3</v>
      </c>
      <c r="CK49" s="31" t="n">
        <f aca="false">IF(CE49-CF49+CC49-CD49+CA49-CB49+BU49-BV49+BK49-BL49+BI49-BJ49 &gt; 0, CE49-CF49+CC49-CD49+CA49-CB49+BU49-BV49+BK49-BL49+BI49-BJ49, "-")</f>
        <v>5800.45</v>
      </c>
      <c r="CL49" s="31" t="str">
        <f aca="false">IF(CJ49&lt;0,"⚠ Over Budget","✓ Within Budget")</f>
        <v>⚠ Over Budget</v>
      </c>
      <c r="CM49" s="33" t="s">
        <v>109</v>
      </c>
    </row>
    <row r="50" customFormat="false" ht="14.25" hidden="false" customHeight="false" outlineLevel="0" collapsed="false">
      <c r="A50" s="22" t="s">
        <v>105</v>
      </c>
      <c r="B50" s="22" t="n">
        <v>2025</v>
      </c>
      <c r="C50" s="22" t="n">
        <v>26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26</v>
      </c>
      <c r="T50" s="22" t="n">
        <v>7</v>
      </c>
      <c r="U50" s="22" t="n">
        <v>19</v>
      </c>
      <c r="V50" s="22" t="n">
        <v>26</v>
      </c>
      <c r="W50" s="22" t="n">
        <v>0</v>
      </c>
      <c r="X50" s="22" t="n">
        <v>3</v>
      </c>
      <c r="Y50" s="22" t="n">
        <v>6</v>
      </c>
      <c r="Z50" s="22" t="n">
        <v>8</v>
      </c>
      <c r="AA50" s="22" t="n">
        <v>6</v>
      </c>
      <c r="AB50" s="22" t="n">
        <v>2</v>
      </c>
      <c r="AC50" s="22" t="n">
        <v>1</v>
      </c>
      <c r="AD50" s="23" t="n">
        <v>0</v>
      </c>
      <c r="AE50" s="23" t="n">
        <v>0</v>
      </c>
      <c r="AF50" s="24" t="n">
        <v>60.1</v>
      </c>
      <c r="AG50" s="25" t="n">
        <v>977343</v>
      </c>
      <c r="AH50" s="25" t="n">
        <v>1521838</v>
      </c>
      <c r="AI50" s="25" t="n">
        <v>2283022</v>
      </c>
      <c r="AJ50" s="25" t="n">
        <v>3703273</v>
      </c>
      <c r="AK50" s="25" t="n">
        <v>5953191</v>
      </c>
      <c r="AL50" s="25" t="n">
        <v>10470616</v>
      </c>
      <c r="AM50" s="25" t="n">
        <v>3811058.85</v>
      </c>
      <c r="AN50" s="25" t="n">
        <v>6116749.46</v>
      </c>
      <c r="AO50" s="25" t="n">
        <v>5716588.28</v>
      </c>
      <c r="AP50" s="25" t="n">
        <v>611674.95</v>
      </c>
      <c r="AQ50" s="25" t="n">
        <v>571658.83</v>
      </c>
      <c r="AR50" s="25" t="n">
        <v>2669127.04</v>
      </c>
      <c r="AS50" s="25" t="n">
        <v>571658.83</v>
      </c>
      <c r="AT50" s="25" t="n">
        <v>305837.47</v>
      </c>
      <c r="AU50" s="25" t="n">
        <v>285829.41</v>
      </c>
      <c r="AV50" s="25" t="n">
        <v>20411.81</v>
      </c>
      <c r="AW50" s="25" t="n">
        <v>27933.38</v>
      </c>
      <c r="AX50" s="25" t="n">
        <v>14944.36</v>
      </c>
      <c r="AY50" s="25" t="n">
        <v>13966.69</v>
      </c>
      <c r="AZ50" s="25" t="n">
        <v>44756.7</v>
      </c>
      <c r="BA50" s="25" t="n">
        <v>0</v>
      </c>
      <c r="BB50" s="25" t="n">
        <v>1102.12</v>
      </c>
      <c r="BC50" s="25" t="n">
        <v>0</v>
      </c>
      <c r="BD50" s="25" t="n">
        <v>364.09</v>
      </c>
      <c r="BE50" s="25" t="n">
        <v>0</v>
      </c>
      <c r="BF50" s="25" t="n">
        <f aca="false">SUM(BE50,BC50,BA50,AY50,AW50,AU50,AS50,AQ50,AO50)</f>
        <v>7187635.42</v>
      </c>
      <c r="BG50" s="25" t="n">
        <v>3719.49</v>
      </c>
      <c r="BH50" s="25" t="n">
        <v>6517.79</v>
      </c>
      <c r="BI50" s="25" t="n">
        <v>13699</v>
      </c>
      <c r="BJ50" s="25" t="n">
        <v>12802.8</v>
      </c>
      <c r="BK50" s="25" t="n">
        <v>9962.91</v>
      </c>
      <c r="BL50" s="25" t="n">
        <v>9311.13</v>
      </c>
      <c r="BM50" s="25" t="n">
        <v>34870.17</v>
      </c>
      <c r="BN50" s="25" t="n">
        <v>32588.95</v>
      </c>
      <c r="BO50" s="25" t="n">
        <v>3773.83</v>
      </c>
      <c r="BP50" s="25" t="n">
        <v>0</v>
      </c>
      <c r="BQ50" s="25" t="n">
        <v>170891.52</v>
      </c>
      <c r="BR50" s="25" t="n">
        <v>159711.7</v>
      </c>
      <c r="BS50" s="25" t="n">
        <v>4796.95</v>
      </c>
      <c r="BT50" s="25" t="n">
        <v>5884.12</v>
      </c>
      <c r="BU50" s="25" t="n">
        <v>152918.74</v>
      </c>
      <c r="BV50" s="25" t="n">
        <v>142914.71</v>
      </c>
      <c r="BW50" s="25" t="n">
        <v>4184.42</v>
      </c>
      <c r="BX50" s="25" t="n">
        <v>8147.24</v>
      </c>
      <c r="BY50" s="25" t="n">
        <v>47967.47</v>
      </c>
      <c r="BZ50" s="25" t="n">
        <v>33622.06</v>
      </c>
      <c r="CA50" s="25" t="n">
        <v>24409.12</v>
      </c>
      <c r="CB50" s="25" t="n">
        <v>22812.26</v>
      </c>
      <c r="CC50" s="25" t="n">
        <v>100092.26</v>
      </c>
      <c r="CD50" s="25" t="n">
        <v>171497.65</v>
      </c>
      <c r="CE50" s="25" t="n">
        <v>61167.49</v>
      </c>
      <c r="CF50" s="25" t="n">
        <v>57165.88</v>
      </c>
      <c r="CG50" s="25" t="n">
        <f aca="false">SUM(CF50,CD50,CB50,BZ50,BX50,BV50,BT50,BR50,BP50,BN50,BL50,BJ50,BH50)</f>
        <v>662976.29</v>
      </c>
      <c r="CH50" s="25" t="n">
        <f aca="false">CG50+BF50</f>
        <v>7850611.71</v>
      </c>
      <c r="CI50" s="25" t="n">
        <f aca="false">SUM(CE50,CC50,CA50,BY50,BW50,BU50,BS50,BQ50,BO50,BM50,BK50,BI50,BG50,BD50,BB50,AZ50,AX50,AV50,AT50,AR50,AP50,AN50)</f>
        <v>10417421.37</v>
      </c>
      <c r="CJ50" s="25" t="n">
        <f aca="false">CI50-CH50</f>
        <v>2566809.66</v>
      </c>
      <c r="CK50" s="25" t="str">
        <f aca="false">IF(CE50-CF50+CC50-CD50+CA50-CB50+BU50-BV50+BK50-BL50+BI50-BJ50 &gt; 0, CE50-CF50+CC50-CD50+CA50-CB50+BU50-BV50+BK50-BL50+BI50-BJ50, "-")</f>
        <v>-</v>
      </c>
      <c r="CL50" s="25" t="str">
        <f aca="false">IF(CJ50&lt;0,"⚠ Over Budget","✓ Within Budget")</f>
        <v>✓ Within Budget</v>
      </c>
      <c r="CM50" s="27"/>
    </row>
    <row r="51" customFormat="false" ht="14.25" hidden="false" customHeight="false" outlineLevel="0" collapsed="false">
      <c r="A51" s="28" t="s">
        <v>92</v>
      </c>
      <c r="B51" s="28" t="n">
        <v>2026</v>
      </c>
      <c r="C51" s="28" t="n">
        <v>26</v>
      </c>
      <c r="D51" s="28" t="n">
        <v>1</v>
      </c>
      <c r="E51" s="28" t="n">
        <v>1</v>
      </c>
      <c r="F51" s="28" t="n">
        <v>1</v>
      </c>
      <c r="G51" s="28" t="n">
        <v>0</v>
      </c>
      <c r="H51" s="28" t="n">
        <v>0</v>
      </c>
      <c r="I51" s="28" t="n">
        <v>1</v>
      </c>
      <c r="J51" s="28" t="n">
        <v>3</v>
      </c>
      <c r="K51" s="28" t="n">
        <v>0</v>
      </c>
      <c r="L51" s="28" t="n">
        <v>1</v>
      </c>
      <c r="M51" s="28" t="n">
        <v>1</v>
      </c>
      <c r="N51" s="28" t="n">
        <v>0</v>
      </c>
      <c r="O51" s="28" t="n">
        <v>0</v>
      </c>
      <c r="P51" s="28" t="n">
        <v>0</v>
      </c>
      <c r="Q51" s="28" t="n">
        <v>2</v>
      </c>
      <c r="R51" s="28" t="n">
        <v>0</v>
      </c>
      <c r="S51" s="28" t="n">
        <v>27</v>
      </c>
      <c r="T51" s="28" t="n">
        <v>6</v>
      </c>
      <c r="U51" s="28" t="n">
        <v>21</v>
      </c>
      <c r="V51" s="28" t="n">
        <v>27</v>
      </c>
      <c r="W51" s="28" t="n">
        <v>0</v>
      </c>
      <c r="X51" s="28" t="n">
        <v>3</v>
      </c>
      <c r="Y51" s="28" t="n">
        <v>6</v>
      </c>
      <c r="Z51" s="28" t="n">
        <v>9</v>
      </c>
      <c r="AA51" s="28" t="n">
        <v>6</v>
      </c>
      <c r="AB51" s="28" t="n">
        <v>2</v>
      </c>
      <c r="AC51" s="28" t="n">
        <v>1</v>
      </c>
      <c r="AD51" s="29" t="n">
        <v>0.923077</v>
      </c>
      <c r="AE51" s="29" t="n">
        <v>0</v>
      </c>
      <c r="AF51" s="30" t="n">
        <v>60.5</v>
      </c>
      <c r="AG51" s="31" t="n">
        <v>977343</v>
      </c>
      <c r="AH51" s="31" t="n">
        <v>1521838</v>
      </c>
      <c r="AI51" s="31" t="n">
        <v>2283022</v>
      </c>
      <c r="AJ51" s="31" t="n">
        <v>3703273</v>
      </c>
      <c r="AK51" s="31" t="n">
        <v>5953191</v>
      </c>
      <c r="AL51" s="31" t="n">
        <v>10470616</v>
      </c>
      <c r="AM51" s="31" t="n">
        <v>3681418.78</v>
      </c>
      <c r="AN51" s="31" t="n">
        <v>5580417.29</v>
      </c>
      <c r="AO51" s="31" t="n">
        <v>5927155.55</v>
      </c>
      <c r="AP51" s="31" t="n">
        <v>558041.73</v>
      </c>
      <c r="AQ51" s="31" t="n">
        <v>521534.33</v>
      </c>
      <c r="AR51" s="31" t="n">
        <v>91315.92</v>
      </c>
      <c r="AS51" s="31" t="n">
        <v>312920.6</v>
      </c>
      <c r="AT51" s="31" t="n">
        <v>279020.86</v>
      </c>
      <c r="AU51" s="31" t="n">
        <v>260767.16</v>
      </c>
      <c r="AV51" s="31" t="n">
        <v>21282.34</v>
      </c>
      <c r="AW51" s="31" t="n">
        <v>25484.11</v>
      </c>
      <c r="AX51" s="31" t="n">
        <v>13634</v>
      </c>
      <c r="AY51" s="31" t="n">
        <v>12742.06</v>
      </c>
      <c r="AZ51" s="31" t="n">
        <v>13610.77</v>
      </c>
      <c r="BA51" s="31" t="n">
        <v>0</v>
      </c>
      <c r="BB51" s="31" t="n">
        <v>1064.63</v>
      </c>
      <c r="BC51" s="31" t="n">
        <v>1186353.81</v>
      </c>
      <c r="BD51" s="31" t="n">
        <v>844.1</v>
      </c>
      <c r="BE51" s="31" t="n">
        <v>0</v>
      </c>
      <c r="BF51" s="31" t="n">
        <f aca="false">SUM(BE51,BC51,BA51,AY51,AW51,AU51,AS51,AQ51,AO51)</f>
        <v>8246957.62</v>
      </c>
      <c r="BG51" s="31" t="n">
        <v>2262.23</v>
      </c>
      <c r="BH51" s="31" t="n">
        <v>5946.29</v>
      </c>
      <c r="BI51" s="31" t="n">
        <v>12497.83</v>
      </c>
      <c r="BJ51" s="31" t="n">
        <v>11680.22</v>
      </c>
      <c r="BK51" s="31" t="n">
        <v>9089.33</v>
      </c>
      <c r="BL51" s="31" t="n">
        <v>8494.7</v>
      </c>
      <c r="BM51" s="31" t="n">
        <v>31812.67</v>
      </c>
      <c r="BN51" s="31" t="n">
        <v>29731.46</v>
      </c>
      <c r="BO51" s="31" t="n">
        <v>3645.45</v>
      </c>
      <c r="BP51" s="31" t="n">
        <v>474541.52</v>
      </c>
      <c r="BQ51" s="31" t="n">
        <v>165078.33</v>
      </c>
      <c r="BR51" s="31" t="n">
        <v>154278.82</v>
      </c>
      <c r="BS51" s="31" t="n">
        <v>5213</v>
      </c>
      <c r="BT51" s="31" t="n">
        <v>5683.96</v>
      </c>
      <c r="BU51" s="31" t="n">
        <v>139510.43</v>
      </c>
      <c r="BV51" s="31" t="n">
        <v>130383.58</v>
      </c>
      <c r="BW51" s="31" t="n">
        <v>3817.52</v>
      </c>
      <c r="BX51" s="31" t="n">
        <v>7432.87</v>
      </c>
      <c r="BY51" s="31" t="n">
        <v>4039.7</v>
      </c>
      <c r="BZ51" s="31" t="n">
        <v>8494.7</v>
      </c>
      <c r="CA51" s="31" t="n">
        <v>22268.87</v>
      </c>
      <c r="CB51" s="31" t="n">
        <v>20812.02</v>
      </c>
      <c r="CC51" s="31" t="n">
        <v>91315.92</v>
      </c>
      <c r="CD51" s="31" t="n">
        <v>156460.3</v>
      </c>
      <c r="CE51" s="31" t="n">
        <v>55804.17</v>
      </c>
      <c r="CF51" s="31" t="n">
        <v>52153.43</v>
      </c>
      <c r="CG51" s="31" t="n">
        <f aca="false">SUM(CF51,CD51,CB51,BZ51,BX51,BV51,BT51,BR51,BP51,BN51,BL51,BJ51,BH51)</f>
        <v>1066093.87</v>
      </c>
      <c r="CH51" s="31" t="n">
        <f aca="false">CG51+BF51</f>
        <v>9313051.49</v>
      </c>
      <c r="CI51" s="31" t="n">
        <f aca="false">SUM(CE51,CC51,CA51,BY51,BW51,BU51,BS51,BQ51,BO51,BM51,BK51,BI51,BG51,BD51,BB51,AZ51,AX51,AV51,AT51,AR51,AP51,AN51)</f>
        <v>7105587.09</v>
      </c>
      <c r="CJ51" s="31" t="n">
        <f aca="false">CI51-CH51</f>
        <v>-2207464.4</v>
      </c>
      <c r="CK51" s="31" t="str">
        <f aca="false">IF(CE51-CF51+CC51-CD51+CA51-CB51+BU51-BV51+BK51-BL51+BI51-BJ51 &gt; 0, CE51-CF51+CC51-CD51+CA51-CB51+BU51-BV51+BK51-BL51+BI51-BJ51, "-")</f>
        <v>-</v>
      </c>
      <c r="CL51" s="31" t="str">
        <f aca="false">IF(CJ51&lt;0,"⚠ Over Budget","✓ Within Budget")</f>
        <v>⚠ Over Budget</v>
      </c>
      <c r="CM51" s="33" t="s">
        <v>106</v>
      </c>
    </row>
    <row r="52" customFormat="false" ht="14.25" hidden="false" customHeight="false" outlineLevel="0" collapsed="false">
      <c r="A52" s="22" t="s">
        <v>93</v>
      </c>
      <c r="B52" s="22" t="n">
        <v>2026</v>
      </c>
      <c r="C52" s="22" t="n">
        <v>27</v>
      </c>
      <c r="D52" s="22" t="n">
        <v>1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1</v>
      </c>
      <c r="J52" s="22" t="n">
        <v>1</v>
      </c>
      <c r="K52" s="22" t="n">
        <v>1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1</v>
      </c>
      <c r="Q52" s="22" t="n">
        <v>1</v>
      </c>
      <c r="R52" s="22" t="n">
        <v>0</v>
      </c>
      <c r="S52" s="22" t="n">
        <v>27</v>
      </c>
      <c r="T52" s="22" t="n">
        <v>6</v>
      </c>
      <c r="U52" s="22" t="n">
        <v>21</v>
      </c>
      <c r="V52" s="22" t="n">
        <v>27</v>
      </c>
      <c r="W52" s="22" t="n">
        <v>0</v>
      </c>
      <c r="X52" s="22" t="n">
        <v>3</v>
      </c>
      <c r="Y52" s="22" t="n">
        <v>6</v>
      </c>
      <c r="Z52" s="22" t="n">
        <v>9</v>
      </c>
      <c r="AA52" s="22" t="n">
        <v>6</v>
      </c>
      <c r="AB52" s="22" t="n">
        <v>2</v>
      </c>
      <c r="AC52" s="22" t="n">
        <v>1</v>
      </c>
      <c r="AD52" s="23" t="n">
        <v>0.444444</v>
      </c>
      <c r="AE52" s="23" t="n">
        <v>0</v>
      </c>
      <c r="AF52" s="24" t="n">
        <v>60.8</v>
      </c>
      <c r="AG52" s="25" t="n">
        <v>977343</v>
      </c>
      <c r="AH52" s="25" t="n">
        <v>1521838</v>
      </c>
      <c r="AI52" s="25" t="n">
        <v>2283022</v>
      </c>
      <c r="AJ52" s="25" t="n">
        <v>3703273</v>
      </c>
      <c r="AK52" s="25" t="n">
        <v>5953191</v>
      </c>
      <c r="AL52" s="25" t="n">
        <v>10470616</v>
      </c>
      <c r="AM52" s="25" t="n">
        <v>3681418.78</v>
      </c>
      <c r="AN52" s="25" t="n">
        <v>5580417.29</v>
      </c>
      <c r="AO52" s="25" t="n">
        <v>5215343.27</v>
      </c>
      <c r="AP52" s="25" t="n">
        <v>558041.73</v>
      </c>
      <c r="AQ52" s="25" t="n">
        <v>521534.33</v>
      </c>
      <c r="AR52" s="25" t="n">
        <v>15219.32</v>
      </c>
      <c r="AS52" s="25" t="n">
        <v>0</v>
      </c>
      <c r="AT52" s="25" t="n">
        <v>279020.86</v>
      </c>
      <c r="AU52" s="25" t="n">
        <v>260767.16</v>
      </c>
      <c r="AV52" s="25" t="n">
        <v>21282.34</v>
      </c>
      <c r="AW52" s="25" t="n">
        <v>25484.11</v>
      </c>
      <c r="AX52" s="25" t="n">
        <v>13634</v>
      </c>
      <c r="AY52" s="25" t="n">
        <v>12742.06</v>
      </c>
      <c r="AZ52" s="25" t="n">
        <v>13610.77</v>
      </c>
      <c r="BA52" s="25" t="n">
        <v>0</v>
      </c>
      <c r="BB52" s="25" t="n">
        <v>3193.88</v>
      </c>
      <c r="BC52" s="25" t="n">
        <v>0</v>
      </c>
      <c r="BD52" s="25" t="n">
        <v>1055.12</v>
      </c>
      <c r="BE52" s="25" t="n">
        <v>0</v>
      </c>
      <c r="BF52" s="25" t="n">
        <f aca="false">SUM(BE52,BC52,BA52,AY52,AW52,AU52,AS52,AQ52,AO52)</f>
        <v>6035870.93</v>
      </c>
      <c r="BG52" s="25" t="n">
        <v>2262.23</v>
      </c>
      <c r="BH52" s="25" t="n">
        <v>5946.29</v>
      </c>
      <c r="BI52" s="25" t="n">
        <v>12497.83</v>
      </c>
      <c r="BJ52" s="25" t="n">
        <v>11680.22</v>
      </c>
      <c r="BK52" s="25" t="n">
        <v>9089.33</v>
      </c>
      <c r="BL52" s="25" t="n">
        <v>8494.7</v>
      </c>
      <c r="BM52" s="25" t="n">
        <v>31812.67</v>
      </c>
      <c r="BN52" s="25" t="n">
        <v>29731.46</v>
      </c>
      <c r="BO52" s="25" t="n">
        <v>3645.45</v>
      </c>
      <c r="BP52" s="25" t="n">
        <v>0</v>
      </c>
      <c r="BQ52" s="25" t="n">
        <v>165078.33</v>
      </c>
      <c r="BR52" s="25" t="n">
        <v>154278.82</v>
      </c>
      <c r="BS52" s="25" t="n">
        <v>5213</v>
      </c>
      <c r="BT52" s="25" t="n">
        <v>5683.96</v>
      </c>
      <c r="BU52" s="25" t="n">
        <v>139510.43</v>
      </c>
      <c r="BV52" s="25" t="n">
        <v>130383.58</v>
      </c>
      <c r="BW52" s="25" t="n">
        <v>3817.52</v>
      </c>
      <c r="BX52" s="25" t="n">
        <v>7432.87</v>
      </c>
      <c r="BY52" s="25" t="n">
        <v>4039.7</v>
      </c>
      <c r="BZ52" s="25" t="n">
        <v>8494.7</v>
      </c>
      <c r="CA52" s="25" t="n">
        <v>22268.87</v>
      </c>
      <c r="CB52" s="25" t="n">
        <v>20812.02</v>
      </c>
      <c r="CC52" s="25" t="n">
        <v>91315.92</v>
      </c>
      <c r="CD52" s="25" t="n">
        <v>156460.3</v>
      </c>
      <c r="CE52" s="25" t="n">
        <v>55804.17</v>
      </c>
      <c r="CF52" s="25" t="n">
        <v>52153.43</v>
      </c>
      <c r="CG52" s="25" t="n">
        <f aca="false">SUM(CF52,CD52,CB52,BZ52,BX52,BV52,BT52,BR52,BP52,BN52,BL52,BJ52,BH52)</f>
        <v>591552.35</v>
      </c>
      <c r="CH52" s="25" t="n">
        <f aca="false">CG52+BF52</f>
        <v>6627423.28</v>
      </c>
      <c r="CI52" s="25" t="n">
        <f aca="false">SUM(CE52,CC52,CA52,BY52,BW52,BU52,BS52,BQ52,BO52,BM52,BK52,BI52,BG52,BD52,BB52,AZ52,AX52,AV52,AT52,AR52,AP52,AN52)</f>
        <v>7031830.76</v>
      </c>
      <c r="CJ52" s="25" t="n">
        <f aca="false">CI52-CH52</f>
        <v>404407.48</v>
      </c>
      <c r="CK52" s="25" t="str">
        <f aca="false">IF(CE52-CF52+CC52-CD52+CA52-CB52+BU52-BV52+BK52-BL52+BI52-BJ52 &gt; 0, CE52-CF52+CC52-CD52+CA52-CB52+BU52-BV52+BK52-BL52+BI52-BJ52, "-")</f>
        <v>-</v>
      </c>
      <c r="CL52" s="25" t="str">
        <f aca="false">IF(CJ52&lt;0,"⚠ Over Budget","✓ Within Budget")</f>
        <v>✓ Within Budget</v>
      </c>
      <c r="CM52" s="27"/>
    </row>
    <row r="53" customFormat="false" ht="18.75" hidden="false" customHeight="true" outlineLevel="0" collapsed="false">
      <c r="A53" s="28" t="s">
        <v>94</v>
      </c>
      <c r="B53" s="28" t="n">
        <v>2026</v>
      </c>
      <c r="C53" s="28" t="n">
        <v>27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1</v>
      </c>
      <c r="L53" s="28" t="n">
        <v>0</v>
      </c>
      <c r="M53" s="28" t="n">
        <v>0</v>
      </c>
      <c r="N53" s="28" t="n">
        <v>0</v>
      </c>
      <c r="O53" s="28" t="n">
        <v>0</v>
      </c>
      <c r="P53" s="28" t="n">
        <v>1</v>
      </c>
      <c r="Q53" s="28" t="n">
        <v>1</v>
      </c>
      <c r="R53" s="28" t="n">
        <v>0</v>
      </c>
      <c r="S53" s="28" t="n">
        <v>26</v>
      </c>
      <c r="T53" s="28" t="n">
        <v>6</v>
      </c>
      <c r="U53" s="28" t="n">
        <v>20</v>
      </c>
      <c r="V53" s="28" t="n">
        <v>26</v>
      </c>
      <c r="W53" s="28" t="n">
        <v>0</v>
      </c>
      <c r="X53" s="28" t="n">
        <v>3</v>
      </c>
      <c r="Y53" s="28" t="n">
        <v>6</v>
      </c>
      <c r="Z53" s="28" t="n">
        <v>8</v>
      </c>
      <c r="AA53" s="28" t="n">
        <v>6</v>
      </c>
      <c r="AB53" s="28" t="n">
        <v>2</v>
      </c>
      <c r="AC53" s="28" t="n">
        <v>1</v>
      </c>
      <c r="AD53" s="29" t="n">
        <v>0.444444</v>
      </c>
      <c r="AE53" s="29" t="n">
        <v>0</v>
      </c>
      <c r="AF53" s="30" t="n">
        <v>61.2</v>
      </c>
      <c r="AG53" s="31" t="n">
        <v>977343</v>
      </c>
      <c r="AH53" s="31" t="n">
        <v>1521838</v>
      </c>
      <c r="AI53" s="31" t="n">
        <v>2283022</v>
      </c>
      <c r="AJ53" s="31" t="n">
        <v>3703273</v>
      </c>
      <c r="AK53" s="31" t="n">
        <v>5953191</v>
      </c>
      <c r="AL53" s="31" t="n">
        <v>10470616</v>
      </c>
      <c r="AM53" s="31" t="n">
        <v>3681418.78</v>
      </c>
      <c r="AN53" s="31" t="n">
        <v>4267377.93</v>
      </c>
      <c r="AO53" s="31" t="n">
        <v>4682903.99</v>
      </c>
      <c r="AP53" s="31" t="n">
        <v>426737.79</v>
      </c>
      <c r="AQ53" s="31" t="n">
        <v>398820.37</v>
      </c>
      <c r="AR53" s="31" t="n">
        <v>19397.17</v>
      </c>
      <c r="AS53" s="31" t="n">
        <v>694700.32</v>
      </c>
      <c r="AT53" s="31" t="n">
        <v>213368.9</v>
      </c>
      <c r="AU53" s="31" t="n">
        <v>199410.18</v>
      </c>
      <c r="AV53" s="31" t="n">
        <v>15257.56</v>
      </c>
      <c r="AW53" s="31" t="n">
        <v>14615.89</v>
      </c>
      <c r="AX53" s="31" t="n">
        <v>10426</v>
      </c>
      <c r="AY53" s="31" t="n">
        <v>9743.93</v>
      </c>
      <c r="AZ53" s="31" t="n">
        <v>33306.36</v>
      </c>
      <c r="BA53" s="31" t="n">
        <v>0</v>
      </c>
      <c r="BB53" s="31" t="n">
        <v>5323.13</v>
      </c>
      <c r="BC53" s="31" t="n">
        <v>0</v>
      </c>
      <c r="BD53" s="31" t="n">
        <v>316536.28</v>
      </c>
      <c r="BE53" s="31" t="n">
        <v>184070.94</v>
      </c>
      <c r="BF53" s="31" t="n">
        <f aca="false">SUM(BE53,BC53,BA53,AY53,AW53,AU53,AS53,AQ53,AO53)</f>
        <v>6184265.62</v>
      </c>
      <c r="BG53" s="31" t="n">
        <v>1729.94</v>
      </c>
      <c r="BH53" s="31" t="n">
        <v>4547.17</v>
      </c>
      <c r="BI53" s="31" t="n">
        <v>9557.17</v>
      </c>
      <c r="BJ53" s="31" t="n">
        <v>8931.93</v>
      </c>
      <c r="BK53" s="31" t="n">
        <v>6950.67</v>
      </c>
      <c r="BL53" s="31" t="n">
        <v>6495.95</v>
      </c>
      <c r="BM53" s="31" t="n">
        <v>24327.33</v>
      </c>
      <c r="BN53" s="31" t="n">
        <v>22735.83</v>
      </c>
      <c r="BO53" s="31" t="n">
        <v>3645.45</v>
      </c>
      <c r="BP53" s="31" t="n">
        <v>0</v>
      </c>
      <c r="BQ53" s="31" t="n">
        <v>126983.33</v>
      </c>
      <c r="BR53" s="31" t="n">
        <v>118676.01</v>
      </c>
      <c r="BS53" s="31" t="n">
        <v>4455.56</v>
      </c>
      <c r="BT53" s="31" t="n">
        <v>4372.27</v>
      </c>
      <c r="BU53" s="31" t="n">
        <v>106684.45</v>
      </c>
      <c r="BV53" s="31" t="n">
        <v>99705.09</v>
      </c>
      <c r="BW53" s="31" t="n">
        <v>2919.28</v>
      </c>
      <c r="BX53" s="31" t="n">
        <v>5683.96</v>
      </c>
      <c r="BY53" s="31" t="n">
        <v>20099.25</v>
      </c>
      <c r="BZ53" s="31" t="n">
        <v>17610.32</v>
      </c>
      <c r="CA53" s="31" t="n">
        <v>17029.13</v>
      </c>
      <c r="CB53" s="31" t="n">
        <v>15915.08</v>
      </c>
      <c r="CC53" s="31" t="n">
        <v>813061.04</v>
      </c>
      <c r="CD53" s="31" t="n">
        <v>1204886.14</v>
      </c>
      <c r="CE53" s="31" t="n">
        <v>42673.78</v>
      </c>
      <c r="CF53" s="31" t="n">
        <v>39882.04</v>
      </c>
      <c r="CG53" s="31" t="n">
        <f aca="false">SUM(CF53,CD53,CB53,BZ53,BX53,BV53,BT53,BR53,BP53,BN53,BL53,BJ53,BH53)</f>
        <v>1549441.79</v>
      </c>
      <c r="CH53" s="31" t="n">
        <f aca="false">CG53+BF53</f>
        <v>7733707.41</v>
      </c>
      <c r="CI53" s="31" t="n">
        <f aca="false">SUM(CE53,CC53,CA53,BY53,BW53,BU53,BS53,BQ53,BO53,BM53,BK53,BI53,BG53,BD53,BB53,AZ53,AX53,AV53,AT53,AR53,AP53,AN53)</f>
        <v>6487847.5</v>
      </c>
      <c r="CJ53" s="31" t="n">
        <f aca="false">CI53-CH53</f>
        <v>-1245859.91</v>
      </c>
      <c r="CK53" s="31" t="str">
        <f aca="false">IF(CE53-CF53+CC53-CD53+CA53-CB53+BU53-BV53+BK53-BL53+BI53-BJ53 &gt; 0, CE53-CF53+CC53-CD53+CA53-CB53+BU53-BV53+BK53-BL53+BI53-BJ53, "-")</f>
        <v>-</v>
      </c>
      <c r="CL53" s="31" t="str">
        <f aca="false">IF(CJ53&lt;0,"⚠ Over Budget","✓ Within Budget")</f>
        <v>⚠ Over Budget</v>
      </c>
      <c r="CM53" s="33" t="s">
        <v>112</v>
      </c>
    </row>
    <row r="54" customFormat="false" ht="14.25" hidden="false" customHeight="false" outlineLevel="0" collapsed="false">
      <c r="A54" s="22" t="s">
        <v>96</v>
      </c>
      <c r="B54" s="22" t="n">
        <v>2026</v>
      </c>
      <c r="C54" s="22" t="n">
        <v>26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1</v>
      </c>
      <c r="S54" s="22" t="n">
        <v>25</v>
      </c>
      <c r="T54" s="22" t="n">
        <v>6</v>
      </c>
      <c r="U54" s="22" t="n">
        <v>19</v>
      </c>
      <c r="V54" s="22" t="n">
        <v>25</v>
      </c>
      <c r="W54" s="22" t="n">
        <v>0</v>
      </c>
      <c r="X54" s="22" t="n">
        <v>2</v>
      </c>
      <c r="Y54" s="22" t="n">
        <v>6</v>
      </c>
      <c r="Z54" s="22" t="n">
        <v>8</v>
      </c>
      <c r="AA54" s="22" t="n">
        <v>6</v>
      </c>
      <c r="AB54" s="22" t="n">
        <v>2</v>
      </c>
      <c r="AC54" s="22" t="n">
        <v>1</v>
      </c>
      <c r="AD54" s="23" t="n">
        <v>0</v>
      </c>
      <c r="AE54" s="23" t="n">
        <v>0.0965042084120227</v>
      </c>
      <c r="AF54" s="24" t="n">
        <v>61.5</v>
      </c>
      <c r="AG54" s="25" t="n">
        <v>1086808</v>
      </c>
      <c r="AH54" s="25" t="n">
        <v>1677518</v>
      </c>
      <c r="AI54" s="25" t="n">
        <v>2514100</v>
      </c>
      <c r="AJ54" s="25" t="n">
        <v>4033183</v>
      </c>
      <c r="AK54" s="25" t="n">
        <v>6407048</v>
      </c>
      <c r="AL54" s="25" t="n">
        <v>11237468</v>
      </c>
      <c r="AM54" s="25" t="n">
        <v>4012839.78</v>
      </c>
      <c r="AN54" s="25" t="n">
        <v>4651550.11</v>
      </c>
      <c r="AO54" s="25" t="n">
        <v>4347243.09</v>
      </c>
      <c r="AP54" s="25" t="n">
        <v>465155.01</v>
      </c>
      <c r="AQ54" s="25" t="n">
        <v>434724.31</v>
      </c>
      <c r="AR54" s="25" t="n">
        <v>236806.19</v>
      </c>
      <c r="AS54" s="25" t="n">
        <v>304307.02</v>
      </c>
      <c r="AT54" s="25" t="n">
        <v>232577.51</v>
      </c>
      <c r="AU54" s="25" t="n">
        <v>217362.15</v>
      </c>
      <c r="AV54" s="25" t="n">
        <v>18309.07</v>
      </c>
      <c r="AW54" s="25" t="n">
        <v>14615.89</v>
      </c>
      <c r="AX54" s="25" t="n">
        <v>10426</v>
      </c>
      <c r="AY54" s="25" t="n">
        <v>9743.93</v>
      </c>
      <c r="AZ54" s="25" t="n">
        <v>45380.98</v>
      </c>
      <c r="BA54" s="25" t="n">
        <v>0</v>
      </c>
      <c r="BB54" s="25" t="n">
        <v>5802.35</v>
      </c>
      <c r="BC54" s="25" t="n">
        <v>0</v>
      </c>
      <c r="BD54" s="25" t="n">
        <v>383.37</v>
      </c>
      <c r="BE54" s="25" t="n">
        <v>0</v>
      </c>
      <c r="BF54" s="25" t="n">
        <f aca="false">SUM(BE54,BC54,BA54,AY54,AW54,AU54,AS54,AQ54,AO54)</f>
        <v>5327996.39</v>
      </c>
      <c r="BG54" s="25" t="n">
        <v>29903.31</v>
      </c>
      <c r="BH54" s="25" t="n">
        <v>14291.09</v>
      </c>
      <c r="BI54" s="25" t="n">
        <v>9557.17</v>
      </c>
      <c r="BJ54" s="25" t="n">
        <v>8931.93</v>
      </c>
      <c r="BK54" s="25" t="n">
        <v>6950.67</v>
      </c>
      <c r="BL54" s="25" t="n">
        <v>6495.95</v>
      </c>
      <c r="BM54" s="25" t="n">
        <v>24327.33</v>
      </c>
      <c r="BN54" s="25" t="n">
        <v>22735.83</v>
      </c>
      <c r="BO54" s="25" t="n">
        <v>18227.27</v>
      </c>
      <c r="BP54" s="25" t="n">
        <v>0</v>
      </c>
      <c r="BQ54" s="25" t="n">
        <v>126983.33</v>
      </c>
      <c r="BR54" s="25" t="n">
        <v>118676.01</v>
      </c>
      <c r="BS54" s="25" t="n">
        <v>4455.56</v>
      </c>
      <c r="BT54" s="25" t="n">
        <v>4372.27</v>
      </c>
      <c r="BU54" s="25" t="n">
        <v>116288.75</v>
      </c>
      <c r="BV54" s="25" t="n">
        <v>108681.08</v>
      </c>
      <c r="BW54" s="25" t="n">
        <v>11677.12</v>
      </c>
      <c r="BX54" s="25" t="n">
        <v>5683.96</v>
      </c>
      <c r="BY54" s="25" t="n">
        <v>3089.19</v>
      </c>
      <c r="BZ54" s="25" t="n">
        <v>6495.95</v>
      </c>
      <c r="CA54" s="25" t="n">
        <v>17029.13</v>
      </c>
      <c r="CB54" s="25" t="n">
        <v>15915.08</v>
      </c>
      <c r="CC54" s="25" t="n">
        <v>1068016.57</v>
      </c>
      <c r="CD54" s="25" t="n">
        <v>365986.99</v>
      </c>
      <c r="CE54" s="25" t="n">
        <v>46515.5</v>
      </c>
      <c r="CF54" s="25" t="n">
        <v>43472.43</v>
      </c>
      <c r="CG54" s="25" t="n">
        <f aca="false">SUM(CF54,CD54,CB54,BZ54,BX54,BV54,BT54,BR54,BP54,BN54,BL54,BJ54,BH54)</f>
        <v>721738.57</v>
      </c>
      <c r="CH54" s="25" t="n">
        <f aca="false">CG54+BF54</f>
        <v>6049734.96</v>
      </c>
      <c r="CI54" s="25" t="n">
        <f aca="false">SUM(CE54,CC54,CA54,BY54,BW54,BU54,BS54,BQ54,BO54,BM54,BK54,BI54,BG54,BD54,BB54,AZ54,AX54,AV54,AT54,AR54,AP54,AN54)</f>
        <v>7149411.49</v>
      </c>
      <c r="CJ54" s="25" t="n">
        <f aca="false">CI54-CH54</f>
        <v>1099676.53</v>
      </c>
      <c r="CK54" s="25" t="n">
        <f aca="false">IF(CE54-CF54+CC54-CD54+CA54-CB54+BU54-BV54+BK54-BL54+BI54-BJ54 &gt; 0, CE54-CF54+CC54-CD54+CA54-CB54+BU54-BV54+BK54-BL54+BI54-BJ54, "-")</f>
        <v>714874.33</v>
      </c>
      <c r="CL54" s="25" t="str">
        <f aca="false">IF(CJ54&lt;0,"⚠ Over Budget","✓ Within Budget")</f>
        <v>✓ Within Budget</v>
      </c>
      <c r="CM54" s="27"/>
    </row>
    <row r="55" customFormat="false" ht="14.25" hidden="false" customHeight="false" outlineLevel="0" collapsed="false">
      <c r="A55" s="16" t="s">
        <v>98</v>
      </c>
      <c r="B55" s="16" t="n">
        <v>2026</v>
      </c>
      <c r="C55" s="16" t="n">
        <v>25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25</v>
      </c>
      <c r="T55" s="16" t="n">
        <v>6</v>
      </c>
      <c r="U55" s="16" t="n">
        <v>19</v>
      </c>
      <c r="V55" s="16" t="n">
        <v>25</v>
      </c>
      <c r="W55" s="16" t="n">
        <v>0</v>
      </c>
      <c r="X55" s="16" t="n">
        <v>2</v>
      </c>
      <c r="Y55" s="16" t="n">
        <v>6</v>
      </c>
      <c r="Z55" s="16" t="n">
        <v>8</v>
      </c>
      <c r="AA55" s="16" t="n">
        <v>6</v>
      </c>
      <c r="AB55" s="16" t="n">
        <v>2</v>
      </c>
      <c r="AC55" s="16" t="n">
        <v>1</v>
      </c>
      <c r="AD55" s="17" t="n">
        <v>0</v>
      </c>
      <c r="AE55" s="17" t="n">
        <v>0</v>
      </c>
      <c r="AF55" s="18" t="n">
        <v>61.8</v>
      </c>
      <c r="AG55" s="19" t="n">
        <v>1086808</v>
      </c>
      <c r="AH55" s="19" t="n">
        <v>1677518</v>
      </c>
      <c r="AI55" s="19" t="n">
        <v>2514100</v>
      </c>
      <c r="AJ55" s="19" t="n">
        <v>4033183</v>
      </c>
      <c r="AK55" s="19" t="n">
        <v>6407048</v>
      </c>
      <c r="AL55" s="19" t="n">
        <v>11237468</v>
      </c>
      <c r="AM55" s="19" t="n">
        <v>4012839.78</v>
      </c>
      <c r="AN55" s="19" t="n">
        <v>4651550.11</v>
      </c>
      <c r="AO55" s="19" t="n">
        <v>4347243.09</v>
      </c>
      <c r="AP55" s="19" t="n">
        <v>465155.01</v>
      </c>
      <c r="AQ55" s="19" t="n">
        <v>434724.31</v>
      </c>
      <c r="AR55" s="19" t="n">
        <v>16914.73</v>
      </c>
      <c r="AS55" s="19" t="n">
        <v>0</v>
      </c>
      <c r="AT55" s="19" t="n">
        <v>232577.51</v>
      </c>
      <c r="AU55" s="19" t="n">
        <v>217362.15</v>
      </c>
      <c r="AV55" s="19" t="n">
        <v>19834.83</v>
      </c>
      <c r="AW55" s="19" t="n">
        <v>14615.89</v>
      </c>
      <c r="AX55" s="19" t="n">
        <v>10426</v>
      </c>
      <c r="AY55" s="19" t="n">
        <v>9743.93</v>
      </c>
      <c r="AZ55" s="19" t="n">
        <v>13614.29</v>
      </c>
      <c r="BA55" s="19" t="n">
        <v>0</v>
      </c>
      <c r="BB55" s="19" t="n">
        <v>2320.94</v>
      </c>
      <c r="BC55" s="19" t="n">
        <v>0</v>
      </c>
      <c r="BD55" s="19" t="n">
        <v>383.37</v>
      </c>
      <c r="BE55" s="19" t="n">
        <v>0</v>
      </c>
      <c r="BF55" s="19" t="n">
        <f aca="false">SUM(BE55,BC55,BA55,AY55,AW55,AU55,AS55,AQ55,AO55)</f>
        <v>5023689.37</v>
      </c>
      <c r="BG55" s="19" t="n">
        <v>20017.92</v>
      </c>
      <c r="BH55" s="19" t="n">
        <v>11692.71</v>
      </c>
      <c r="BI55" s="19" t="n">
        <v>9557.17</v>
      </c>
      <c r="BJ55" s="19" t="n">
        <v>8931.93</v>
      </c>
      <c r="BK55" s="19" t="n">
        <v>6950.67</v>
      </c>
      <c r="BL55" s="19" t="n">
        <v>6495.95</v>
      </c>
      <c r="BM55" s="19" t="n">
        <v>24327.33</v>
      </c>
      <c r="BN55" s="19" t="n">
        <v>22735.83</v>
      </c>
      <c r="BO55" s="19" t="n">
        <v>7290.91</v>
      </c>
      <c r="BP55" s="19" t="n">
        <v>0</v>
      </c>
      <c r="BQ55" s="19" t="n">
        <v>126983.33</v>
      </c>
      <c r="BR55" s="19" t="n">
        <v>118676.01</v>
      </c>
      <c r="BS55" s="19" t="n">
        <v>4901.11</v>
      </c>
      <c r="BT55" s="19" t="n">
        <v>4372.27</v>
      </c>
      <c r="BU55" s="19" t="n">
        <v>116288.75</v>
      </c>
      <c r="BV55" s="19" t="n">
        <v>108681.08</v>
      </c>
      <c r="BW55" s="19" t="n">
        <v>8757.84</v>
      </c>
      <c r="BX55" s="19" t="n">
        <v>5683.96</v>
      </c>
      <c r="BY55" s="19" t="n">
        <v>3089.19</v>
      </c>
      <c r="BZ55" s="19" t="n">
        <v>6495.95</v>
      </c>
      <c r="CA55" s="19" t="n">
        <v>17029.13</v>
      </c>
      <c r="CB55" s="19" t="n">
        <v>15915.08</v>
      </c>
      <c r="CC55" s="19" t="n">
        <v>121786.04</v>
      </c>
      <c r="CD55" s="19" t="n">
        <v>130417.29</v>
      </c>
      <c r="CE55" s="19" t="n">
        <v>46515.5</v>
      </c>
      <c r="CF55" s="19" t="n">
        <v>43472.43</v>
      </c>
      <c r="CG55" s="19" t="n">
        <f aca="false">SUM(CF55,CD55,CB55,BZ55,BX55,BV55,BT55,BR55,BP55,BN55,BL55,BJ55,BH55)</f>
        <v>483570.49</v>
      </c>
      <c r="CH55" s="19" t="n">
        <f aca="false">CG55+BF55</f>
        <v>5507259.86</v>
      </c>
      <c r="CI55" s="19" t="n">
        <f aca="false">SUM(CE55,CC55,CA55,BY55,BW55,BU55,BS55,BQ55,BO55,BM55,BK55,BI55,BG55,BD55,BB55,AZ55,AX55,AV55,AT55,AR55,AP55,AN55)</f>
        <v>5926271.68</v>
      </c>
      <c r="CJ55" s="19" t="n">
        <f aca="false">CI55-CH55</f>
        <v>419011.82</v>
      </c>
      <c r="CK55" s="19" t="n">
        <f aca="false">IF(CE55-CF55+CC55-CD55+CA55-CB55+BU55-BV55+BK55-BL55+BI55-BJ55 &gt; 0, CE55-CF55+CC55-CD55+CA55-CB55+BU55-BV55+BK55-BL55+BI55-BJ55, "-")</f>
        <v>4213.49999999999</v>
      </c>
      <c r="CL55" s="19" t="str">
        <f aca="false">IF(CJ55&lt;0,"⚠ Over Budget","✓ Within Budget")</f>
        <v>✓ Within Budget</v>
      </c>
      <c r="CM55" s="21"/>
    </row>
    <row r="56" customFormat="false" ht="14.25" hidden="false" customHeight="false" outlineLevel="0" collapsed="false">
      <c r="A56" s="22" t="s">
        <v>99</v>
      </c>
      <c r="B56" s="22" t="n">
        <v>2026</v>
      </c>
      <c r="C56" s="22" t="n">
        <v>25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0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25</v>
      </c>
      <c r="T56" s="22" t="n">
        <v>6</v>
      </c>
      <c r="U56" s="22" t="n">
        <v>19</v>
      </c>
      <c r="V56" s="22" t="n">
        <v>25</v>
      </c>
      <c r="W56" s="22" t="n">
        <v>0</v>
      </c>
      <c r="X56" s="22" t="n">
        <v>2</v>
      </c>
      <c r="Y56" s="22" t="n">
        <v>6</v>
      </c>
      <c r="Z56" s="22" t="n">
        <v>8</v>
      </c>
      <c r="AA56" s="22" t="n">
        <v>6</v>
      </c>
      <c r="AB56" s="22" t="n">
        <v>2</v>
      </c>
      <c r="AC56" s="22" t="n">
        <v>1</v>
      </c>
      <c r="AD56" s="23" t="n">
        <v>0</v>
      </c>
      <c r="AE56" s="23" t="n">
        <v>0</v>
      </c>
      <c r="AF56" s="24" t="n">
        <v>62.1</v>
      </c>
      <c r="AG56" s="25" t="n">
        <v>1086808</v>
      </c>
      <c r="AH56" s="25" t="n">
        <v>1677518</v>
      </c>
      <c r="AI56" s="25" t="n">
        <v>2514100</v>
      </c>
      <c r="AJ56" s="25" t="n">
        <v>4033183</v>
      </c>
      <c r="AK56" s="25" t="n">
        <v>6407048</v>
      </c>
      <c r="AL56" s="25" t="n">
        <v>11237468</v>
      </c>
      <c r="AM56" s="25" t="n">
        <v>4012839.78</v>
      </c>
      <c r="AN56" s="25" t="n">
        <v>4651550.11</v>
      </c>
      <c r="AO56" s="25" t="n">
        <v>4347243.09</v>
      </c>
      <c r="AP56" s="25" t="n">
        <v>465155.01</v>
      </c>
      <c r="AQ56" s="25" t="n">
        <v>434724.31</v>
      </c>
      <c r="AR56" s="25" t="n">
        <v>16914.73</v>
      </c>
      <c r="AS56" s="25" t="n">
        <v>0</v>
      </c>
      <c r="AT56" s="25" t="n">
        <v>232577.51</v>
      </c>
      <c r="AU56" s="25" t="n">
        <v>217362.15</v>
      </c>
      <c r="AV56" s="25" t="n">
        <v>22886.34</v>
      </c>
      <c r="AW56" s="25" t="n">
        <v>14615.89</v>
      </c>
      <c r="AX56" s="25" t="n">
        <v>10426</v>
      </c>
      <c r="AY56" s="25" t="n">
        <v>9743.93</v>
      </c>
      <c r="AZ56" s="25" t="n">
        <v>13614.29</v>
      </c>
      <c r="BA56" s="25" t="n">
        <v>0</v>
      </c>
      <c r="BB56" s="25" t="n">
        <v>3481.41</v>
      </c>
      <c r="BC56" s="25" t="n">
        <v>0</v>
      </c>
      <c r="BD56" s="25" t="n">
        <v>766.74</v>
      </c>
      <c r="BE56" s="25" t="n">
        <v>0</v>
      </c>
      <c r="BF56" s="25" t="n">
        <f aca="false">SUM(BE56,BC56,BA56,AY56,AW56,AU56,AS56,AQ56,AO56)</f>
        <v>5023689.37</v>
      </c>
      <c r="BG56" s="25" t="n">
        <v>3459.89</v>
      </c>
      <c r="BH56" s="25" t="n">
        <v>4547.17</v>
      </c>
      <c r="BI56" s="25" t="n">
        <v>9557.17</v>
      </c>
      <c r="BJ56" s="25" t="n">
        <v>8931.93</v>
      </c>
      <c r="BK56" s="25" t="n">
        <v>6950.67</v>
      </c>
      <c r="BL56" s="25" t="n">
        <v>6495.95</v>
      </c>
      <c r="BM56" s="25" t="n">
        <v>24327.33</v>
      </c>
      <c r="BN56" s="25" t="n">
        <v>22735.83</v>
      </c>
      <c r="BO56" s="25" t="n">
        <v>3645.45</v>
      </c>
      <c r="BP56" s="25" t="n">
        <v>0</v>
      </c>
      <c r="BQ56" s="25" t="n">
        <v>126983.33</v>
      </c>
      <c r="BR56" s="25" t="n">
        <v>118676.01</v>
      </c>
      <c r="BS56" s="25" t="n">
        <v>5792.22</v>
      </c>
      <c r="BT56" s="25" t="n">
        <v>4372.27</v>
      </c>
      <c r="BU56" s="25" t="n">
        <v>116288.75</v>
      </c>
      <c r="BV56" s="25" t="n">
        <v>108681.08</v>
      </c>
      <c r="BW56" s="25" t="n">
        <v>5838.56</v>
      </c>
      <c r="BX56" s="25" t="n">
        <v>5683.96</v>
      </c>
      <c r="BY56" s="25" t="n">
        <v>81968.4</v>
      </c>
      <c r="BZ56" s="25" t="n">
        <v>34472.69</v>
      </c>
      <c r="CA56" s="25" t="n">
        <v>17029.13</v>
      </c>
      <c r="CB56" s="25" t="n">
        <v>15915.08</v>
      </c>
      <c r="CC56" s="25" t="n">
        <v>76116.27</v>
      </c>
      <c r="CD56" s="25" t="n">
        <v>130417.29</v>
      </c>
      <c r="CE56" s="25" t="n">
        <v>46515.5</v>
      </c>
      <c r="CF56" s="25" t="n">
        <v>43472.43</v>
      </c>
      <c r="CG56" s="25" t="n">
        <f aca="false">SUM(CF56,CD56,CB56,BZ56,BX56,BV56,BT56,BR56,BP56,BN56,BL56,BJ56,BH56)</f>
        <v>504401.69</v>
      </c>
      <c r="CH56" s="25" t="n">
        <f aca="false">CG56+BF56</f>
        <v>5528091.06</v>
      </c>
      <c r="CI56" s="25" t="n">
        <f aca="false">SUM(CE56,CC56,CA56,BY56,BW56,BU56,BS56,BQ56,BO56,BM56,BK56,BI56,BG56,BD56,BB56,AZ56,AX56,AV56,AT56,AR56,AP56,AN56)</f>
        <v>5941844.81</v>
      </c>
      <c r="CJ56" s="25" t="n">
        <f aca="false">CI56-CH56</f>
        <v>413753.75</v>
      </c>
      <c r="CK56" s="25" t="str">
        <f aca="false">IF(CE56-CF56+CC56-CD56+CA56-CB56+BU56-BV56+BK56-BL56+BI56-BJ56 &gt; 0, CE56-CF56+CC56-CD56+CA56-CB56+BU56-BV56+BK56-BL56+BI56-BJ56, "-")</f>
        <v>-</v>
      </c>
      <c r="CL56" s="25" t="str">
        <f aca="false">IF(CJ56&lt;0,"⚠ Over Budget","✓ Within Budget")</f>
        <v>✓ Within Budget</v>
      </c>
      <c r="CM56" s="27"/>
    </row>
    <row r="57" customFormat="false" ht="18.75" hidden="false" customHeight="true" outlineLevel="0" collapsed="false">
      <c r="A57" s="28" t="s">
        <v>100</v>
      </c>
      <c r="B57" s="28" t="n">
        <v>2026</v>
      </c>
      <c r="C57" s="28" t="n">
        <v>25</v>
      </c>
      <c r="D57" s="28" t="n">
        <v>1</v>
      </c>
      <c r="E57" s="28" t="n">
        <v>0</v>
      </c>
      <c r="F57" s="28" t="n">
        <v>0</v>
      </c>
      <c r="G57" s="28" t="n">
        <v>0</v>
      </c>
      <c r="H57" s="28" t="n">
        <v>0</v>
      </c>
      <c r="I57" s="28" t="n">
        <v>1</v>
      </c>
      <c r="J57" s="28" t="n">
        <v>1</v>
      </c>
      <c r="K57" s="28" t="n">
        <v>0</v>
      </c>
      <c r="L57" s="28" t="n">
        <v>0</v>
      </c>
      <c r="M57" s="28" t="n">
        <v>0</v>
      </c>
      <c r="N57" s="28" t="n">
        <v>0</v>
      </c>
      <c r="O57" s="28" t="n">
        <v>0</v>
      </c>
      <c r="P57" s="28" t="n">
        <v>0</v>
      </c>
      <c r="Q57" s="28" t="n">
        <v>0</v>
      </c>
      <c r="R57" s="28" t="n">
        <v>0</v>
      </c>
      <c r="S57" s="28" t="n">
        <v>26</v>
      </c>
      <c r="T57" s="28" t="n">
        <v>7</v>
      </c>
      <c r="U57" s="28" t="n">
        <v>19</v>
      </c>
      <c r="V57" s="28" t="n">
        <v>26</v>
      </c>
      <c r="W57" s="28" t="n">
        <v>0</v>
      </c>
      <c r="X57" s="28" t="n">
        <v>3</v>
      </c>
      <c r="Y57" s="28" t="n">
        <v>6</v>
      </c>
      <c r="Z57" s="28" t="n">
        <v>8</v>
      </c>
      <c r="AA57" s="28" t="n">
        <v>6</v>
      </c>
      <c r="AB57" s="28" t="n">
        <v>2</v>
      </c>
      <c r="AC57" s="28" t="n">
        <v>1</v>
      </c>
      <c r="AD57" s="29" t="n">
        <v>0</v>
      </c>
      <c r="AE57" s="29" t="n">
        <v>0</v>
      </c>
      <c r="AF57" s="30" t="n">
        <v>62.3</v>
      </c>
      <c r="AG57" s="31" t="n">
        <v>1086808</v>
      </c>
      <c r="AH57" s="31" t="n">
        <v>1677518</v>
      </c>
      <c r="AI57" s="31" t="n">
        <v>2514100</v>
      </c>
      <c r="AJ57" s="31" t="n">
        <v>4033183</v>
      </c>
      <c r="AK57" s="31" t="n">
        <v>6407048</v>
      </c>
      <c r="AL57" s="31" t="n">
        <v>11237468</v>
      </c>
      <c r="AM57" s="31" t="n">
        <v>4012839.78</v>
      </c>
      <c r="AN57" s="31" t="n">
        <v>5009361.66</v>
      </c>
      <c r="AO57" s="31" t="n">
        <v>5106607.43</v>
      </c>
      <c r="AP57" s="31" t="n">
        <v>500936.17</v>
      </c>
      <c r="AQ57" s="31" t="n">
        <v>468164.64</v>
      </c>
      <c r="AR57" s="31" t="n">
        <v>18215.86</v>
      </c>
      <c r="AS57" s="31" t="n">
        <v>0</v>
      </c>
      <c r="AT57" s="31" t="n">
        <v>250468.08</v>
      </c>
      <c r="AU57" s="31" t="n">
        <v>234082.32</v>
      </c>
      <c r="AV57" s="31" t="n">
        <v>19717.46</v>
      </c>
      <c r="AW57" s="31" t="n">
        <v>15740.19</v>
      </c>
      <c r="AX57" s="31" t="n">
        <v>11228</v>
      </c>
      <c r="AY57" s="31" t="n">
        <v>10493.46</v>
      </c>
      <c r="AZ57" s="31" t="n">
        <v>12217.96</v>
      </c>
      <c r="BA57" s="31" t="n">
        <v>0</v>
      </c>
      <c r="BB57" s="31" t="n">
        <v>58023.49</v>
      </c>
      <c r="BC57" s="31" t="n">
        <v>741708.7</v>
      </c>
      <c r="BD57" s="31" t="n">
        <v>1150.11</v>
      </c>
      <c r="BE57" s="31" t="n">
        <v>0</v>
      </c>
      <c r="BF57" s="31" t="n">
        <f aca="false">SUM(BE57,BC57,BA57,AY57,AW57,AU57,AS57,AQ57,AO57)</f>
        <v>6576796.74</v>
      </c>
      <c r="BG57" s="31" t="n">
        <v>2794.52</v>
      </c>
      <c r="BH57" s="31" t="n">
        <v>4896.95</v>
      </c>
      <c r="BI57" s="31" t="n">
        <v>10292.33</v>
      </c>
      <c r="BJ57" s="31" t="n">
        <v>9619</v>
      </c>
      <c r="BK57" s="31" t="n">
        <v>7485.33</v>
      </c>
      <c r="BL57" s="31" t="n">
        <v>6995.64</v>
      </c>
      <c r="BM57" s="31" t="n">
        <v>26198.67</v>
      </c>
      <c r="BN57" s="31" t="n">
        <v>24484.74</v>
      </c>
      <c r="BO57" s="31" t="n">
        <v>127590.91</v>
      </c>
      <c r="BP57" s="31" t="n">
        <v>327030.09</v>
      </c>
      <c r="BQ57" s="31" t="n">
        <v>126983.33</v>
      </c>
      <c r="BR57" s="31" t="n">
        <v>118676.01</v>
      </c>
      <c r="BS57" s="31" t="n">
        <v>5792.22</v>
      </c>
      <c r="BT57" s="31" t="n">
        <v>4372.27</v>
      </c>
      <c r="BU57" s="31" t="n">
        <v>125234.04</v>
      </c>
      <c r="BV57" s="31" t="n">
        <v>117041.16</v>
      </c>
      <c r="BW57" s="31" t="n">
        <v>3143.84</v>
      </c>
      <c r="BX57" s="31" t="n">
        <v>6121.18</v>
      </c>
      <c r="BY57" s="31" t="n">
        <v>3326.81</v>
      </c>
      <c r="BZ57" s="31" t="n">
        <v>6995.64</v>
      </c>
      <c r="CA57" s="31" t="n">
        <v>18339.07</v>
      </c>
      <c r="CB57" s="31" t="n">
        <v>17139.31</v>
      </c>
      <c r="CC57" s="31" t="n">
        <v>81971.37</v>
      </c>
      <c r="CD57" s="31" t="n">
        <v>140449.39</v>
      </c>
      <c r="CE57" s="31" t="n">
        <v>50093.62</v>
      </c>
      <c r="CF57" s="31" t="n">
        <v>46816.46</v>
      </c>
      <c r="CG57" s="31" t="n">
        <f aca="false">SUM(CF57,CD57,CB57,BZ57,BX57,BV57,BT57,BR57,BP57,BN57,BL57,BJ57,BH57)</f>
        <v>830637.84</v>
      </c>
      <c r="CH57" s="31" t="n">
        <f aca="false">CG57+BF57</f>
        <v>7407434.58</v>
      </c>
      <c r="CI57" s="31" t="n">
        <f aca="false">SUM(CE57,CC57,CA57,BY57,BW57,BU57,BS57,BQ57,BO57,BM57,BK57,BI57,BG57,BD57,BB57,AZ57,AX57,AV57,AT57,AR57,AP57,AN57)</f>
        <v>6470564.85</v>
      </c>
      <c r="CJ57" s="31" t="n">
        <f aca="false">CI57-CH57</f>
        <v>-936869.729999999</v>
      </c>
      <c r="CK57" s="31" t="str">
        <f aca="false">IF(CE57-CF57+CC57-CD57+CA57-CB57+BU57-BV57+BK57-BL57+BI57-BJ57 &gt; 0, CE57-CF57+CC57-CD57+CA57-CB57+BU57-BV57+BK57-BL57+BI57-BJ57, "-")</f>
        <v>-</v>
      </c>
      <c r="CL57" s="31" t="str">
        <f aca="false">IF(CJ57&lt;0,"⚠ Over Budget","✓ Within Budget")</f>
        <v>⚠ Over Budget</v>
      </c>
      <c r="CM57" s="33" t="s">
        <v>110</v>
      </c>
    </row>
    <row r="58" customFormat="false" ht="14.25" hidden="false" customHeight="false" outlineLevel="0" collapsed="false">
      <c r="A58" s="22" t="s">
        <v>101</v>
      </c>
      <c r="B58" s="22" t="n">
        <v>2026</v>
      </c>
      <c r="C58" s="22" t="n">
        <v>26</v>
      </c>
      <c r="D58" s="22" t="n">
        <v>1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1</v>
      </c>
      <c r="J58" s="22" t="n">
        <v>1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27</v>
      </c>
      <c r="T58" s="22" t="n">
        <v>7</v>
      </c>
      <c r="U58" s="22" t="n">
        <v>20</v>
      </c>
      <c r="V58" s="22" t="n">
        <v>27</v>
      </c>
      <c r="W58" s="22" t="n">
        <v>0</v>
      </c>
      <c r="X58" s="22" t="n">
        <v>3</v>
      </c>
      <c r="Y58" s="22" t="n">
        <v>6</v>
      </c>
      <c r="Z58" s="22" t="n">
        <v>9</v>
      </c>
      <c r="AA58" s="22" t="n">
        <v>6</v>
      </c>
      <c r="AB58" s="22" t="n">
        <v>2</v>
      </c>
      <c r="AC58" s="22" t="n">
        <v>1</v>
      </c>
      <c r="AD58" s="23" t="n">
        <v>0</v>
      </c>
      <c r="AE58" s="23" t="n">
        <v>0</v>
      </c>
      <c r="AF58" s="24" t="n">
        <v>62.5</v>
      </c>
      <c r="AG58" s="25" t="n">
        <v>1086808</v>
      </c>
      <c r="AH58" s="25" t="n">
        <v>1677518</v>
      </c>
      <c r="AI58" s="25" t="n">
        <v>2514100</v>
      </c>
      <c r="AJ58" s="25" t="n">
        <v>4033183</v>
      </c>
      <c r="AK58" s="25" t="n">
        <v>6407048</v>
      </c>
      <c r="AL58" s="25" t="n">
        <v>11237468</v>
      </c>
      <c r="AM58" s="25" t="n">
        <v>4012839.78</v>
      </c>
      <c r="AN58" s="25" t="n">
        <v>5724984.75</v>
      </c>
      <c r="AO58" s="25" t="n">
        <v>5350453.04</v>
      </c>
      <c r="AP58" s="25" t="n">
        <v>572498.48</v>
      </c>
      <c r="AQ58" s="25" t="n">
        <v>535045.3</v>
      </c>
      <c r="AR58" s="25" t="n">
        <v>20818.13</v>
      </c>
      <c r="AS58" s="25" t="n">
        <v>0</v>
      </c>
      <c r="AT58" s="25" t="n">
        <v>286249.24</v>
      </c>
      <c r="AU58" s="25" t="n">
        <v>267522.65</v>
      </c>
      <c r="AV58" s="25" t="n">
        <v>18778.54</v>
      </c>
      <c r="AW58" s="25" t="n">
        <v>17988.79</v>
      </c>
      <c r="AX58" s="25" t="n">
        <v>12832</v>
      </c>
      <c r="AY58" s="25" t="n">
        <v>11992.52</v>
      </c>
      <c r="AZ58" s="25" t="n">
        <v>13963.38</v>
      </c>
      <c r="BA58" s="25" t="n">
        <v>0</v>
      </c>
      <c r="BB58" s="25" t="n">
        <v>116046.99</v>
      </c>
      <c r="BC58" s="25" t="n">
        <v>66880.66</v>
      </c>
      <c r="BD58" s="25" t="n">
        <v>1150.11</v>
      </c>
      <c r="BE58" s="25" t="n">
        <v>0</v>
      </c>
      <c r="BF58" s="25" t="n">
        <f aca="false">SUM(BE58,BC58,BA58,AY58,AW58,AU58,AS58,AQ58,AO58)</f>
        <v>6249882.96</v>
      </c>
      <c r="BG58" s="25" t="n">
        <v>17109.33</v>
      </c>
      <c r="BH58" s="25" t="n">
        <v>11992.52</v>
      </c>
      <c r="BI58" s="25" t="n">
        <v>11762.67</v>
      </c>
      <c r="BJ58" s="25" t="n">
        <v>10993.15</v>
      </c>
      <c r="BK58" s="25" t="n">
        <v>8554.67</v>
      </c>
      <c r="BL58" s="25" t="n">
        <v>7995.02</v>
      </c>
      <c r="BM58" s="25" t="n">
        <v>29941.33</v>
      </c>
      <c r="BN58" s="25" t="n">
        <v>27982.55</v>
      </c>
      <c r="BO58" s="25" t="n">
        <v>102072.73</v>
      </c>
      <c r="BP58" s="25" t="n">
        <v>87445.48</v>
      </c>
      <c r="BQ58" s="25" t="n">
        <v>152380</v>
      </c>
      <c r="BR58" s="25" t="n">
        <v>142411.21</v>
      </c>
      <c r="BS58" s="25" t="n">
        <v>6950.67</v>
      </c>
      <c r="BT58" s="25" t="n">
        <v>5246.73</v>
      </c>
      <c r="BU58" s="25" t="n">
        <v>143124.62</v>
      </c>
      <c r="BV58" s="25" t="n">
        <v>133761.33</v>
      </c>
      <c r="BW58" s="25" t="n">
        <v>7185.92</v>
      </c>
      <c r="BX58" s="25" t="n">
        <v>6995.64</v>
      </c>
      <c r="BY58" s="25" t="n">
        <v>8295.55</v>
      </c>
      <c r="BZ58" s="25" t="n">
        <v>14536.59</v>
      </c>
      <c r="CA58" s="25" t="n">
        <v>20958.93</v>
      </c>
      <c r="CB58" s="25" t="n">
        <v>19587.79</v>
      </c>
      <c r="CC58" s="25" t="n">
        <v>93681.57</v>
      </c>
      <c r="CD58" s="25" t="n">
        <v>160513.59</v>
      </c>
      <c r="CE58" s="25" t="n">
        <v>57249.85</v>
      </c>
      <c r="CF58" s="25" t="n">
        <v>53504.53</v>
      </c>
      <c r="CG58" s="25" t="n">
        <f aca="false">SUM(CF58,CD58,CB58,BZ58,BX58,BV58,BT58,BR58,BP58,BN58,BL58,BJ58,BH58)</f>
        <v>682966.13</v>
      </c>
      <c r="CH58" s="25" t="n">
        <f aca="false">CG58+BF58</f>
        <v>6932849.09</v>
      </c>
      <c r="CI58" s="25" t="n">
        <f aca="false">SUM(CE58,CC58,CA58,BY58,BW58,BU58,BS58,BQ58,BO58,BM58,BK58,BI58,BG58,BD58,BB58,AZ58,AX58,AV58,AT58,AR58,AP58,AN58)</f>
        <v>7426589.46</v>
      </c>
      <c r="CJ58" s="25" t="n">
        <f aca="false">CI58-CH58</f>
        <v>493740.37</v>
      </c>
      <c r="CK58" s="25" t="str">
        <f aca="false">IF(CE58-CF58+CC58-CD58+CA58-CB58+BU58-BV58+BK58-BL58+BI58-BJ58 &gt; 0, CE58-CF58+CC58-CD58+CA58-CB58+BU58-BV58+BK58-BL58+BI58-BJ58, "-")</f>
        <v>-</v>
      </c>
      <c r="CL58" s="25" t="str">
        <f aca="false">IF(CJ58&lt;0,"⚠ Over Budget","✓ Within Budget")</f>
        <v>✓ Within Budget</v>
      </c>
      <c r="CM58" s="27"/>
    </row>
    <row r="59" customFormat="false" ht="14.25" hidden="false" customHeight="false" outlineLevel="0" collapsed="false">
      <c r="A59" s="16" t="s">
        <v>102</v>
      </c>
      <c r="B59" s="16" t="n">
        <v>2026</v>
      </c>
      <c r="C59" s="16" t="n">
        <v>27</v>
      </c>
      <c r="D59" s="16" t="n">
        <v>1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1</v>
      </c>
      <c r="J59" s="16" t="n">
        <v>1</v>
      </c>
      <c r="K59" s="16" t="n">
        <v>1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1</v>
      </c>
      <c r="Q59" s="16" t="n">
        <v>1</v>
      </c>
      <c r="R59" s="16" t="n">
        <v>0</v>
      </c>
      <c r="S59" s="16" t="n">
        <v>27</v>
      </c>
      <c r="T59" s="16" t="n">
        <v>7</v>
      </c>
      <c r="U59" s="16" t="n">
        <v>20</v>
      </c>
      <c r="V59" s="16" t="n">
        <v>27</v>
      </c>
      <c r="W59" s="16" t="n">
        <v>0</v>
      </c>
      <c r="X59" s="16" t="n">
        <v>3</v>
      </c>
      <c r="Y59" s="16" t="n">
        <v>6</v>
      </c>
      <c r="Z59" s="16" t="n">
        <v>9</v>
      </c>
      <c r="AA59" s="16" t="n">
        <v>6</v>
      </c>
      <c r="AB59" s="16" t="n">
        <v>2</v>
      </c>
      <c r="AC59" s="16" t="n">
        <v>1</v>
      </c>
      <c r="AD59" s="17" t="n">
        <v>0.444444</v>
      </c>
      <c r="AE59" s="17" t="n">
        <v>0</v>
      </c>
      <c r="AF59" s="18" t="n">
        <v>62.7</v>
      </c>
      <c r="AG59" s="19" t="n">
        <v>1086808</v>
      </c>
      <c r="AH59" s="19" t="n">
        <v>1677518</v>
      </c>
      <c r="AI59" s="19" t="n">
        <v>2514100</v>
      </c>
      <c r="AJ59" s="19" t="n">
        <v>4033183</v>
      </c>
      <c r="AK59" s="19" t="n">
        <v>6407048</v>
      </c>
      <c r="AL59" s="19" t="n">
        <v>11237468</v>
      </c>
      <c r="AM59" s="19" t="n">
        <v>4012839.78</v>
      </c>
      <c r="AN59" s="19" t="n">
        <v>7156230.94</v>
      </c>
      <c r="AO59" s="19" t="n">
        <v>6688066.3</v>
      </c>
      <c r="AP59" s="19" t="n">
        <v>715623.09</v>
      </c>
      <c r="AQ59" s="19" t="n">
        <v>668806.63</v>
      </c>
      <c r="AR59" s="19" t="n">
        <v>26022.66</v>
      </c>
      <c r="AS59" s="19" t="n">
        <v>0</v>
      </c>
      <c r="AT59" s="19" t="n">
        <v>357811.55</v>
      </c>
      <c r="AU59" s="19" t="n">
        <v>334403.31</v>
      </c>
      <c r="AV59" s="19" t="n">
        <v>25820.49</v>
      </c>
      <c r="AW59" s="19" t="n">
        <v>22485.98</v>
      </c>
      <c r="AX59" s="19" t="n">
        <v>16040</v>
      </c>
      <c r="AY59" s="19" t="n">
        <v>14990.65</v>
      </c>
      <c r="AZ59" s="19" t="n">
        <v>34908.44</v>
      </c>
      <c r="BA59" s="19" t="n">
        <v>0</v>
      </c>
      <c r="BB59" s="19" t="n">
        <v>139256.39</v>
      </c>
      <c r="BC59" s="19" t="n">
        <v>133761.33</v>
      </c>
      <c r="BD59" s="19" t="n">
        <v>383.37</v>
      </c>
      <c r="BE59" s="19" t="n">
        <v>0</v>
      </c>
      <c r="BF59" s="19" t="n">
        <f aca="false">SUM(BE59,BC59,BA59,AY59,AW59,AU59,AS59,AQ59,AO59)</f>
        <v>7862514.2</v>
      </c>
      <c r="BG59" s="19" t="n">
        <v>30796.8</v>
      </c>
      <c r="BH59" s="19" t="n">
        <v>17988.79</v>
      </c>
      <c r="BI59" s="19" t="n">
        <v>14703.33</v>
      </c>
      <c r="BJ59" s="19" t="n">
        <v>13741.43</v>
      </c>
      <c r="BK59" s="19" t="n">
        <v>10693.33</v>
      </c>
      <c r="BL59" s="19" t="n">
        <v>9993.77</v>
      </c>
      <c r="BM59" s="19" t="n">
        <v>37426.67</v>
      </c>
      <c r="BN59" s="19" t="n">
        <v>34978.19</v>
      </c>
      <c r="BO59" s="19" t="n">
        <v>102072.73</v>
      </c>
      <c r="BP59" s="19" t="n">
        <v>174890.97</v>
      </c>
      <c r="BQ59" s="19" t="n">
        <v>190475</v>
      </c>
      <c r="BR59" s="19" t="n">
        <v>178014.02</v>
      </c>
      <c r="BS59" s="19" t="n">
        <v>7351.67</v>
      </c>
      <c r="BT59" s="19" t="n">
        <v>6558.41</v>
      </c>
      <c r="BU59" s="19" t="n">
        <v>178905.77</v>
      </c>
      <c r="BV59" s="19" t="n">
        <v>167201.66</v>
      </c>
      <c r="BW59" s="19" t="n">
        <v>17964.8</v>
      </c>
      <c r="BX59" s="19" t="n">
        <v>8744.55</v>
      </c>
      <c r="BY59" s="19" t="n">
        <v>4752.59</v>
      </c>
      <c r="BZ59" s="19" t="n">
        <v>9993.77</v>
      </c>
      <c r="CA59" s="19" t="n">
        <v>26198.67</v>
      </c>
      <c r="CB59" s="19" t="n">
        <v>24484.74</v>
      </c>
      <c r="CC59" s="19" t="n">
        <v>140522.35</v>
      </c>
      <c r="CD59" s="19" t="n">
        <v>200641.99</v>
      </c>
      <c r="CE59" s="19" t="n">
        <v>71562.31</v>
      </c>
      <c r="CF59" s="19" t="n">
        <v>66880.66</v>
      </c>
      <c r="CG59" s="19" t="n">
        <f aca="false">SUM(CF59,CD59,CB59,BZ59,BX59,BV59,BT59,BR59,BP59,BN59,BL59,BJ59,BH59)</f>
        <v>914112.95</v>
      </c>
      <c r="CH59" s="19" t="n">
        <f aca="false">CG59+BF59</f>
        <v>8776627.15</v>
      </c>
      <c r="CI59" s="19" t="n">
        <f aca="false">SUM(CE59,CC59,CA59,BY59,BW59,BU59,BS59,BQ59,BO59,BM59,BK59,BI59,BG59,BD59,BB59,AZ59,AX59,AV59,AT59,AR59,AP59,AN59)</f>
        <v>9305522.95</v>
      </c>
      <c r="CJ59" s="19" t="n">
        <f aca="false">CI59-CH59</f>
        <v>528895.800000001</v>
      </c>
      <c r="CK59" s="19" t="str">
        <f aca="false">IF(CE59-CF59+CC59-CD59+CA59-CB59+BU59-BV59+BK59-BL59+BI59-BJ59 &gt; 0, CE59-CF59+CC59-CD59+CA59-CB59+BU59-BV59+BK59-BL59+BI59-BJ59, "-")</f>
        <v>-</v>
      </c>
      <c r="CL59" s="19" t="str">
        <f aca="false">IF(CJ59&lt;0,"⚠ Over Budget","✓ Within Budget")</f>
        <v>✓ Within Budget</v>
      </c>
      <c r="CM59" s="21"/>
    </row>
    <row r="60" customFormat="false" ht="14.25" hidden="false" customHeight="false" outlineLevel="0" collapsed="false">
      <c r="A60" s="22" t="s">
        <v>103</v>
      </c>
      <c r="B60" s="22" t="n">
        <v>2026</v>
      </c>
      <c r="C60" s="22" t="n">
        <v>27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27</v>
      </c>
      <c r="T60" s="22" t="n">
        <v>7</v>
      </c>
      <c r="U60" s="22" t="n">
        <v>20</v>
      </c>
      <c r="V60" s="22" t="n">
        <v>27</v>
      </c>
      <c r="W60" s="22" t="n">
        <v>0</v>
      </c>
      <c r="X60" s="22" t="n">
        <v>3</v>
      </c>
      <c r="Y60" s="22" t="n">
        <v>6</v>
      </c>
      <c r="Z60" s="22" t="n">
        <v>9</v>
      </c>
      <c r="AA60" s="22" t="n">
        <v>6</v>
      </c>
      <c r="AB60" s="22" t="n">
        <v>2</v>
      </c>
      <c r="AC60" s="22" t="n">
        <v>1</v>
      </c>
      <c r="AD60" s="23" t="n">
        <v>0</v>
      </c>
      <c r="AE60" s="23" t="n">
        <v>0.013184674435996</v>
      </c>
      <c r="AF60" s="24" t="n">
        <v>62.9</v>
      </c>
      <c r="AG60" s="25" t="n">
        <v>1107162</v>
      </c>
      <c r="AH60" s="25" t="n">
        <v>1707531</v>
      </c>
      <c r="AI60" s="25" t="n">
        <v>2539810</v>
      </c>
      <c r="AJ60" s="25" t="n">
        <v>4080462</v>
      </c>
      <c r="AK60" s="25" t="n">
        <v>6471935</v>
      </c>
      <c r="AL60" s="25" t="n">
        <v>11372185</v>
      </c>
      <c r="AM60" s="25" t="n">
        <v>4061299.64</v>
      </c>
      <c r="AN60" s="25" t="n">
        <v>6880518.48</v>
      </c>
      <c r="AO60" s="25" t="n">
        <v>6430391.1</v>
      </c>
      <c r="AP60" s="25" t="n">
        <v>688051.85</v>
      </c>
      <c r="AQ60" s="25" t="n">
        <v>643039.11</v>
      </c>
      <c r="AR60" s="25" t="n">
        <v>800642.15</v>
      </c>
      <c r="AS60" s="25" t="n">
        <v>257215.64</v>
      </c>
      <c r="AT60" s="25" t="n">
        <v>344025.92</v>
      </c>
      <c r="AU60" s="25" t="n">
        <v>321519.56</v>
      </c>
      <c r="AV60" s="25" t="n">
        <v>20069.56</v>
      </c>
      <c r="AW60" s="25" t="n">
        <v>21361.68</v>
      </c>
      <c r="AX60" s="25" t="n">
        <v>15238</v>
      </c>
      <c r="AY60" s="25" t="n">
        <v>14241.12</v>
      </c>
      <c r="AZ60" s="25" t="n">
        <v>67127.01</v>
      </c>
      <c r="BA60" s="25" t="n">
        <v>0</v>
      </c>
      <c r="BB60" s="25" t="n">
        <v>3523.45</v>
      </c>
      <c r="BC60" s="25" t="n">
        <v>0</v>
      </c>
      <c r="BD60" s="25" t="n">
        <v>116399.75</v>
      </c>
      <c r="BE60" s="25" t="n">
        <v>203064.98</v>
      </c>
      <c r="BF60" s="25" t="n">
        <f aca="false">SUM(BE60,BC60,BA60,AY60,AW60,AU60,AS60,AQ60,AO60)</f>
        <v>7890833.19</v>
      </c>
      <c r="BG60" s="25" t="n">
        <v>17698.65</v>
      </c>
      <c r="BH60" s="25" t="n">
        <v>13291.71</v>
      </c>
      <c r="BI60" s="25" t="n">
        <v>13968.17</v>
      </c>
      <c r="BJ60" s="25" t="n">
        <v>13054.36</v>
      </c>
      <c r="BK60" s="25" t="n">
        <v>10158.67</v>
      </c>
      <c r="BL60" s="25" t="n">
        <v>9494.08</v>
      </c>
      <c r="BM60" s="25" t="n">
        <v>35555.33</v>
      </c>
      <c r="BN60" s="25" t="n">
        <v>33229.28</v>
      </c>
      <c r="BO60" s="25" t="n">
        <v>3645.45</v>
      </c>
      <c r="BP60" s="25" t="n">
        <v>0</v>
      </c>
      <c r="BQ60" s="25" t="n">
        <v>177776.67</v>
      </c>
      <c r="BR60" s="25" t="n">
        <v>166146.42</v>
      </c>
      <c r="BS60" s="25" t="n">
        <v>6237.78</v>
      </c>
      <c r="BT60" s="25" t="n">
        <v>6121.18</v>
      </c>
      <c r="BU60" s="25" t="n">
        <v>172012.96</v>
      </c>
      <c r="BV60" s="25" t="n">
        <v>160759.78</v>
      </c>
      <c r="BW60" s="25" t="n">
        <v>12799.92</v>
      </c>
      <c r="BX60" s="25" t="n">
        <v>8307.32</v>
      </c>
      <c r="BY60" s="25" t="n">
        <v>230164.67</v>
      </c>
      <c r="BZ60" s="25" t="n">
        <v>75623.61</v>
      </c>
      <c r="CA60" s="25" t="n">
        <v>24888.73</v>
      </c>
      <c r="CB60" s="25" t="n">
        <v>23260.5</v>
      </c>
      <c r="CC60" s="25" t="n">
        <v>180144.48</v>
      </c>
      <c r="CD60" s="25" t="n">
        <v>192911.73</v>
      </c>
      <c r="CE60" s="25" t="n">
        <v>68805.18</v>
      </c>
      <c r="CF60" s="25" t="n">
        <v>64303.91</v>
      </c>
      <c r="CG60" s="25" t="n">
        <f aca="false">SUM(CF60,CD60,CB60,BZ60,BX60,BV60,BT60,BR60,BP60,BN60,BL60,BJ60,BH60)</f>
        <v>766503.88</v>
      </c>
      <c r="CH60" s="25" t="n">
        <f aca="false">CG60+BF60</f>
        <v>8657337.07</v>
      </c>
      <c r="CI60" s="25" t="n">
        <f aca="false">SUM(CE60,CC60,CA60,BY60,BW60,BU60,BS60,BQ60,BO60,BM60,BK60,BI60,BG60,BD60,BB60,AZ60,AX60,AV60,AT60,AR60,AP60,AN60)</f>
        <v>9889452.83</v>
      </c>
      <c r="CJ60" s="25" t="n">
        <f aca="false">CI60-CH60</f>
        <v>1232115.76</v>
      </c>
      <c r="CK60" s="25" t="n">
        <f aca="false">IF(CE60-CF60+CC60-CD60+CA60-CB60+BU60-BV60+BK60-BL60+BI60-BJ60 &gt; 0, CE60-CF60+CC60-CD60+CA60-CB60+BU60-BV60+BK60-BL60+BI60-BJ60, "-")</f>
        <v>6193.82999999999</v>
      </c>
      <c r="CL60" s="25" t="str">
        <f aca="false">IF(CJ60&lt;0,"⚠ Over Budget","✓ Within Budget")</f>
        <v>✓ Within Budget</v>
      </c>
      <c r="CM60" s="27"/>
    </row>
    <row r="61" customFormat="false" ht="14.25" hidden="false" customHeight="false" outlineLevel="0" collapsed="false">
      <c r="A61" s="16" t="s">
        <v>104</v>
      </c>
      <c r="B61" s="16" t="n">
        <v>2026</v>
      </c>
      <c r="C61" s="16" t="n">
        <v>27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27</v>
      </c>
      <c r="T61" s="16" t="n">
        <v>7</v>
      </c>
      <c r="U61" s="16" t="n">
        <v>20</v>
      </c>
      <c r="V61" s="16" t="n">
        <v>27</v>
      </c>
      <c r="W61" s="16" t="n">
        <v>0</v>
      </c>
      <c r="X61" s="16" t="n">
        <v>3</v>
      </c>
      <c r="Y61" s="16" t="n">
        <v>6</v>
      </c>
      <c r="Z61" s="16" t="n">
        <v>9</v>
      </c>
      <c r="AA61" s="16" t="n">
        <v>6</v>
      </c>
      <c r="AB61" s="16" t="n">
        <v>2</v>
      </c>
      <c r="AC61" s="16" t="n">
        <v>1</v>
      </c>
      <c r="AD61" s="17" t="n">
        <v>0</v>
      </c>
      <c r="AE61" s="17" t="n">
        <v>0</v>
      </c>
      <c r="AF61" s="18" t="n">
        <v>63.1</v>
      </c>
      <c r="AG61" s="19" t="n">
        <v>1107162</v>
      </c>
      <c r="AH61" s="19" t="n">
        <v>1707531</v>
      </c>
      <c r="AI61" s="19" t="n">
        <v>2539810</v>
      </c>
      <c r="AJ61" s="19" t="n">
        <v>4080462</v>
      </c>
      <c r="AK61" s="19" t="n">
        <v>6471935</v>
      </c>
      <c r="AL61" s="19" t="n">
        <v>11372185</v>
      </c>
      <c r="AM61" s="19" t="n">
        <v>4061299.64</v>
      </c>
      <c r="AN61" s="19" t="n">
        <v>6880518.48</v>
      </c>
      <c r="AO61" s="19" t="n">
        <v>6430391.1</v>
      </c>
      <c r="AP61" s="19" t="n">
        <v>688051.85</v>
      </c>
      <c r="AQ61" s="19" t="n">
        <v>643039.11</v>
      </c>
      <c r="AR61" s="19" t="n">
        <v>81315.22</v>
      </c>
      <c r="AS61" s="19" t="n">
        <v>0</v>
      </c>
      <c r="AT61" s="19" t="n">
        <v>344025.92</v>
      </c>
      <c r="AU61" s="19" t="n">
        <v>321519.56</v>
      </c>
      <c r="AV61" s="19" t="n">
        <v>23786.15</v>
      </c>
      <c r="AW61" s="19" t="n">
        <v>28482.24</v>
      </c>
      <c r="AX61" s="19" t="n">
        <v>15238</v>
      </c>
      <c r="AY61" s="19" t="n">
        <v>14241.12</v>
      </c>
      <c r="AZ61" s="19" t="n">
        <v>33563.5</v>
      </c>
      <c r="BA61" s="19" t="n">
        <v>0</v>
      </c>
      <c r="BB61" s="19" t="n">
        <v>1174.48</v>
      </c>
      <c r="BC61" s="19" t="n">
        <v>0</v>
      </c>
      <c r="BD61" s="19" t="n">
        <v>388</v>
      </c>
      <c r="BE61" s="19" t="n">
        <v>0</v>
      </c>
      <c r="BF61" s="19" t="n">
        <f aca="false">SUM(BE61,BC61,BA61,AY61,AW61,AU61,AS61,AQ61,AO61)</f>
        <v>7437673.13</v>
      </c>
      <c r="BG61" s="19" t="n">
        <v>23116.61</v>
      </c>
      <c r="BH61" s="19" t="n">
        <v>15190.53</v>
      </c>
      <c r="BI61" s="19" t="n">
        <v>13968.17</v>
      </c>
      <c r="BJ61" s="19" t="n">
        <v>13054.36</v>
      </c>
      <c r="BK61" s="19" t="n">
        <v>10158.67</v>
      </c>
      <c r="BL61" s="19" t="n">
        <v>9494.08</v>
      </c>
      <c r="BM61" s="19" t="n">
        <v>35555.33</v>
      </c>
      <c r="BN61" s="19" t="n">
        <v>33229.28</v>
      </c>
      <c r="BO61" s="19" t="n">
        <v>3645.45</v>
      </c>
      <c r="BP61" s="19" t="n">
        <v>0</v>
      </c>
      <c r="BQ61" s="19" t="n">
        <v>177776.67</v>
      </c>
      <c r="BR61" s="19" t="n">
        <v>166146.42</v>
      </c>
      <c r="BS61" s="19" t="n">
        <v>5614</v>
      </c>
      <c r="BT61" s="19" t="n">
        <v>6121.18</v>
      </c>
      <c r="BU61" s="19" t="n">
        <v>172012.96</v>
      </c>
      <c r="BV61" s="19" t="n">
        <v>160759.78</v>
      </c>
      <c r="BW61" s="19" t="n">
        <v>8533.28</v>
      </c>
      <c r="BX61" s="19" t="n">
        <v>8307.32</v>
      </c>
      <c r="BY61" s="19" t="n">
        <v>36778.68</v>
      </c>
      <c r="BZ61" s="19" t="n">
        <v>25779.45</v>
      </c>
      <c r="CA61" s="19" t="n">
        <v>24888.73</v>
      </c>
      <c r="CB61" s="19" t="n">
        <v>23260.5</v>
      </c>
      <c r="CC61" s="19" t="n">
        <v>180144.48</v>
      </c>
      <c r="CD61" s="19" t="n">
        <v>192911.73</v>
      </c>
      <c r="CE61" s="19" t="n">
        <v>68805.18</v>
      </c>
      <c r="CF61" s="19" t="n">
        <v>64303.91</v>
      </c>
      <c r="CG61" s="19" t="n">
        <f aca="false">SUM(CF61,CD61,CB61,BZ61,BX61,BV61,BT61,BR61,BP61,BN61,BL61,BJ61,BH61)</f>
        <v>718558.54</v>
      </c>
      <c r="CH61" s="19" t="n">
        <f aca="false">CG61+BF61</f>
        <v>8156231.67</v>
      </c>
      <c r="CI61" s="19" t="n">
        <f aca="false">SUM(CE61,CC61,CA61,BY61,BW61,BU61,BS61,BQ61,BO61,BM61,BK61,BI61,BG61,BD61,BB61,AZ61,AX61,AV61,AT61,AR61,AP61,AN61)</f>
        <v>8829059.81</v>
      </c>
      <c r="CJ61" s="19" t="n">
        <f aca="false">CI61-CH61</f>
        <v>672828.140000001</v>
      </c>
      <c r="CK61" s="19" t="n">
        <f aca="false">IF(CE61-CF61+CC61-CD61+CA61-CB61+BU61-BV61+BK61-BL61+BI61-BJ61 &gt; 0, CE61-CF61+CC61-CD61+CA61-CB61+BU61-BV61+BK61-BL61+BI61-BJ61, "-")</f>
        <v>6193.82999999999</v>
      </c>
      <c r="CL61" s="19" t="str">
        <f aca="false">IF(CJ61&lt;0,"⚠ Over Budget","✓ Within Budget")</f>
        <v>✓ Within Budget</v>
      </c>
      <c r="CM61" s="21"/>
    </row>
    <row r="62" customFormat="false" ht="18.75" hidden="false" customHeight="true" outlineLevel="0" collapsed="false">
      <c r="A62" s="28" t="s">
        <v>105</v>
      </c>
      <c r="B62" s="28" t="n">
        <v>2026</v>
      </c>
      <c r="C62" s="28" t="n">
        <v>27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1</v>
      </c>
      <c r="S62" s="28" t="n">
        <v>26</v>
      </c>
      <c r="T62" s="28" t="n">
        <v>7</v>
      </c>
      <c r="U62" s="28" t="n">
        <v>19</v>
      </c>
      <c r="V62" s="28" t="n">
        <v>26</v>
      </c>
      <c r="W62" s="28" t="n">
        <v>0</v>
      </c>
      <c r="X62" s="28" t="n">
        <v>3</v>
      </c>
      <c r="Y62" s="28" t="n">
        <v>6</v>
      </c>
      <c r="Z62" s="28" t="n">
        <v>8</v>
      </c>
      <c r="AA62" s="28" t="n">
        <v>6</v>
      </c>
      <c r="AB62" s="28" t="n">
        <v>2</v>
      </c>
      <c r="AC62" s="28" t="n">
        <v>1</v>
      </c>
      <c r="AD62" s="29" t="n">
        <v>0</v>
      </c>
      <c r="AE62" s="29" t="n">
        <v>0</v>
      </c>
      <c r="AF62" s="30" t="n">
        <v>63.3</v>
      </c>
      <c r="AG62" s="31" t="n">
        <v>1107162</v>
      </c>
      <c r="AH62" s="31" t="n">
        <v>1707531</v>
      </c>
      <c r="AI62" s="31" t="n">
        <v>2539810</v>
      </c>
      <c r="AJ62" s="31" t="n">
        <v>4080462</v>
      </c>
      <c r="AK62" s="31" t="n">
        <v>6471935</v>
      </c>
      <c r="AL62" s="31" t="n">
        <v>11372185</v>
      </c>
      <c r="AM62" s="31" t="n">
        <v>4061299.64</v>
      </c>
      <c r="AN62" s="31" t="n">
        <v>6880518.48</v>
      </c>
      <c r="AO62" s="31" t="n">
        <v>6430391.1</v>
      </c>
      <c r="AP62" s="31" t="n">
        <v>688051.85</v>
      </c>
      <c r="AQ62" s="31" t="n">
        <v>643039.11</v>
      </c>
      <c r="AR62" s="31" t="n">
        <v>3002408.06</v>
      </c>
      <c r="AS62" s="31" t="n">
        <v>1846876.69</v>
      </c>
      <c r="AT62" s="31" t="n">
        <v>344025.92</v>
      </c>
      <c r="AU62" s="31" t="n">
        <v>321519.56</v>
      </c>
      <c r="AV62" s="31" t="n">
        <v>20812.88</v>
      </c>
      <c r="AW62" s="31" t="n">
        <v>28482.24</v>
      </c>
      <c r="AX62" s="31" t="n">
        <v>15238</v>
      </c>
      <c r="AY62" s="31" t="n">
        <v>14241.12</v>
      </c>
      <c r="AZ62" s="31" t="n">
        <v>50345.26</v>
      </c>
      <c r="BA62" s="31" t="n">
        <v>0</v>
      </c>
      <c r="BB62" s="31" t="n">
        <v>1174.48</v>
      </c>
      <c r="BC62" s="31" t="n">
        <v>0</v>
      </c>
      <c r="BD62" s="31" t="n">
        <v>388</v>
      </c>
      <c r="BE62" s="31" t="n">
        <v>0</v>
      </c>
      <c r="BF62" s="31" t="n">
        <f aca="false">SUM(BE62,BC62,BA62,AY62,AW62,AU62,AS62,AQ62,AO62)</f>
        <v>9284549.82</v>
      </c>
      <c r="BG62" s="31" t="n">
        <v>3792.57</v>
      </c>
      <c r="BH62" s="31" t="n">
        <v>6645.86</v>
      </c>
      <c r="BI62" s="31" t="n">
        <v>13968.17</v>
      </c>
      <c r="BJ62" s="31" t="n">
        <v>13054.36</v>
      </c>
      <c r="BK62" s="31" t="n">
        <v>10158.67</v>
      </c>
      <c r="BL62" s="31" t="n">
        <v>9494.08</v>
      </c>
      <c r="BM62" s="31" t="n">
        <v>35555.33</v>
      </c>
      <c r="BN62" s="31" t="n">
        <v>33229.28</v>
      </c>
      <c r="BO62" s="31" t="n">
        <v>3645.45</v>
      </c>
      <c r="BP62" s="31" t="n">
        <v>0</v>
      </c>
      <c r="BQ62" s="31" t="n">
        <v>177776.67</v>
      </c>
      <c r="BR62" s="31" t="n">
        <v>166146.42</v>
      </c>
      <c r="BS62" s="31" t="n">
        <v>4990.22</v>
      </c>
      <c r="BT62" s="31" t="n">
        <v>6121.18</v>
      </c>
      <c r="BU62" s="31" t="n">
        <v>172012.96</v>
      </c>
      <c r="BV62" s="31" t="n">
        <v>160759.78</v>
      </c>
      <c r="BW62" s="31" t="n">
        <v>4266.64</v>
      </c>
      <c r="BX62" s="31" t="n">
        <v>8307.32</v>
      </c>
      <c r="BY62" s="31" t="n">
        <v>42469.04</v>
      </c>
      <c r="BZ62" s="31" t="n">
        <v>1233605.6</v>
      </c>
      <c r="CA62" s="31" t="n">
        <v>24888.73</v>
      </c>
      <c r="CB62" s="31" t="n">
        <v>23260.5</v>
      </c>
      <c r="CC62" s="31" t="n">
        <v>112590.3</v>
      </c>
      <c r="CD62" s="31" t="n">
        <v>1224772.52</v>
      </c>
      <c r="CE62" s="31" t="n">
        <v>68805.18</v>
      </c>
      <c r="CF62" s="31" t="n">
        <v>64303.91</v>
      </c>
      <c r="CG62" s="31" t="n">
        <f aca="false">SUM(CF62,CD62,CB62,BZ62,BX62,BV62,BT62,BR62,BP62,BN62,BL62,BJ62,BH62)</f>
        <v>2949700.81</v>
      </c>
      <c r="CH62" s="31" t="n">
        <f aca="false">CG62+BF62</f>
        <v>12234250.63</v>
      </c>
      <c r="CI62" s="31" t="n">
        <f aca="false">SUM(CE62,CC62,CA62,BY62,BW62,BU62,BS62,BQ62,BO62,BM62,BK62,BI62,BG62,BD62,BB62,AZ62,AX62,AV62,AT62,AR62,AP62,AN62)</f>
        <v>11677882.86</v>
      </c>
      <c r="CJ62" s="31" t="n">
        <f aca="false">CI62-CH62</f>
        <v>-556367.77</v>
      </c>
      <c r="CK62" s="31" t="str">
        <f aca="false">IF(CE62-CF62+CC62-CD62+CA62-CB62+BU62-BV62+BK62-BL62+BI62-BJ62 &gt; 0, CE62-CF62+CC62-CD62+CA62-CB62+BU62-BV62+BK62-BL62+BI62-BJ62, "-")</f>
        <v>-</v>
      </c>
      <c r="CL62" s="31" t="str">
        <f aca="false">IF(CJ62&lt;0,"⚠ Over Budget","✓ Within Budget")</f>
        <v>⚠ Over Budget</v>
      </c>
      <c r="CM62" s="33" t="s">
        <v>118</v>
      </c>
    </row>
    <row r="63" customFormat="false" ht="14.25" hidden="false" customHeight="false" outlineLevel="0" collapsed="false">
      <c r="A63" s="34" t="s">
        <v>113</v>
      </c>
      <c r="AN63" s="35" t="n">
        <f aca="false">SUM(AN3:AN62)</f>
        <v>354036457.6</v>
      </c>
      <c r="AO63" s="35" t="n">
        <f aca="false">SUM(AO3:AO62)</f>
        <v>336214318.5</v>
      </c>
      <c r="AP63" s="35" t="n">
        <f aca="false">SUM(AP3:AP62)</f>
        <v>35403645.79</v>
      </c>
      <c r="AQ63" s="35" t="n">
        <f aca="false">SUM(AQ3:AQ62)</f>
        <v>33087519.47</v>
      </c>
      <c r="AR63" s="35" t="n">
        <f aca="false">SUM(AR3:AR62)</f>
        <v>20630890.75</v>
      </c>
      <c r="AS63" s="35" t="n">
        <f aca="false">SUM(AS3:AS62)</f>
        <v>15879105.24</v>
      </c>
      <c r="AT63" s="35" t="n">
        <f aca="false">SUM(AT3:AT62)</f>
        <v>17701822.94</v>
      </c>
      <c r="AU63" s="35" t="n">
        <f aca="false">SUM(AU3:AU62)</f>
        <v>16543759.71</v>
      </c>
      <c r="AV63" s="35" t="n">
        <f aca="false">SUM(AV3:AV62)</f>
        <v>1606888.23</v>
      </c>
      <c r="AW63" s="35" t="n">
        <f aca="false">SUM(AW3:AW62)</f>
        <v>1552036.86</v>
      </c>
      <c r="AX63" s="35" t="n">
        <f aca="false">SUM(AX3:AX62)</f>
        <v>993346.8</v>
      </c>
      <c r="AY63" s="35" t="n">
        <f aca="false">SUM(AY3:AY62)</f>
        <v>928361.43</v>
      </c>
      <c r="AZ63" s="35" t="n">
        <f aca="false">SUM(AZ3:AZ62)</f>
        <v>1781067.01</v>
      </c>
      <c r="BA63" s="35" t="n">
        <f aca="false">SUM(BA3:BA62)</f>
        <v>2054475.76</v>
      </c>
      <c r="BB63" s="35" t="n">
        <f aca="false">SUM(BB3:BB62)</f>
        <v>1207978.82</v>
      </c>
      <c r="BC63" s="35" t="n">
        <f aca="false">SUM(BC3:BC62)</f>
        <v>3556222.17</v>
      </c>
      <c r="BD63" s="35" t="n">
        <f aca="false">SUM(BD3:BD62)</f>
        <v>2402243.1</v>
      </c>
      <c r="BE63" s="35" t="n">
        <f aca="false">SUM(BE3:BE62)</f>
        <v>1893389.21</v>
      </c>
      <c r="BF63" s="35" t="n">
        <f aca="false">SUM(BF3:BF62)</f>
        <v>411709188.35</v>
      </c>
      <c r="BG63" s="35" t="n">
        <f aca="false">SUM(BG3:BG62)</f>
        <v>995096.39</v>
      </c>
      <c r="BH63" s="35" t="n">
        <f aca="false">SUM(BH3:BH62)</f>
        <v>748360.65</v>
      </c>
      <c r="BI63" s="35" t="n">
        <f aca="false">SUM(BI3:BI62)</f>
        <v>910567.82</v>
      </c>
      <c r="BJ63" s="35" t="n">
        <f aca="false">SUM(BJ3:BJ62)</f>
        <v>850998.01</v>
      </c>
      <c r="BK63" s="35" t="n">
        <f aca="false">SUM(BK3:BK62)</f>
        <v>662231.23</v>
      </c>
      <c r="BL63" s="35" t="n">
        <f aca="false">SUM(BL3:BL62)</f>
        <v>1004733.27</v>
      </c>
      <c r="BM63" s="35" t="n">
        <f aca="false">SUM(BM3:BM62)</f>
        <v>2317809.08</v>
      </c>
      <c r="BN63" s="35" t="n">
        <f aca="false">SUM(BN3:BN62)</f>
        <v>2701245.59</v>
      </c>
      <c r="BO63" s="35" t="n">
        <f aca="false">SUM(BO3:BO62)</f>
        <v>2012041.9</v>
      </c>
      <c r="BP63" s="35" t="n">
        <f aca="false">SUM(BP3:BP62)</f>
        <v>4387780.04</v>
      </c>
      <c r="BQ63" s="35" t="n">
        <f aca="false">SUM(BQ3:BQ62)</f>
        <v>11625341.1</v>
      </c>
      <c r="BR63" s="35" t="n">
        <f aca="false">SUM(BR3:BR62)</f>
        <v>12660803.89</v>
      </c>
      <c r="BS63" s="35" t="n">
        <f aca="false">SUM(BS3:BS62)</f>
        <v>427142.25</v>
      </c>
      <c r="BT63" s="35" t="n">
        <f aca="false">SUM(BT3:BT62)</f>
        <v>1169996.22</v>
      </c>
      <c r="BU63" s="35" t="n">
        <f aca="false">SUM(BU3:BU62)</f>
        <v>8850911.42</v>
      </c>
      <c r="BV63" s="35" t="n">
        <f aca="false">SUM(BV3:BV62)</f>
        <v>8271879.87</v>
      </c>
      <c r="BW63" s="35" t="n">
        <f aca="false">SUM(BW3:BW62)</f>
        <v>579286.37</v>
      </c>
      <c r="BX63" s="35" t="n">
        <f aca="false">SUM(BX3:BX62)</f>
        <v>541544.19</v>
      </c>
      <c r="BY63" s="35" t="n">
        <f aca="false">SUM(BY3:BY62)</f>
        <v>2673921.93</v>
      </c>
      <c r="BZ63" s="35" t="n">
        <f aca="false">SUM(BZ3:BZ62)</f>
        <v>6443482.36</v>
      </c>
      <c r="CA63" s="35" t="n">
        <f aca="false">SUM(CA3:CA62)</f>
        <v>1622466.38</v>
      </c>
      <c r="CB63" s="35" t="n">
        <f aca="false">SUM(CB3:CB62)</f>
        <v>1516323.69</v>
      </c>
      <c r="CC63" s="35" t="n">
        <f aca="false">SUM(CC3:CC62)</f>
        <v>17846849.76</v>
      </c>
      <c r="CD63" s="35" t="n">
        <f aca="false">SUM(CD3:CD62)</f>
        <v>18119613.53</v>
      </c>
      <c r="CE63" s="35" t="n">
        <f aca="false">SUM(CE3:CE62)</f>
        <v>3540364.59</v>
      </c>
      <c r="CF63" s="35" t="n">
        <f aca="false">SUM(CF3:CF62)</f>
        <v>3308751.93</v>
      </c>
      <c r="CG63" s="35" t="n">
        <f aca="false">SUM(CG3:CG62)</f>
        <v>61725513.24</v>
      </c>
      <c r="CH63" s="35" t="n">
        <f aca="false">SUM(CH3:CH62)</f>
        <v>473434701.59</v>
      </c>
      <c r="CI63" s="35" t="n">
        <f aca="false">SUM(CI3:CI62)</f>
        <v>489828371.26</v>
      </c>
      <c r="CJ63" s="35" t="n">
        <f aca="false">SUM(CJ3:CJ62)</f>
        <v>16393669.67</v>
      </c>
      <c r="CK63" s="35"/>
      <c r="CL63" s="35"/>
    </row>
  </sheetData>
  <mergeCells count="1">
    <mergeCell ref="A1:C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6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BC3" activePane="bottomRight" state="frozen"/>
      <selection pane="topLeft" activeCell="A1" activeCellId="0" sqref="A1"/>
      <selection pane="topRight" activeCell="BC1" activeCellId="0" sqref="BC1"/>
      <selection pane="bottomLeft" activeCell="A3" activeCellId="0" sqref="A3"/>
      <selection pane="bottomRight" activeCell="BF3" activeCellId="0" sqref="BF3"/>
    </sheetView>
  </sheetViews>
  <sheetFormatPr defaultColWidth="8.70703125" defaultRowHeight="14.25" zeroHeight="false" outlineLevelRow="0" outlineLevelCol="0"/>
  <cols>
    <col collapsed="false" customWidth="true" hidden="false" outlineLevel="0" max="2" min="1" style="0" width="7"/>
    <col collapsed="false" customWidth="true" hidden="false" outlineLevel="0" max="30" min="3" style="0" width="10"/>
    <col collapsed="false" customWidth="true" hidden="false" outlineLevel="0" max="31" min="31" style="0" width="19"/>
    <col collapsed="false" customWidth="true" hidden="false" outlineLevel="0" max="32" min="32" style="0" width="10"/>
    <col collapsed="false" customWidth="true" hidden="false" outlineLevel="0" max="41" min="33" style="0" width="19"/>
    <col collapsed="false" customWidth="true" hidden="false" outlineLevel="0" max="89" min="42" style="0" width="18"/>
    <col collapsed="false" customWidth="true" hidden="false" outlineLevel="0" max="90" min="90" style="0" width="10"/>
    <col collapsed="false" customWidth="true" hidden="false" outlineLevel="0" max="91" min="91" style="0" width="24"/>
  </cols>
  <sheetData>
    <row r="1" customFormat="false" ht="23.25" hidden="false" customHeight="true" outlineLevel="0" collapsed="false">
      <c r="A1" s="38" t="s">
        <v>120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customFormat="false" ht="4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7" t="s">
        <v>115</v>
      </c>
      <c r="CF2" s="8" t="s">
        <v>116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customFormat="false" ht="14.25" hidden="false" customHeight="false" outlineLevel="0" collapsed="false">
      <c r="A3" s="28" t="s">
        <v>92</v>
      </c>
      <c r="B3" s="28" t="n">
        <v>2022</v>
      </c>
      <c r="C3" s="28" t="n">
        <v>13</v>
      </c>
      <c r="D3" s="28" t="n">
        <v>0</v>
      </c>
      <c r="E3" s="28" t="n">
        <v>1</v>
      </c>
      <c r="F3" s="28" t="n">
        <v>1</v>
      </c>
      <c r="G3" s="28" t="n">
        <v>0</v>
      </c>
      <c r="H3" s="28" t="n">
        <v>0</v>
      </c>
      <c r="I3" s="28" t="n">
        <v>0</v>
      </c>
      <c r="J3" s="28" t="n">
        <v>2</v>
      </c>
      <c r="K3" s="28" t="n">
        <v>1</v>
      </c>
      <c r="L3" s="28" t="n">
        <v>0</v>
      </c>
      <c r="M3" s="28" t="n">
        <v>0</v>
      </c>
      <c r="N3" s="28" t="n">
        <v>0</v>
      </c>
      <c r="O3" s="28" t="n">
        <v>0</v>
      </c>
      <c r="P3" s="28" t="n">
        <v>1</v>
      </c>
      <c r="Q3" s="28" t="n">
        <v>1</v>
      </c>
      <c r="R3" s="28" t="n">
        <v>0</v>
      </c>
      <c r="S3" s="28" t="n">
        <v>14</v>
      </c>
      <c r="T3" s="28" t="n">
        <v>4</v>
      </c>
      <c r="U3" s="28" t="n">
        <v>10</v>
      </c>
      <c r="V3" s="28" t="n">
        <v>14</v>
      </c>
      <c r="W3" s="28" t="n">
        <v>0</v>
      </c>
      <c r="X3" s="28" t="n">
        <v>1</v>
      </c>
      <c r="Y3" s="28" t="n">
        <v>4</v>
      </c>
      <c r="Z3" s="28" t="n">
        <v>5</v>
      </c>
      <c r="AA3" s="28" t="n">
        <v>3</v>
      </c>
      <c r="AB3" s="28" t="n">
        <v>1</v>
      </c>
      <c r="AC3" s="28" t="n">
        <v>1</v>
      </c>
      <c r="AD3" s="29" t="n">
        <v>0.923077</v>
      </c>
      <c r="AE3" s="29" t="n">
        <v>0</v>
      </c>
      <c r="AF3" s="30" t="n">
        <v>58.5</v>
      </c>
      <c r="AG3" s="31" t="n">
        <v>390000</v>
      </c>
      <c r="AH3" s="31" t="n">
        <v>620000</v>
      </c>
      <c r="AI3" s="31" t="n">
        <v>980000</v>
      </c>
      <c r="AJ3" s="31" t="n">
        <v>1550000</v>
      </c>
      <c r="AK3" s="31" t="n">
        <v>2600000</v>
      </c>
      <c r="AL3" s="31" t="n">
        <v>4200000</v>
      </c>
      <c r="AM3" s="31" t="n">
        <v>1610128.06</v>
      </c>
      <c r="AN3" s="31" t="n">
        <v>2009976.53</v>
      </c>
      <c r="AO3" s="31" t="n">
        <v>1878482.74</v>
      </c>
      <c r="AP3" s="31" t="n">
        <v>200997.65</v>
      </c>
      <c r="AQ3" s="31" t="n">
        <v>187848.27</v>
      </c>
      <c r="AR3" s="31" t="n">
        <v>32890.53</v>
      </c>
      <c r="AS3" s="31" t="n">
        <v>112708.96</v>
      </c>
      <c r="AT3" s="31" t="n">
        <v>100498.83</v>
      </c>
      <c r="AU3" s="31" t="n">
        <v>93924.14</v>
      </c>
      <c r="AV3" s="31" t="n">
        <v>20812.77</v>
      </c>
      <c r="AW3" s="31" t="n">
        <v>24921.83</v>
      </c>
      <c r="AX3" s="31" t="n">
        <v>13333.18</v>
      </c>
      <c r="AY3" s="31" t="n">
        <v>12460.91</v>
      </c>
      <c r="AZ3" s="31" t="n">
        <v>4902.38</v>
      </c>
      <c r="BA3" s="31" t="n">
        <v>0</v>
      </c>
      <c r="BB3" s="31" t="n">
        <v>13968.95</v>
      </c>
      <c r="BC3" s="31" t="n">
        <v>40253.2</v>
      </c>
      <c r="BD3" s="31" t="n">
        <v>369.18</v>
      </c>
      <c r="BE3" s="31" t="n">
        <v>0</v>
      </c>
      <c r="BF3" s="31" t="n">
        <f aca="false">SUM(BE3,BC3,BA3,AY3,AW3,AU3,AS3,AQ3,AO3)</f>
        <v>2350600.05</v>
      </c>
      <c r="BG3" s="31" t="n">
        <v>1106.16</v>
      </c>
      <c r="BH3" s="31" t="n">
        <v>2907.55</v>
      </c>
      <c r="BI3" s="31" t="n">
        <v>12222.08</v>
      </c>
      <c r="BJ3" s="31" t="n">
        <v>11422.5</v>
      </c>
      <c r="BK3" s="31" t="n">
        <v>8888.79</v>
      </c>
      <c r="BL3" s="31" t="n">
        <v>8307.28</v>
      </c>
      <c r="BM3" s="31" t="n">
        <v>15555.37</v>
      </c>
      <c r="BN3" s="31" t="n">
        <v>14537.73</v>
      </c>
      <c r="BO3" s="31" t="n">
        <v>90908.03</v>
      </c>
      <c r="BP3" s="31" t="n">
        <v>155761.42</v>
      </c>
      <c r="BQ3" s="31" t="n">
        <v>111109.81</v>
      </c>
      <c r="BR3" s="31" t="n">
        <v>103840.95</v>
      </c>
      <c r="BS3" s="31" t="n">
        <v>4761.85</v>
      </c>
      <c r="BT3" s="31" t="n">
        <v>5192.05</v>
      </c>
      <c r="BU3" s="31" t="n">
        <v>50249.41</v>
      </c>
      <c r="BV3" s="31" t="n">
        <v>46962.07</v>
      </c>
      <c r="BW3" s="31" t="n">
        <v>3733.29</v>
      </c>
      <c r="BX3" s="31" t="n">
        <v>7268.87</v>
      </c>
      <c r="BY3" s="31" t="n">
        <v>3950.57</v>
      </c>
      <c r="BZ3" s="31" t="n">
        <v>8307.28</v>
      </c>
      <c r="CA3" s="31" t="n">
        <v>6222.15</v>
      </c>
      <c r="CB3" s="31" t="n">
        <v>5815.09</v>
      </c>
      <c r="CC3" s="31" t="n">
        <v>11511.68</v>
      </c>
      <c r="CD3" s="31" t="n">
        <v>19724.07</v>
      </c>
      <c r="CE3" s="31" t="n">
        <v>2411.97</v>
      </c>
      <c r="CF3" s="31" t="n">
        <v>2254.18</v>
      </c>
      <c r="CG3" s="31" t="n">
        <f aca="false">SUM(CF3,CD3,CB3,BZ3,BX3,BV3,BT3,BR3,BP3,BN3,BL3,BJ3,BH3)</f>
        <v>392301.04</v>
      </c>
      <c r="CH3" s="31" t="n">
        <f aca="false">CG3+BF3</f>
        <v>2742901.09</v>
      </c>
      <c r="CI3" s="31" t="n">
        <f aca="false">SUM(CE3,CC3,CA3,BY3,BW3,BU3,BS3,BQ3,BO3,BM3,BK3,BI3,BG3,BD3,BB3,AZ3,AX3,AV3,AT3,AR3,AP3,AN3)</f>
        <v>2720381.16</v>
      </c>
      <c r="CJ3" s="31" t="n">
        <f aca="false">CI3-CH3</f>
        <v>-22519.9299999997</v>
      </c>
      <c r="CK3" s="31" t="str">
        <f aca="false">IF(CE3-CF3+CC3-CD3+CA3-CB3+BU3-BV3+BK3-BL3+BI3-BJ3 &gt; 0, CE3-CF3+CC3-CD3+CA3-CB3+BU3-BV3+BK3-BL3+BI3-BJ3, "-")</f>
        <v>-</v>
      </c>
      <c r="CL3" s="31" t="str">
        <f aca="false">IF(CJ3&lt;0,"⚠ Over Budget","✓ Within Budget")</f>
        <v>⚠ Over Budget</v>
      </c>
      <c r="CM3" s="33"/>
    </row>
    <row r="4" customFormat="false" ht="14.25" hidden="false" customHeight="false" outlineLevel="0" collapsed="false">
      <c r="A4" s="22" t="s">
        <v>93</v>
      </c>
      <c r="B4" s="22" t="n">
        <v>2022</v>
      </c>
      <c r="C4" s="22" t="n">
        <v>14</v>
      </c>
      <c r="D4" s="22" t="n">
        <v>1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1</v>
      </c>
      <c r="J4" s="22" t="n">
        <v>1</v>
      </c>
      <c r="K4" s="22" t="n">
        <v>1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1</v>
      </c>
      <c r="Q4" s="22" t="n">
        <v>1</v>
      </c>
      <c r="R4" s="22" t="n">
        <v>0</v>
      </c>
      <c r="S4" s="22" t="n">
        <v>14</v>
      </c>
      <c r="T4" s="22" t="n">
        <v>4</v>
      </c>
      <c r="U4" s="22" t="n">
        <v>10</v>
      </c>
      <c r="V4" s="22" t="n">
        <v>14</v>
      </c>
      <c r="W4" s="22" t="n">
        <v>0</v>
      </c>
      <c r="X4" s="22" t="n">
        <v>1</v>
      </c>
      <c r="Y4" s="22" t="n">
        <v>4</v>
      </c>
      <c r="Z4" s="22" t="n">
        <v>5</v>
      </c>
      <c r="AA4" s="22" t="n">
        <v>3</v>
      </c>
      <c r="AB4" s="22" t="n">
        <v>1</v>
      </c>
      <c r="AC4" s="22" t="n">
        <v>1</v>
      </c>
      <c r="AD4" s="23" t="n">
        <v>0.857143</v>
      </c>
      <c r="AE4" s="23" t="n">
        <v>0</v>
      </c>
      <c r="AF4" s="24" t="n">
        <v>59.1</v>
      </c>
      <c r="AG4" s="25" t="n">
        <v>390000</v>
      </c>
      <c r="AH4" s="25" t="n">
        <v>620000</v>
      </c>
      <c r="AI4" s="25" t="n">
        <v>980000</v>
      </c>
      <c r="AJ4" s="25" t="n">
        <v>1550000</v>
      </c>
      <c r="AK4" s="25" t="n">
        <v>2600000</v>
      </c>
      <c r="AL4" s="25" t="n">
        <v>4200000</v>
      </c>
      <c r="AM4" s="25" t="n">
        <v>1610128.06</v>
      </c>
      <c r="AN4" s="25" t="n">
        <v>2297116.04</v>
      </c>
      <c r="AO4" s="25" t="n">
        <v>2146837.42</v>
      </c>
      <c r="AP4" s="25" t="n">
        <v>229711.6</v>
      </c>
      <c r="AQ4" s="25" t="n">
        <v>214683.74</v>
      </c>
      <c r="AR4" s="25" t="n">
        <v>6264.86</v>
      </c>
      <c r="AS4" s="25" t="n">
        <v>0</v>
      </c>
      <c r="AT4" s="25" t="n">
        <v>114855.8</v>
      </c>
      <c r="AU4" s="25" t="n">
        <v>107341.87</v>
      </c>
      <c r="AV4" s="25" t="n">
        <v>23786.02</v>
      </c>
      <c r="AW4" s="25" t="n">
        <v>28482.09</v>
      </c>
      <c r="AX4" s="25" t="n">
        <v>15237.92</v>
      </c>
      <c r="AY4" s="25" t="n">
        <v>14241.04</v>
      </c>
      <c r="AZ4" s="25" t="n">
        <v>5602.72</v>
      </c>
      <c r="BA4" s="25" t="n">
        <v>0</v>
      </c>
      <c r="BB4" s="25" t="n">
        <v>27937.9</v>
      </c>
      <c r="BC4" s="25" t="n">
        <v>26835.47</v>
      </c>
      <c r="BD4" s="25" t="n">
        <v>461.47</v>
      </c>
      <c r="BE4" s="25" t="n">
        <v>0</v>
      </c>
      <c r="BF4" s="25" t="n">
        <f aca="false">SUM(BE4,BC4,BA4,AY4,AW4,AU4,AS4,AQ4,AO4)</f>
        <v>2538421.63</v>
      </c>
      <c r="BG4" s="25" t="n">
        <v>1264.18</v>
      </c>
      <c r="BH4" s="25" t="n">
        <v>3322.91</v>
      </c>
      <c r="BI4" s="25" t="n">
        <v>13968.09</v>
      </c>
      <c r="BJ4" s="25" t="n">
        <v>13054.29</v>
      </c>
      <c r="BK4" s="25" t="n">
        <v>10158.61</v>
      </c>
      <c r="BL4" s="25" t="n">
        <v>9494.03</v>
      </c>
      <c r="BM4" s="25" t="n">
        <v>17777.57</v>
      </c>
      <c r="BN4" s="25" t="n">
        <v>16614.55</v>
      </c>
      <c r="BO4" s="25" t="n">
        <v>60605.35</v>
      </c>
      <c r="BP4" s="25" t="n">
        <v>103840.95</v>
      </c>
      <c r="BQ4" s="25" t="n">
        <v>122220.8</v>
      </c>
      <c r="BR4" s="25" t="n">
        <v>114225.04</v>
      </c>
      <c r="BS4" s="25" t="n">
        <v>5238.03</v>
      </c>
      <c r="BT4" s="25" t="n">
        <v>5711.25</v>
      </c>
      <c r="BU4" s="25" t="n">
        <v>57427.9</v>
      </c>
      <c r="BV4" s="25" t="n">
        <v>53670.94</v>
      </c>
      <c r="BW4" s="25" t="n">
        <v>4266.62</v>
      </c>
      <c r="BX4" s="25" t="n">
        <v>8307.28</v>
      </c>
      <c r="BY4" s="25" t="n">
        <v>4514.94</v>
      </c>
      <c r="BZ4" s="25" t="n">
        <v>9494.03</v>
      </c>
      <c r="CA4" s="25" t="n">
        <v>7111.03</v>
      </c>
      <c r="CB4" s="25" t="n">
        <v>6645.82</v>
      </c>
      <c r="CC4" s="25" t="n">
        <v>13156.21</v>
      </c>
      <c r="CD4" s="25" t="n">
        <v>22541.79</v>
      </c>
      <c r="CE4" s="25" t="n">
        <v>2756.54</v>
      </c>
      <c r="CF4" s="25" t="n">
        <v>2576.2</v>
      </c>
      <c r="CG4" s="25" t="n">
        <f aca="false">SUM(CF4,CD4,CB4,BZ4,BX4,BV4,BT4,BR4,BP4,BN4,BL4,BJ4,BH4)</f>
        <v>369499.08</v>
      </c>
      <c r="CH4" s="25" t="n">
        <f aca="false">CG4+BF4</f>
        <v>2907920.71</v>
      </c>
      <c r="CI4" s="25" t="n">
        <f aca="false">SUM(CE4,CC4,CA4,BY4,BW4,BU4,BS4,BQ4,BO4,BM4,BK4,BI4,BG4,BD4,BB4,AZ4,AX4,AV4,AT4,AR4,AP4,AN4)</f>
        <v>3041440.2</v>
      </c>
      <c r="CJ4" s="25" t="n">
        <f aca="false">CI4-CH4</f>
        <v>133519.49</v>
      </c>
      <c r="CK4" s="25" t="str">
        <f aca="false">IF(CE4-CF4+CC4-CD4+CA4-CB4+BU4-BV4+BK4-BL4+BI4-BJ4 &gt; 0, CE4-CF4+CC4-CD4+CA4-CB4+BU4-BV4+BK4-BL4+BI4-BJ4, "-")</f>
        <v>-</v>
      </c>
      <c r="CL4" s="25" t="str">
        <f aca="false">IF(CJ4&lt;0,"⚠ Over Budget","✓ Within Budget")</f>
        <v>✓ Within Budget</v>
      </c>
      <c r="CM4" s="27"/>
    </row>
    <row r="5" customFormat="false" ht="14.25" hidden="false" customHeight="false" outlineLevel="0" collapsed="false">
      <c r="A5" s="16" t="s">
        <v>94</v>
      </c>
      <c r="B5" s="16" t="n">
        <v>2022</v>
      </c>
      <c r="C5" s="16" t="n">
        <v>14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1</v>
      </c>
      <c r="S5" s="16" t="n">
        <v>13</v>
      </c>
      <c r="T5" s="16" t="n">
        <v>4</v>
      </c>
      <c r="U5" s="16" t="n">
        <v>9</v>
      </c>
      <c r="V5" s="16" t="n">
        <v>13</v>
      </c>
      <c r="W5" s="16" t="n">
        <v>0</v>
      </c>
      <c r="X5" s="16" t="n">
        <v>1</v>
      </c>
      <c r="Y5" s="16" t="n">
        <v>4</v>
      </c>
      <c r="Z5" s="16" t="n">
        <v>5</v>
      </c>
      <c r="AA5" s="16" t="n">
        <v>2</v>
      </c>
      <c r="AB5" s="16" t="n">
        <v>1</v>
      </c>
      <c r="AC5" s="16" t="n">
        <v>1</v>
      </c>
      <c r="AD5" s="17" t="n">
        <v>0</v>
      </c>
      <c r="AE5" s="17" t="n">
        <v>0</v>
      </c>
      <c r="AF5" s="18" t="n">
        <v>60.2</v>
      </c>
      <c r="AG5" s="19" t="n">
        <v>390000</v>
      </c>
      <c r="AH5" s="19" t="n">
        <v>620000</v>
      </c>
      <c r="AI5" s="19" t="n">
        <v>980000</v>
      </c>
      <c r="AJ5" s="19" t="n">
        <v>1550000</v>
      </c>
      <c r="AK5" s="19" t="n">
        <v>2600000</v>
      </c>
      <c r="AL5" s="19" t="n">
        <v>4200000</v>
      </c>
      <c r="AM5" s="19" t="n">
        <v>1610128.06</v>
      </c>
      <c r="AN5" s="19" t="n">
        <v>2297116.04</v>
      </c>
      <c r="AO5" s="19" t="n">
        <v>2146837.42</v>
      </c>
      <c r="AP5" s="19" t="n">
        <v>229711.6</v>
      </c>
      <c r="AQ5" s="19" t="n">
        <v>214683.74</v>
      </c>
      <c r="AR5" s="19" t="n">
        <v>10441.44</v>
      </c>
      <c r="AS5" s="19" t="n">
        <v>0</v>
      </c>
      <c r="AT5" s="19" t="n">
        <v>114855.8</v>
      </c>
      <c r="AU5" s="19" t="n">
        <v>107341.87</v>
      </c>
      <c r="AV5" s="19" t="n">
        <v>22299.39</v>
      </c>
      <c r="AW5" s="19" t="n">
        <v>21361.57</v>
      </c>
      <c r="AX5" s="19" t="n">
        <v>15237.92</v>
      </c>
      <c r="AY5" s="19" t="n">
        <v>14241.04</v>
      </c>
      <c r="AZ5" s="19" t="n">
        <v>17928.71</v>
      </c>
      <c r="BA5" s="19" t="n">
        <v>0</v>
      </c>
      <c r="BB5" s="19" t="n">
        <v>2328.16</v>
      </c>
      <c r="BC5" s="19" t="n">
        <v>0</v>
      </c>
      <c r="BD5" s="19" t="n">
        <v>461.47</v>
      </c>
      <c r="BE5" s="19" t="n">
        <v>0</v>
      </c>
      <c r="BF5" s="19" t="n">
        <f aca="false">SUM(BE5,BC5,BA5,AY5,AW5,AU5,AS5,AQ5,AO5)</f>
        <v>2504465.64</v>
      </c>
      <c r="BG5" s="19" t="n">
        <v>1264.18</v>
      </c>
      <c r="BH5" s="19" t="n">
        <v>3322.91</v>
      </c>
      <c r="BI5" s="19" t="n">
        <v>13968.09</v>
      </c>
      <c r="BJ5" s="19" t="n">
        <v>13054.29</v>
      </c>
      <c r="BK5" s="19" t="n">
        <v>10158.61</v>
      </c>
      <c r="BL5" s="19" t="n">
        <v>9494.03</v>
      </c>
      <c r="BM5" s="19" t="n">
        <v>17777.57</v>
      </c>
      <c r="BN5" s="19" t="n">
        <v>16614.55</v>
      </c>
      <c r="BO5" s="19" t="n">
        <v>4328.95</v>
      </c>
      <c r="BP5" s="19" t="n">
        <v>0</v>
      </c>
      <c r="BQ5" s="19" t="n">
        <v>122220.8</v>
      </c>
      <c r="BR5" s="19" t="n">
        <v>114225.04</v>
      </c>
      <c r="BS5" s="19" t="n">
        <v>5820.04</v>
      </c>
      <c r="BT5" s="19" t="n">
        <v>5711.25</v>
      </c>
      <c r="BU5" s="19" t="n">
        <v>57427.9</v>
      </c>
      <c r="BV5" s="19" t="n">
        <v>53670.94</v>
      </c>
      <c r="BW5" s="19" t="n">
        <v>4266.62</v>
      </c>
      <c r="BX5" s="19" t="n">
        <v>8307.28</v>
      </c>
      <c r="BY5" s="19" t="n">
        <v>25912.43</v>
      </c>
      <c r="BZ5" s="19" t="n">
        <v>22703.65</v>
      </c>
      <c r="CA5" s="19" t="n">
        <v>7111.03</v>
      </c>
      <c r="CB5" s="19" t="n">
        <v>6645.82</v>
      </c>
      <c r="CC5" s="19" t="n">
        <v>217920.27</v>
      </c>
      <c r="CD5" s="19" t="n">
        <v>74676.73</v>
      </c>
      <c r="CE5" s="19" t="n">
        <v>2756.54</v>
      </c>
      <c r="CF5" s="19" t="n">
        <v>2576.2</v>
      </c>
      <c r="CG5" s="19" t="n">
        <f aca="false">SUM(CF5,CD5,CB5,BZ5,BX5,BV5,BT5,BR5,BP5,BN5,BL5,BJ5,BH5)</f>
        <v>331002.69</v>
      </c>
      <c r="CH5" s="19" t="n">
        <f aca="false">CG5+BF5</f>
        <v>2835468.33</v>
      </c>
      <c r="CI5" s="19" t="n">
        <f aca="false">SUM(CE5,CC5,CA5,BY5,BW5,BU5,BS5,BQ5,BO5,BM5,BK5,BI5,BG5,BD5,BB5,AZ5,AX5,AV5,AT5,AR5,AP5,AN5)</f>
        <v>3201313.56</v>
      </c>
      <c r="CJ5" s="19" t="n">
        <f aca="false">CI5-CH5</f>
        <v>365845.23</v>
      </c>
      <c r="CK5" s="19" t="n">
        <f aca="false">IF(CE5-CF5+CC5-CD5+CA5-CB5+BU5-BV5+BK5-BL5+BI5-BJ5 &gt; 0, CE5-CF5+CC5-CD5+CA5-CB5+BU5-BV5+BK5-BL5+BI5-BJ5, "-")</f>
        <v>149224.43</v>
      </c>
      <c r="CL5" s="19" t="str">
        <f aca="false">IF(CJ5&lt;0,"⚠ Over Budget","✓ Within Budget")</f>
        <v>✓ Within Budget</v>
      </c>
      <c r="CM5" s="21"/>
    </row>
    <row r="6" customFormat="false" ht="14.25" hidden="false" customHeight="false" outlineLevel="0" collapsed="false">
      <c r="A6" s="22" t="s">
        <v>96</v>
      </c>
      <c r="B6" s="22" t="n">
        <v>2022</v>
      </c>
      <c r="C6" s="22" t="n">
        <v>13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13</v>
      </c>
      <c r="T6" s="22" t="n">
        <v>4</v>
      </c>
      <c r="U6" s="22" t="n">
        <v>9</v>
      </c>
      <c r="V6" s="22" t="n">
        <v>13</v>
      </c>
      <c r="W6" s="22" t="n">
        <v>0</v>
      </c>
      <c r="X6" s="22" t="n">
        <v>1</v>
      </c>
      <c r="Y6" s="22" t="n">
        <v>4</v>
      </c>
      <c r="Z6" s="22" t="n">
        <v>5</v>
      </c>
      <c r="AA6" s="22" t="n">
        <v>2</v>
      </c>
      <c r="AB6" s="22" t="n">
        <v>1</v>
      </c>
      <c r="AC6" s="22" t="n">
        <v>1</v>
      </c>
      <c r="AD6" s="23" t="n">
        <v>0</v>
      </c>
      <c r="AE6" s="23" t="n">
        <v>0.0985040554793099</v>
      </c>
      <c r="AF6" s="24" t="n">
        <v>60.8</v>
      </c>
      <c r="AG6" s="25" t="n">
        <v>437378</v>
      </c>
      <c r="AH6" s="25" t="n">
        <v>682299</v>
      </c>
      <c r="AI6" s="25" t="n">
        <v>1077904</v>
      </c>
      <c r="AJ6" s="25" t="n">
        <v>1688296</v>
      </c>
      <c r="AK6" s="25" t="n">
        <v>2818513</v>
      </c>
      <c r="AL6" s="25" t="n">
        <v>4529009</v>
      </c>
      <c r="AM6" s="25" t="n">
        <v>1761370.28</v>
      </c>
      <c r="AN6" s="25" t="n">
        <v>2512888.27</v>
      </c>
      <c r="AO6" s="25" t="n">
        <v>2348493.71</v>
      </c>
      <c r="AP6" s="25" t="n">
        <v>251288.83</v>
      </c>
      <c r="AQ6" s="25" t="n">
        <v>234849.37</v>
      </c>
      <c r="AR6" s="25" t="n">
        <v>127928.86</v>
      </c>
      <c r="AS6" s="25" t="n">
        <v>164394.56</v>
      </c>
      <c r="AT6" s="25" t="n">
        <v>125644.41</v>
      </c>
      <c r="AU6" s="25" t="n">
        <v>117424.69</v>
      </c>
      <c r="AV6" s="25" t="n">
        <v>26759.27</v>
      </c>
      <c r="AW6" s="25" t="n">
        <v>21361.57</v>
      </c>
      <c r="AX6" s="25" t="n">
        <v>15237.92</v>
      </c>
      <c r="AY6" s="25" t="n">
        <v>14241.04</v>
      </c>
      <c r="AZ6" s="25" t="n">
        <v>24515.98</v>
      </c>
      <c r="BA6" s="25" t="n">
        <v>0</v>
      </c>
      <c r="BB6" s="25" t="n">
        <v>2546.85</v>
      </c>
      <c r="BC6" s="25" t="n">
        <v>0</v>
      </c>
      <c r="BD6" s="25" t="n">
        <v>168.27</v>
      </c>
      <c r="BE6" s="25" t="n">
        <v>0</v>
      </c>
      <c r="BF6" s="25" t="n">
        <f aca="false">SUM(BE6,BC6,BA6,AY6,AW6,AU6,AS6,AQ6,AO6)</f>
        <v>2900764.94</v>
      </c>
      <c r="BG6" s="25" t="n">
        <v>21852.3</v>
      </c>
      <c r="BH6" s="25" t="n">
        <v>10443.43</v>
      </c>
      <c r="BI6" s="25" t="n">
        <v>13968.09</v>
      </c>
      <c r="BJ6" s="25" t="n">
        <v>13054.29</v>
      </c>
      <c r="BK6" s="25" t="n">
        <v>10158.61</v>
      </c>
      <c r="BL6" s="25" t="n">
        <v>9494.03</v>
      </c>
      <c r="BM6" s="25" t="n">
        <v>17777.57</v>
      </c>
      <c r="BN6" s="25" t="n">
        <v>16614.55</v>
      </c>
      <c r="BO6" s="25" t="n">
        <v>21644.77</v>
      </c>
      <c r="BP6" s="25" t="n">
        <v>0</v>
      </c>
      <c r="BQ6" s="25" t="n">
        <v>122220.8</v>
      </c>
      <c r="BR6" s="25" t="n">
        <v>114225.04</v>
      </c>
      <c r="BS6" s="25" t="n">
        <v>5820.04</v>
      </c>
      <c r="BT6" s="25" t="n">
        <v>5711.25</v>
      </c>
      <c r="BU6" s="25" t="n">
        <v>62822.21</v>
      </c>
      <c r="BV6" s="25" t="n">
        <v>58712.34</v>
      </c>
      <c r="BW6" s="25" t="n">
        <v>17066.47</v>
      </c>
      <c r="BX6" s="25" t="n">
        <v>8307.28</v>
      </c>
      <c r="BY6" s="25" t="n">
        <v>4514.94</v>
      </c>
      <c r="BZ6" s="25" t="n">
        <v>9494.03</v>
      </c>
      <c r="CA6" s="25" t="n">
        <v>7111.03</v>
      </c>
      <c r="CB6" s="25" t="n">
        <v>6645.82</v>
      </c>
      <c r="CC6" s="25" t="n">
        <v>151183.34</v>
      </c>
      <c r="CD6" s="25" t="n">
        <v>51807.38</v>
      </c>
      <c r="CE6" s="25" t="n">
        <v>3015.47</v>
      </c>
      <c r="CF6" s="25" t="n">
        <v>2818.19</v>
      </c>
      <c r="CG6" s="25" t="n">
        <f aca="false">SUM(CF6,CD6,CB6,BZ6,BX6,BV6,BT6,BR6,BP6,BN6,BL6,BJ6,BH6)</f>
        <v>307327.63</v>
      </c>
      <c r="CH6" s="25" t="n">
        <f aca="false">CG6+BF6</f>
        <v>3208092.57</v>
      </c>
      <c r="CI6" s="25" t="n">
        <f aca="false">SUM(CE6,CC6,CA6,BY6,BW6,BU6,BS6,BQ6,BO6,BM6,BK6,BI6,BG6,BD6,BB6,AZ6,AX6,AV6,AT6,AR6,AP6,AN6)</f>
        <v>3546134.3</v>
      </c>
      <c r="CJ6" s="25" t="n">
        <f aca="false">CI6-CH6</f>
        <v>338041.73</v>
      </c>
      <c r="CK6" s="25" t="n">
        <f aca="false">IF(CE6-CF6+CC6-CD6+CA6-CB6+BU6-BV6+BK6-BL6+BI6-BJ6 &gt; 0, CE6-CF6+CC6-CD6+CA6-CB6+BU6-BV6+BK6-BL6+BI6-BJ6, "-")</f>
        <v>105726.7</v>
      </c>
      <c r="CL6" s="25" t="str">
        <f aca="false">IF(CJ6&lt;0,"⚠ Over Budget","✓ Within Budget")</f>
        <v>✓ Within Budget</v>
      </c>
      <c r="CM6" s="27"/>
    </row>
    <row r="7" customFormat="false" ht="14.25" hidden="false" customHeight="false" outlineLevel="0" collapsed="false">
      <c r="A7" s="16" t="s">
        <v>98</v>
      </c>
      <c r="B7" s="16" t="n">
        <v>2022</v>
      </c>
      <c r="C7" s="16" t="n">
        <v>13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13</v>
      </c>
      <c r="T7" s="16" t="n">
        <v>4</v>
      </c>
      <c r="U7" s="16" t="n">
        <v>9</v>
      </c>
      <c r="V7" s="16" t="n">
        <v>13</v>
      </c>
      <c r="W7" s="16" t="n">
        <v>0</v>
      </c>
      <c r="X7" s="16" t="n">
        <v>1</v>
      </c>
      <c r="Y7" s="16" t="n">
        <v>4</v>
      </c>
      <c r="Z7" s="16" t="n">
        <v>5</v>
      </c>
      <c r="AA7" s="16" t="n">
        <v>2</v>
      </c>
      <c r="AB7" s="16" t="n">
        <v>1</v>
      </c>
      <c r="AC7" s="16" t="n">
        <v>1</v>
      </c>
      <c r="AD7" s="17" t="n">
        <v>0</v>
      </c>
      <c r="AE7" s="17" t="n">
        <v>0</v>
      </c>
      <c r="AF7" s="18" t="n">
        <v>61.4</v>
      </c>
      <c r="AG7" s="19" t="n">
        <v>437378</v>
      </c>
      <c r="AH7" s="19" t="n">
        <v>682299</v>
      </c>
      <c r="AI7" s="19" t="n">
        <v>1077904</v>
      </c>
      <c r="AJ7" s="19" t="n">
        <v>1688296</v>
      </c>
      <c r="AK7" s="19" t="n">
        <v>2818513</v>
      </c>
      <c r="AL7" s="19" t="n">
        <v>4529009</v>
      </c>
      <c r="AM7" s="19" t="n">
        <v>1761370.28</v>
      </c>
      <c r="AN7" s="19" t="n">
        <v>2512888.27</v>
      </c>
      <c r="AO7" s="19" t="n">
        <v>2348493.71</v>
      </c>
      <c r="AP7" s="19" t="n">
        <v>251288.83</v>
      </c>
      <c r="AQ7" s="19" t="n">
        <v>234849.37</v>
      </c>
      <c r="AR7" s="19" t="n">
        <v>9137.78</v>
      </c>
      <c r="AS7" s="19" t="n">
        <v>0</v>
      </c>
      <c r="AT7" s="19" t="n">
        <v>125644.41</v>
      </c>
      <c r="AU7" s="19" t="n">
        <v>117424.69</v>
      </c>
      <c r="AV7" s="19" t="n">
        <v>28989.21</v>
      </c>
      <c r="AW7" s="19" t="n">
        <v>21361.57</v>
      </c>
      <c r="AX7" s="19" t="n">
        <v>15237.92</v>
      </c>
      <c r="AY7" s="19" t="n">
        <v>14241.04</v>
      </c>
      <c r="AZ7" s="19" t="n">
        <v>7354.79</v>
      </c>
      <c r="BA7" s="19" t="n">
        <v>0</v>
      </c>
      <c r="BB7" s="19" t="n">
        <v>1018.74</v>
      </c>
      <c r="BC7" s="19" t="n">
        <v>0</v>
      </c>
      <c r="BD7" s="19" t="n">
        <v>168.27</v>
      </c>
      <c r="BE7" s="19" t="n">
        <v>0</v>
      </c>
      <c r="BF7" s="19" t="n">
        <f aca="false">SUM(BE7,BC7,BA7,AY7,AW7,AU7,AS7,AQ7,AO7)</f>
        <v>2736370.38</v>
      </c>
      <c r="BG7" s="19" t="n">
        <v>14628.4</v>
      </c>
      <c r="BH7" s="19" t="n">
        <v>8544.63</v>
      </c>
      <c r="BI7" s="19" t="n">
        <v>13968.09</v>
      </c>
      <c r="BJ7" s="19" t="n">
        <v>13054.29</v>
      </c>
      <c r="BK7" s="19" t="n">
        <v>10158.61</v>
      </c>
      <c r="BL7" s="19" t="n">
        <v>9494.03</v>
      </c>
      <c r="BM7" s="19" t="n">
        <v>17777.57</v>
      </c>
      <c r="BN7" s="19" t="n">
        <v>16614.55</v>
      </c>
      <c r="BO7" s="19" t="n">
        <v>8657.91</v>
      </c>
      <c r="BP7" s="19" t="n">
        <v>0</v>
      </c>
      <c r="BQ7" s="19" t="n">
        <v>122220.8</v>
      </c>
      <c r="BR7" s="19" t="n">
        <v>114225.04</v>
      </c>
      <c r="BS7" s="19" t="n">
        <v>6402.04</v>
      </c>
      <c r="BT7" s="19" t="n">
        <v>5711.25</v>
      </c>
      <c r="BU7" s="19" t="n">
        <v>62822.21</v>
      </c>
      <c r="BV7" s="19" t="n">
        <v>58712.34</v>
      </c>
      <c r="BW7" s="19" t="n">
        <v>12799.85</v>
      </c>
      <c r="BX7" s="19" t="n">
        <v>8307.28</v>
      </c>
      <c r="BY7" s="19" t="n">
        <v>4514.94</v>
      </c>
      <c r="BZ7" s="19" t="n">
        <v>9494.03</v>
      </c>
      <c r="CA7" s="19" t="n">
        <v>7111.03</v>
      </c>
      <c r="CB7" s="19" t="n">
        <v>6645.82</v>
      </c>
      <c r="CC7" s="19" t="n">
        <v>23027.19</v>
      </c>
      <c r="CD7" s="19" t="n">
        <v>24659.18</v>
      </c>
      <c r="CE7" s="19" t="n">
        <v>3015.47</v>
      </c>
      <c r="CF7" s="19" t="n">
        <v>2818.19</v>
      </c>
      <c r="CG7" s="19" t="n">
        <f aca="false">SUM(CF7,CD7,CB7,BZ7,BX7,BV7,BT7,BR7,BP7,BN7,BL7,BJ7,BH7)</f>
        <v>278280.63</v>
      </c>
      <c r="CH7" s="19" t="n">
        <f aca="false">CG7+BF7</f>
        <v>3014651.01</v>
      </c>
      <c r="CI7" s="19" t="n">
        <f aca="false">SUM(CE7,CC7,CA7,BY7,BW7,BU7,BS7,BQ7,BO7,BM7,BK7,BI7,BG7,BD7,BB7,AZ7,AX7,AV7,AT7,AR7,AP7,AN7)</f>
        <v>3258832.33</v>
      </c>
      <c r="CJ7" s="19" t="n">
        <f aca="false">CI7-CH7</f>
        <v>244181.32</v>
      </c>
      <c r="CK7" s="19" t="n">
        <f aca="false">IF(CE7-CF7+CC7-CD7+CA7-CB7+BU7-BV7+BK7-BL7+BI7-BJ7 &gt; 0, CE7-CF7+CC7-CD7+CA7-CB7+BU7-BV7+BK7-BL7+BI7-BJ7, "-")</f>
        <v>4718.75</v>
      </c>
      <c r="CL7" s="19" t="str">
        <f aca="false">IF(CJ7&lt;0,"⚠ Over Budget","✓ Within Budget")</f>
        <v>✓ Within Budget</v>
      </c>
      <c r="CM7" s="21"/>
    </row>
    <row r="8" customFormat="false" ht="14.25" hidden="false" customHeight="false" outlineLevel="0" collapsed="false">
      <c r="A8" s="22" t="s">
        <v>99</v>
      </c>
      <c r="B8" s="22" t="n">
        <v>2022</v>
      </c>
      <c r="C8" s="22" t="n">
        <v>13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13</v>
      </c>
      <c r="T8" s="22" t="n">
        <v>4</v>
      </c>
      <c r="U8" s="22" t="n">
        <v>9</v>
      </c>
      <c r="V8" s="22" t="n">
        <v>13</v>
      </c>
      <c r="W8" s="22" t="n">
        <v>0</v>
      </c>
      <c r="X8" s="22" t="n">
        <v>1</v>
      </c>
      <c r="Y8" s="22" t="n">
        <v>4</v>
      </c>
      <c r="Z8" s="22" t="n">
        <v>5</v>
      </c>
      <c r="AA8" s="22" t="n">
        <v>2</v>
      </c>
      <c r="AB8" s="22" t="n">
        <v>1</v>
      </c>
      <c r="AC8" s="22" t="n">
        <v>1</v>
      </c>
      <c r="AD8" s="23" t="n">
        <v>0</v>
      </c>
      <c r="AE8" s="23" t="n">
        <v>0</v>
      </c>
      <c r="AF8" s="24" t="n">
        <v>60.9</v>
      </c>
      <c r="AG8" s="25" t="n">
        <v>437378</v>
      </c>
      <c r="AH8" s="25" t="n">
        <v>682299</v>
      </c>
      <c r="AI8" s="25" t="n">
        <v>1077904</v>
      </c>
      <c r="AJ8" s="25" t="n">
        <v>1688296</v>
      </c>
      <c r="AK8" s="25" t="n">
        <v>2818513</v>
      </c>
      <c r="AL8" s="25" t="n">
        <v>4529009</v>
      </c>
      <c r="AM8" s="25" t="n">
        <v>1761370.28</v>
      </c>
      <c r="AN8" s="25" t="n">
        <v>2512888.27</v>
      </c>
      <c r="AO8" s="25" t="n">
        <v>2348493.71</v>
      </c>
      <c r="AP8" s="25" t="n">
        <v>251288.83</v>
      </c>
      <c r="AQ8" s="25" t="n">
        <v>234849.37</v>
      </c>
      <c r="AR8" s="25" t="n">
        <v>9137.78</v>
      </c>
      <c r="AS8" s="25" t="n">
        <v>0</v>
      </c>
      <c r="AT8" s="25" t="n">
        <v>125644.41</v>
      </c>
      <c r="AU8" s="25" t="n">
        <v>117424.69</v>
      </c>
      <c r="AV8" s="25" t="n">
        <v>33449.09</v>
      </c>
      <c r="AW8" s="25" t="n">
        <v>21361.57</v>
      </c>
      <c r="AX8" s="25" t="n">
        <v>15237.92</v>
      </c>
      <c r="AY8" s="25" t="n">
        <v>14241.04</v>
      </c>
      <c r="AZ8" s="25" t="n">
        <v>7354.79</v>
      </c>
      <c r="BA8" s="25" t="n">
        <v>0</v>
      </c>
      <c r="BB8" s="25" t="n">
        <v>1528.11</v>
      </c>
      <c r="BC8" s="25" t="n">
        <v>0</v>
      </c>
      <c r="BD8" s="25" t="n">
        <v>336.55</v>
      </c>
      <c r="BE8" s="25" t="n">
        <v>0</v>
      </c>
      <c r="BF8" s="25" t="n">
        <f aca="false">SUM(BE8,BC8,BA8,AY8,AW8,AU8,AS8,AQ8,AO8)</f>
        <v>2736370.38</v>
      </c>
      <c r="BG8" s="25" t="n">
        <v>2528.37</v>
      </c>
      <c r="BH8" s="25" t="n">
        <v>3322.91</v>
      </c>
      <c r="BI8" s="25" t="n">
        <v>13968.09</v>
      </c>
      <c r="BJ8" s="25" t="n">
        <v>13054.29</v>
      </c>
      <c r="BK8" s="25" t="n">
        <v>10158.61</v>
      </c>
      <c r="BL8" s="25" t="n">
        <v>9494.03</v>
      </c>
      <c r="BM8" s="25" t="n">
        <v>17777.57</v>
      </c>
      <c r="BN8" s="25" t="n">
        <v>16614.55</v>
      </c>
      <c r="BO8" s="25" t="n">
        <v>4328.95</v>
      </c>
      <c r="BP8" s="25" t="n">
        <v>0</v>
      </c>
      <c r="BQ8" s="25" t="n">
        <v>122220.8</v>
      </c>
      <c r="BR8" s="25" t="n">
        <v>114225.04</v>
      </c>
      <c r="BS8" s="25" t="n">
        <v>7566.05</v>
      </c>
      <c r="BT8" s="25" t="n">
        <v>5711.25</v>
      </c>
      <c r="BU8" s="25" t="n">
        <v>62822.21</v>
      </c>
      <c r="BV8" s="25" t="n">
        <v>58712.34</v>
      </c>
      <c r="BW8" s="25" t="n">
        <v>8533.23</v>
      </c>
      <c r="BX8" s="25" t="n">
        <v>8307.28</v>
      </c>
      <c r="BY8" s="25" t="n">
        <v>141363.92</v>
      </c>
      <c r="BZ8" s="25" t="n">
        <v>59452.12</v>
      </c>
      <c r="CA8" s="25" t="n">
        <v>7111.03</v>
      </c>
      <c r="CB8" s="25" t="n">
        <v>6645.82</v>
      </c>
      <c r="CC8" s="25" t="n">
        <v>14392</v>
      </c>
      <c r="CD8" s="25" t="n">
        <v>24659.18</v>
      </c>
      <c r="CE8" s="25" t="n">
        <v>3015.47</v>
      </c>
      <c r="CF8" s="25" t="n">
        <v>2818.19</v>
      </c>
      <c r="CG8" s="25" t="n">
        <f aca="false">SUM(CF8,CD8,CB8,BZ8,BX8,BV8,BT8,BR8,BP8,BN8,BL8,BJ8,BH8)</f>
        <v>323017</v>
      </c>
      <c r="CH8" s="25" t="n">
        <f aca="false">CG8+BF8</f>
        <v>3059387.38</v>
      </c>
      <c r="CI8" s="25" t="n">
        <f aca="false">SUM(CE8,CC8,CA8,BY8,BW8,BU8,BS8,BQ8,BO8,BM8,BK8,BI8,BG8,BD8,BB8,AZ8,AX8,AV8,AT8,AR8,AP8,AN8)</f>
        <v>3372652.05</v>
      </c>
      <c r="CJ8" s="25" t="n">
        <f aca="false">CI8-CH8</f>
        <v>313264.67</v>
      </c>
      <c r="CK8" s="25" t="str">
        <f aca="false">IF(CE8-CF8+CC8-CD8+CA8-CB8+BU8-BV8+BK8-BL8+BI8-BJ8 &gt; 0, CE8-CF8+CC8-CD8+CA8-CB8+BU8-BV8+BK8-BL8+BI8-BJ8, "-")</f>
        <v>-</v>
      </c>
      <c r="CL8" s="25" t="str">
        <f aca="false">IF(CJ8&lt;0,"⚠ Over Budget","✓ Within Budget")</f>
        <v>✓ Within Budget</v>
      </c>
      <c r="CM8" s="27"/>
    </row>
    <row r="9" customFormat="false" ht="18.75" hidden="false" customHeight="true" outlineLevel="0" collapsed="false">
      <c r="A9" s="28" t="s">
        <v>100</v>
      </c>
      <c r="B9" s="28" t="n">
        <v>2022</v>
      </c>
      <c r="C9" s="28" t="n">
        <v>13</v>
      </c>
      <c r="D9" s="28" t="n">
        <v>1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1</v>
      </c>
      <c r="J9" s="28" t="n">
        <v>1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14</v>
      </c>
      <c r="T9" s="28" t="n">
        <v>4</v>
      </c>
      <c r="U9" s="28" t="n">
        <v>10</v>
      </c>
      <c r="V9" s="28" t="n">
        <v>14</v>
      </c>
      <c r="W9" s="28" t="n">
        <v>0</v>
      </c>
      <c r="X9" s="28" t="n">
        <v>1</v>
      </c>
      <c r="Y9" s="28" t="n">
        <v>4</v>
      </c>
      <c r="Z9" s="28" t="n">
        <v>5</v>
      </c>
      <c r="AA9" s="28" t="n">
        <v>3</v>
      </c>
      <c r="AB9" s="28" t="n">
        <v>1</v>
      </c>
      <c r="AC9" s="28" t="n">
        <v>1</v>
      </c>
      <c r="AD9" s="29" t="n">
        <v>0</v>
      </c>
      <c r="AE9" s="29" t="n">
        <v>0</v>
      </c>
      <c r="AF9" s="30" t="n">
        <v>59.8</v>
      </c>
      <c r="AG9" s="31" t="n">
        <v>437378</v>
      </c>
      <c r="AH9" s="31" t="n">
        <v>682299</v>
      </c>
      <c r="AI9" s="31" t="n">
        <v>1077904</v>
      </c>
      <c r="AJ9" s="31" t="n">
        <v>1688296</v>
      </c>
      <c r="AK9" s="31" t="n">
        <v>2818513</v>
      </c>
      <c r="AL9" s="31" t="n">
        <v>4529009</v>
      </c>
      <c r="AM9" s="31" t="n">
        <v>1761370.28</v>
      </c>
      <c r="AN9" s="31" t="n">
        <v>2826999.3</v>
      </c>
      <c r="AO9" s="31" t="n">
        <v>2895567.85</v>
      </c>
      <c r="AP9" s="31" t="n">
        <v>282699.93</v>
      </c>
      <c r="AQ9" s="31" t="n">
        <v>264205.54</v>
      </c>
      <c r="AR9" s="31" t="n">
        <v>10280</v>
      </c>
      <c r="AS9" s="31" t="n">
        <v>0</v>
      </c>
      <c r="AT9" s="31" t="n">
        <v>141349.97</v>
      </c>
      <c r="AU9" s="31" t="n">
        <v>132102.77</v>
      </c>
      <c r="AV9" s="31" t="n">
        <v>30104.18</v>
      </c>
      <c r="AW9" s="31" t="n">
        <v>24031.76</v>
      </c>
      <c r="AX9" s="31" t="n">
        <v>17142.66</v>
      </c>
      <c r="AY9" s="31" t="n">
        <v>16021.17</v>
      </c>
      <c r="AZ9" s="31" t="n">
        <v>6895.12</v>
      </c>
      <c r="BA9" s="31" t="n">
        <v>0</v>
      </c>
      <c r="BB9" s="31" t="n">
        <v>50936.92</v>
      </c>
      <c r="BC9" s="31" t="n">
        <v>451876.87</v>
      </c>
      <c r="BD9" s="31" t="n">
        <v>504.82</v>
      </c>
      <c r="BE9" s="31" t="n">
        <v>0</v>
      </c>
      <c r="BF9" s="31" t="n">
        <f aca="false">SUM(BE9,BC9,BA9,AY9,AW9,AU9,AS9,AQ9,AO9)</f>
        <v>3783805.96</v>
      </c>
      <c r="BG9" s="31" t="n">
        <v>2133.31</v>
      </c>
      <c r="BH9" s="31" t="n">
        <v>3738.27</v>
      </c>
      <c r="BI9" s="31" t="n">
        <v>15714.1</v>
      </c>
      <c r="BJ9" s="31" t="n">
        <v>14686.08</v>
      </c>
      <c r="BK9" s="31" t="n">
        <v>11428.44</v>
      </c>
      <c r="BL9" s="31" t="n">
        <v>10680.78</v>
      </c>
      <c r="BM9" s="31" t="n">
        <v>19999.77</v>
      </c>
      <c r="BN9" s="31" t="n">
        <v>18691.37</v>
      </c>
      <c r="BO9" s="31" t="n">
        <v>303026.77</v>
      </c>
      <c r="BP9" s="31" t="n">
        <v>272849.23</v>
      </c>
      <c r="BQ9" s="31" t="n">
        <v>144442.76</v>
      </c>
      <c r="BR9" s="31" t="n">
        <v>134993.23</v>
      </c>
      <c r="BS9" s="31" t="n">
        <v>8941.69</v>
      </c>
      <c r="BT9" s="31" t="n">
        <v>6749.66</v>
      </c>
      <c r="BU9" s="31" t="n">
        <v>70674.98</v>
      </c>
      <c r="BV9" s="31" t="n">
        <v>66051.39</v>
      </c>
      <c r="BW9" s="31" t="n">
        <v>4799.94</v>
      </c>
      <c r="BX9" s="31" t="n">
        <v>9345.69</v>
      </c>
      <c r="BY9" s="31" t="n">
        <v>5079.31</v>
      </c>
      <c r="BZ9" s="31" t="n">
        <v>10680.78</v>
      </c>
      <c r="CA9" s="31" t="n">
        <v>7999.91</v>
      </c>
      <c r="CB9" s="31" t="n">
        <v>7476.55</v>
      </c>
      <c r="CC9" s="31" t="n">
        <v>16191</v>
      </c>
      <c r="CD9" s="31" t="n">
        <v>27741.58</v>
      </c>
      <c r="CE9" s="31" t="n">
        <v>3392.4</v>
      </c>
      <c r="CF9" s="31" t="n">
        <v>3170.47</v>
      </c>
      <c r="CG9" s="31" t="n">
        <f aca="false">SUM(CF9,CD9,CB9,BZ9,BX9,BV9,BT9,BR9,BP9,BN9,BL9,BJ9,BH9)</f>
        <v>586855.08</v>
      </c>
      <c r="CH9" s="31" t="n">
        <f aca="false">CG9+BF9</f>
        <v>4370661.04</v>
      </c>
      <c r="CI9" s="31" t="n">
        <f aca="false">SUM(CE9,CC9,CA9,BY9,BW9,BU9,BS9,BQ9,BO9,BM9,BK9,BI9,BG9,BD9,BB9,AZ9,AX9,AV9,AT9,AR9,AP9,AN9)</f>
        <v>3980737.28</v>
      </c>
      <c r="CJ9" s="31" t="n">
        <f aca="false">CI9-CH9</f>
        <v>-389923.76</v>
      </c>
      <c r="CK9" s="31" t="str">
        <f aca="false">IF(CE9-CF9+CC9-CD9+CA9-CB9+BU9-BV9+BK9-BL9+BI9-BJ9 &gt; 0, CE9-CF9+CC9-CD9+CA9-CB9+BU9-BV9+BK9-BL9+BI9-BJ9, "-")</f>
        <v>-</v>
      </c>
      <c r="CL9" s="31" t="str">
        <f aca="false">IF(CJ9&lt;0,"⚠ Over Budget","✓ Within Budget")</f>
        <v>⚠ Over Budget</v>
      </c>
      <c r="CM9" s="33" t="s">
        <v>110</v>
      </c>
    </row>
    <row r="10" customFormat="false" ht="14.25" hidden="false" customHeight="false" outlineLevel="0" collapsed="false">
      <c r="A10" s="22" t="s">
        <v>101</v>
      </c>
      <c r="B10" s="22" t="n">
        <v>2022</v>
      </c>
      <c r="C10" s="22" t="n">
        <v>14</v>
      </c>
      <c r="D10" s="22" t="n">
        <v>1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1</v>
      </c>
      <c r="J10" s="22" t="n">
        <v>1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15</v>
      </c>
      <c r="T10" s="22" t="n">
        <v>4</v>
      </c>
      <c r="U10" s="22" t="n">
        <v>11</v>
      </c>
      <c r="V10" s="22" t="n">
        <v>15</v>
      </c>
      <c r="W10" s="22" t="n">
        <v>0</v>
      </c>
      <c r="X10" s="22" t="n">
        <v>1</v>
      </c>
      <c r="Y10" s="22" t="n">
        <v>5</v>
      </c>
      <c r="Z10" s="22" t="n">
        <v>5</v>
      </c>
      <c r="AA10" s="22" t="n">
        <v>3</v>
      </c>
      <c r="AB10" s="22" t="n">
        <v>1</v>
      </c>
      <c r="AC10" s="22" t="n">
        <v>1</v>
      </c>
      <c r="AD10" s="23" t="n">
        <v>0</v>
      </c>
      <c r="AE10" s="23" t="n">
        <v>0</v>
      </c>
      <c r="AF10" s="24" t="n">
        <v>59.2</v>
      </c>
      <c r="AG10" s="25" t="n">
        <v>437378</v>
      </c>
      <c r="AH10" s="25" t="n">
        <v>682299</v>
      </c>
      <c r="AI10" s="25" t="n">
        <v>1077904</v>
      </c>
      <c r="AJ10" s="25" t="n">
        <v>1688296</v>
      </c>
      <c r="AK10" s="25" t="n">
        <v>2818513</v>
      </c>
      <c r="AL10" s="25" t="n">
        <v>4529009</v>
      </c>
      <c r="AM10" s="25" t="n">
        <v>1761370.28</v>
      </c>
      <c r="AN10" s="25" t="n">
        <v>3298165.85</v>
      </c>
      <c r="AO10" s="25" t="n">
        <v>3082397.99</v>
      </c>
      <c r="AP10" s="25" t="n">
        <v>329816.59</v>
      </c>
      <c r="AQ10" s="25" t="n">
        <v>308239.8</v>
      </c>
      <c r="AR10" s="25" t="n">
        <v>11993.33</v>
      </c>
      <c r="AS10" s="25" t="n">
        <v>0</v>
      </c>
      <c r="AT10" s="25" t="n">
        <v>164908.29</v>
      </c>
      <c r="AU10" s="25" t="n">
        <v>154119.9</v>
      </c>
      <c r="AV10" s="25" t="n">
        <v>29267.95</v>
      </c>
      <c r="AW10" s="25" t="n">
        <v>28037.06</v>
      </c>
      <c r="AX10" s="25" t="n">
        <v>19999.77</v>
      </c>
      <c r="AY10" s="25" t="n">
        <v>18691.37</v>
      </c>
      <c r="AZ10" s="25" t="n">
        <v>8044.31</v>
      </c>
      <c r="BA10" s="25" t="n">
        <v>0</v>
      </c>
      <c r="BB10" s="25" t="n">
        <v>101873.85</v>
      </c>
      <c r="BC10" s="25" t="n">
        <v>58712.34</v>
      </c>
      <c r="BD10" s="25" t="n">
        <v>151446.39</v>
      </c>
      <c r="BE10" s="25" t="n">
        <v>88068.51</v>
      </c>
      <c r="BF10" s="25" t="n">
        <f aca="false">SUM(BE10,BC10,BA10,AY10,AW10,AU10,AS10,AQ10,AO10)</f>
        <v>3738266.97</v>
      </c>
      <c r="BG10" s="25" t="n">
        <v>13333.18</v>
      </c>
      <c r="BH10" s="25" t="n">
        <v>9345.69</v>
      </c>
      <c r="BI10" s="25" t="n">
        <v>18333.12</v>
      </c>
      <c r="BJ10" s="25" t="n">
        <v>17133.76</v>
      </c>
      <c r="BK10" s="25" t="n">
        <v>13333.18</v>
      </c>
      <c r="BL10" s="25" t="n">
        <v>12460.91</v>
      </c>
      <c r="BM10" s="25" t="n">
        <v>23333.06</v>
      </c>
      <c r="BN10" s="25" t="n">
        <v>21806.6</v>
      </c>
      <c r="BO10" s="25" t="n">
        <v>242421.41</v>
      </c>
      <c r="BP10" s="25" t="n">
        <v>207681.9</v>
      </c>
      <c r="BQ10" s="25" t="n">
        <v>166664.72</v>
      </c>
      <c r="BR10" s="25" t="n">
        <v>155761.42</v>
      </c>
      <c r="BS10" s="25" t="n">
        <v>10317.34</v>
      </c>
      <c r="BT10" s="25" t="n">
        <v>7788.07</v>
      </c>
      <c r="BU10" s="25" t="n">
        <v>82454.15</v>
      </c>
      <c r="BV10" s="25" t="n">
        <v>77059.95</v>
      </c>
      <c r="BW10" s="25" t="n">
        <v>11199.87</v>
      </c>
      <c r="BX10" s="25" t="n">
        <v>10903.3</v>
      </c>
      <c r="BY10" s="25" t="n">
        <v>14649.93</v>
      </c>
      <c r="BZ10" s="25" t="n">
        <v>25671.6</v>
      </c>
      <c r="CA10" s="25" t="n">
        <v>9333.22</v>
      </c>
      <c r="CB10" s="25" t="n">
        <v>8722.64</v>
      </c>
      <c r="CC10" s="25" t="n">
        <v>18889.5</v>
      </c>
      <c r="CD10" s="25" t="n">
        <v>32365.18</v>
      </c>
      <c r="CE10" s="25" t="n">
        <v>3957.8</v>
      </c>
      <c r="CF10" s="25" t="n">
        <v>3698.88</v>
      </c>
      <c r="CG10" s="25" t="n">
        <f aca="false">SUM(CF10,CD10,CB10,BZ10,BX10,BV10,BT10,BR10,BP10,BN10,BL10,BJ10,BH10)</f>
        <v>590399.9</v>
      </c>
      <c r="CH10" s="25" t="n">
        <f aca="false">CG10+BF10</f>
        <v>4328666.87</v>
      </c>
      <c r="CI10" s="25" t="n">
        <f aca="false">SUM(CE10,CC10,CA10,BY10,BW10,BU10,BS10,BQ10,BO10,BM10,BK10,BI10,BG10,BD10,BB10,AZ10,AX10,AV10,AT10,AR10,AP10,AN10)</f>
        <v>4743736.81</v>
      </c>
      <c r="CJ10" s="25" t="n">
        <f aca="false">CI10-CH10</f>
        <v>415069.94</v>
      </c>
      <c r="CK10" s="25" t="str">
        <f aca="false">IF(CE10-CF10+CC10-CD10+CA10-CB10+BU10-BV10+BK10-BL10+BI10-BJ10 &gt; 0, CE10-CF10+CC10-CD10+CA10-CB10+BU10-BV10+BK10-BL10+BI10-BJ10, "-")</f>
        <v>-</v>
      </c>
      <c r="CL10" s="25" t="str">
        <f aca="false">IF(CJ10&lt;0,"⚠ Over Budget","✓ Within Budget")</f>
        <v>✓ Within Budget</v>
      </c>
      <c r="CM10" s="27"/>
    </row>
    <row r="11" customFormat="false" ht="14.25" hidden="false" customHeight="false" outlineLevel="0" collapsed="false">
      <c r="A11" s="16" t="s">
        <v>102</v>
      </c>
      <c r="B11" s="16" t="n">
        <v>2022</v>
      </c>
      <c r="C11" s="16" t="n">
        <v>15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1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1</v>
      </c>
      <c r="Q11" s="16" t="n">
        <v>1</v>
      </c>
      <c r="R11" s="16" t="n">
        <v>0</v>
      </c>
      <c r="S11" s="16" t="n">
        <v>14</v>
      </c>
      <c r="T11" s="16" t="n">
        <v>4</v>
      </c>
      <c r="U11" s="16" t="n">
        <v>10</v>
      </c>
      <c r="V11" s="16" t="n">
        <v>14</v>
      </c>
      <c r="W11" s="16" t="n">
        <v>0</v>
      </c>
      <c r="X11" s="16" t="n">
        <v>1</v>
      </c>
      <c r="Y11" s="16" t="n">
        <v>4</v>
      </c>
      <c r="Z11" s="16" t="n">
        <v>5</v>
      </c>
      <c r="AA11" s="16" t="n">
        <v>3</v>
      </c>
      <c r="AB11" s="16" t="n">
        <v>1</v>
      </c>
      <c r="AC11" s="16" t="n">
        <v>1</v>
      </c>
      <c r="AD11" s="17" t="n">
        <v>0.8</v>
      </c>
      <c r="AE11" s="17" t="n">
        <v>0</v>
      </c>
      <c r="AF11" s="18" t="n">
        <v>57.3</v>
      </c>
      <c r="AG11" s="19" t="n">
        <v>437378</v>
      </c>
      <c r="AH11" s="19" t="n">
        <v>682299</v>
      </c>
      <c r="AI11" s="19" t="n">
        <v>1077904</v>
      </c>
      <c r="AJ11" s="19" t="n">
        <v>1688296</v>
      </c>
      <c r="AK11" s="19" t="n">
        <v>2818513</v>
      </c>
      <c r="AL11" s="19" t="n">
        <v>4529009</v>
      </c>
      <c r="AM11" s="19" t="n">
        <v>1761370.28</v>
      </c>
      <c r="AN11" s="19" t="n">
        <v>3298165.85</v>
      </c>
      <c r="AO11" s="19" t="n">
        <v>3082397.99</v>
      </c>
      <c r="AP11" s="19" t="n">
        <v>329816.59</v>
      </c>
      <c r="AQ11" s="19" t="n">
        <v>308239.8</v>
      </c>
      <c r="AR11" s="19" t="n">
        <v>11993.33</v>
      </c>
      <c r="AS11" s="19" t="n">
        <v>0</v>
      </c>
      <c r="AT11" s="19" t="n">
        <v>164908.29</v>
      </c>
      <c r="AU11" s="19" t="n">
        <v>154119.9</v>
      </c>
      <c r="AV11" s="19" t="n">
        <v>32194.75</v>
      </c>
      <c r="AW11" s="19" t="n">
        <v>28037.06</v>
      </c>
      <c r="AX11" s="19" t="n">
        <v>19999.77</v>
      </c>
      <c r="AY11" s="19" t="n">
        <v>18691.37</v>
      </c>
      <c r="AZ11" s="19" t="n">
        <v>16088.61</v>
      </c>
      <c r="BA11" s="19" t="n">
        <v>0</v>
      </c>
      <c r="BB11" s="19" t="n">
        <v>1528.11</v>
      </c>
      <c r="BC11" s="19" t="n">
        <v>0</v>
      </c>
      <c r="BD11" s="19" t="n">
        <v>168.27</v>
      </c>
      <c r="BE11" s="19" t="n">
        <v>0</v>
      </c>
      <c r="BF11" s="19" t="n">
        <f aca="false">SUM(BE11,BC11,BA11,AY11,AW11,AU11,AS11,AQ11,AO11)</f>
        <v>3591486.12</v>
      </c>
      <c r="BG11" s="19" t="n">
        <v>19199.78</v>
      </c>
      <c r="BH11" s="19" t="n">
        <v>11214.82</v>
      </c>
      <c r="BI11" s="19" t="n">
        <v>18333.12</v>
      </c>
      <c r="BJ11" s="19" t="n">
        <v>17133.76</v>
      </c>
      <c r="BK11" s="19" t="n">
        <v>13333.18</v>
      </c>
      <c r="BL11" s="19" t="n">
        <v>12460.91</v>
      </c>
      <c r="BM11" s="19" t="n">
        <v>23333.06</v>
      </c>
      <c r="BN11" s="19" t="n">
        <v>21806.6</v>
      </c>
      <c r="BO11" s="19" t="n">
        <v>4328.95</v>
      </c>
      <c r="BP11" s="19" t="n">
        <v>0</v>
      </c>
      <c r="BQ11" s="19" t="n">
        <v>166664.72</v>
      </c>
      <c r="BR11" s="19" t="n">
        <v>155761.42</v>
      </c>
      <c r="BS11" s="19" t="n">
        <v>8730.06</v>
      </c>
      <c r="BT11" s="19" t="n">
        <v>7788.07</v>
      </c>
      <c r="BU11" s="19" t="n">
        <v>82454.15</v>
      </c>
      <c r="BV11" s="19" t="n">
        <v>77059.95</v>
      </c>
      <c r="BW11" s="19" t="n">
        <v>22399.74</v>
      </c>
      <c r="BX11" s="19" t="n">
        <v>10903.3</v>
      </c>
      <c r="BY11" s="19" t="n">
        <v>5925.86</v>
      </c>
      <c r="BZ11" s="19" t="n">
        <v>12460.91</v>
      </c>
      <c r="CA11" s="19" t="n">
        <v>9333.22</v>
      </c>
      <c r="CB11" s="19" t="n">
        <v>8722.64</v>
      </c>
      <c r="CC11" s="19" t="n">
        <v>22667.39</v>
      </c>
      <c r="CD11" s="19" t="n">
        <v>32365.18</v>
      </c>
      <c r="CE11" s="19" t="n">
        <v>3957.8</v>
      </c>
      <c r="CF11" s="19" t="n">
        <v>3698.88</v>
      </c>
      <c r="CG11" s="19" t="n">
        <f aca="false">SUM(CF11,CD11,CB11,BZ11,BX11,BV11,BT11,BR11,BP11,BN11,BL11,BJ11,BH11)</f>
        <v>371376.44</v>
      </c>
      <c r="CH11" s="19" t="n">
        <f aca="false">CG11+BF11</f>
        <v>3962862.56</v>
      </c>
      <c r="CI11" s="19" t="n">
        <f aca="false">SUM(CE11,CC11,CA11,BY11,BW11,BU11,BS11,BQ11,BO11,BM11,BK11,BI11,BG11,BD11,BB11,AZ11,AX11,AV11,AT11,AR11,AP11,AN11)</f>
        <v>4275524.6</v>
      </c>
      <c r="CJ11" s="19" t="n">
        <f aca="false">CI11-CH11</f>
        <v>312662.040000001</v>
      </c>
      <c r="CK11" s="19" t="str">
        <f aca="false">IF(CE11-CF11+CC11-CD11+CA11-CB11+BU11-BV11+BK11-BL11+BI11-BJ11 &gt; 0, CE11-CF11+CC11-CD11+CA11-CB11+BU11-BV11+BK11-BL11+BI11-BJ11, "-")</f>
        <v>-</v>
      </c>
      <c r="CL11" s="19" t="str">
        <f aca="false">IF(CJ11&lt;0,"⚠ Over Budget","✓ Within Budget")</f>
        <v>✓ Within Budget</v>
      </c>
      <c r="CM11" s="21"/>
    </row>
    <row r="12" customFormat="false" ht="14.25" hidden="false" customHeight="false" outlineLevel="0" collapsed="false">
      <c r="A12" s="22" t="s">
        <v>103</v>
      </c>
      <c r="B12" s="22" t="n">
        <v>2022</v>
      </c>
      <c r="C12" s="22" t="n">
        <v>14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14</v>
      </c>
      <c r="T12" s="22" t="n">
        <v>4</v>
      </c>
      <c r="U12" s="22" t="n">
        <v>10</v>
      </c>
      <c r="V12" s="22" t="n">
        <v>14</v>
      </c>
      <c r="W12" s="22" t="n">
        <v>0</v>
      </c>
      <c r="X12" s="22" t="n">
        <v>1</v>
      </c>
      <c r="Y12" s="22" t="n">
        <v>4</v>
      </c>
      <c r="Z12" s="22" t="n">
        <v>5</v>
      </c>
      <c r="AA12" s="22" t="n">
        <v>3</v>
      </c>
      <c r="AB12" s="22" t="n">
        <v>1</v>
      </c>
      <c r="AC12" s="22" t="n">
        <v>1</v>
      </c>
      <c r="AD12" s="23" t="n">
        <v>0</v>
      </c>
      <c r="AE12" s="23" t="n">
        <v>0.0143121812525627</v>
      </c>
      <c r="AF12" s="24" t="n">
        <v>56.8</v>
      </c>
      <c r="AG12" s="25" t="n">
        <v>445232</v>
      </c>
      <c r="AH12" s="25" t="n">
        <v>695041</v>
      </c>
      <c r="AI12" s="25" t="n">
        <v>1089626</v>
      </c>
      <c r="AJ12" s="25" t="n">
        <v>1710908</v>
      </c>
      <c r="AK12" s="25" t="n">
        <v>2849831</v>
      </c>
      <c r="AL12" s="25" t="n">
        <v>4574723</v>
      </c>
      <c r="AM12" s="25" t="n">
        <v>1784429.74</v>
      </c>
      <c r="AN12" s="25" t="n">
        <v>3341344.68</v>
      </c>
      <c r="AO12" s="25" t="n">
        <v>3122752.04</v>
      </c>
      <c r="AP12" s="25" t="n">
        <v>334134.47</v>
      </c>
      <c r="AQ12" s="25" t="n">
        <v>312275.2</v>
      </c>
      <c r="AR12" s="25" t="n">
        <v>388811.02</v>
      </c>
      <c r="AS12" s="25" t="n">
        <v>124910.08</v>
      </c>
      <c r="AT12" s="25" t="n">
        <v>167067.23</v>
      </c>
      <c r="AU12" s="25" t="n">
        <v>156137.6</v>
      </c>
      <c r="AV12" s="25" t="n">
        <v>26341.16</v>
      </c>
      <c r="AW12" s="25" t="n">
        <v>28037.06</v>
      </c>
      <c r="AX12" s="25" t="n">
        <v>19999.77</v>
      </c>
      <c r="AY12" s="25" t="n">
        <v>18691.37</v>
      </c>
      <c r="AZ12" s="25" t="n">
        <v>32598.48</v>
      </c>
      <c r="BA12" s="25" t="n">
        <v>0</v>
      </c>
      <c r="BB12" s="25" t="n">
        <v>1548.11</v>
      </c>
      <c r="BC12" s="25" t="n">
        <v>0</v>
      </c>
      <c r="BD12" s="25" t="n">
        <v>170.48</v>
      </c>
      <c r="BE12" s="25" t="n">
        <v>0</v>
      </c>
      <c r="BF12" s="25" t="n">
        <f aca="false">SUM(BE12,BC12,BA12,AY12,AW12,AU12,AS12,AQ12,AO12)</f>
        <v>3762803.35</v>
      </c>
      <c r="BG12" s="25" t="n">
        <v>11614.68</v>
      </c>
      <c r="BH12" s="25" t="n">
        <v>8722.64</v>
      </c>
      <c r="BI12" s="25" t="n">
        <v>18333.12</v>
      </c>
      <c r="BJ12" s="25" t="n">
        <v>17133.76</v>
      </c>
      <c r="BK12" s="25" t="n">
        <v>13333.18</v>
      </c>
      <c r="BL12" s="25" t="n">
        <v>12460.91</v>
      </c>
      <c r="BM12" s="25" t="n">
        <v>23333.06</v>
      </c>
      <c r="BN12" s="25" t="n">
        <v>21806.6</v>
      </c>
      <c r="BO12" s="25" t="n">
        <v>4328.95</v>
      </c>
      <c r="BP12" s="25" t="n">
        <v>0</v>
      </c>
      <c r="BQ12" s="25" t="n">
        <v>166664.72</v>
      </c>
      <c r="BR12" s="25" t="n">
        <v>155761.42</v>
      </c>
      <c r="BS12" s="25" t="n">
        <v>7936.42</v>
      </c>
      <c r="BT12" s="25" t="n">
        <v>7788.07</v>
      </c>
      <c r="BU12" s="25" t="n">
        <v>83533.62</v>
      </c>
      <c r="BV12" s="25" t="n">
        <v>78068.8</v>
      </c>
      <c r="BW12" s="25" t="n">
        <v>16799.8</v>
      </c>
      <c r="BX12" s="25" t="n">
        <v>10903.3</v>
      </c>
      <c r="BY12" s="25" t="n">
        <v>269585.34</v>
      </c>
      <c r="BZ12" s="25" t="n">
        <v>88575.79</v>
      </c>
      <c r="CA12" s="25" t="n">
        <v>9333.22</v>
      </c>
      <c r="CB12" s="25" t="n">
        <v>8722.64</v>
      </c>
      <c r="CC12" s="25" t="n">
        <v>30618.87</v>
      </c>
      <c r="CD12" s="25" t="n">
        <v>32788.9</v>
      </c>
      <c r="CE12" s="25" t="n">
        <v>4009.61</v>
      </c>
      <c r="CF12" s="25" t="n">
        <v>3747.3</v>
      </c>
      <c r="CG12" s="25" t="n">
        <f aca="false">SUM(CF12,CD12,CB12,BZ12,BX12,BV12,BT12,BR12,BP12,BN12,BL12,BJ12,BH12)</f>
        <v>446480.13</v>
      </c>
      <c r="CH12" s="25" t="n">
        <f aca="false">CG12+BF12</f>
        <v>4209283.48</v>
      </c>
      <c r="CI12" s="25" t="n">
        <f aca="false">SUM(CE12,CC12,CA12,BY12,BW12,BU12,BS12,BQ12,BO12,BM12,BK12,BI12,BG12,BD12,BB12,AZ12,AX12,AV12,AT12,AR12,AP12,AN12)</f>
        <v>4971439.99</v>
      </c>
      <c r="CJ12" s="25" t="n">
        <f aca="false">CI12-CH12</f>
        <v>762156.51</v>
      </c>
      <c r="CK12" s="25" t="n">
        <f aca="false">IF(CE12-CF12+CC12-CD12+CA12-CB12+BU12-BV12+BK12-BL12+BI12-BJ12 &gt; 0, CE12-CF12+CC12-CD12+CA12-CB12+BU12-BV12+BK12-BL12+BI12-BJ12, "-")</f>
        <v>6239.30999999999</v>
      </c>
      <c r="CL12" s="25" t="str">
        <f aca="false">IF(CJ12&lt;0,"⚠ Over Budget","✓ Within Budget")</f>
        <v>✓ Within Budget</v>
      </c>
      <c r="CM12" s="27"/>
    </row>
    <row r="13" customFormat="false" ht="18.75" hidden="false" customHeight="true" outlineLevel="0" collapsed="false">
      <c r="A13" s="28" t="s">
        <v>104</v>
      </c>
      <c r="B13" s="28" t="n">
        <v>2022</v>
      </c>
      <c r="C13" s="28" t="n">
        <v>14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14</v>
      </c>
      <c r="T13" s="28" t="n">
        <v>4</v>
      </c>
      <c r="U13" s="28" t="n">
        <v>10</v>
      </c>
      <c r="V13" s="28" t="n">
        <v>14</v>
      </c>
      <c r="W13" s="28" t="n">
        <v>0</v>
      </c>
      <c r="X13" s="28" t="n">
        <v>1</v>
      </c>
      <c r="Y13" s="28" t="n">
        <v>4</v>
      </c>
      <c r="Z13" s="28" t="n">
        <v>5</v>
      </c>
      <c r="AA13" s="28" t="n">
        <v>3</v>
      </c>
      <c r="AB13" s="28" t="n">
        <v>1</v>
      </c>
      <c r="AC13" s="28" t="n">
        <v>1</v>
      </c>
      <c r="AD13" s="29" t="n">
        <v>0</v>
      </c>
      <c r="AE13" s="29" t="n">
        <v>0</v>
      </c>
      <c r="AF13" s="30" t="n">
        <v>56.2</v>
      </c>
      <c r="AG13" s="31" t="n">
        <v>445232</v>
      </c>
      <c r="AH13" s="31" t="n">
        <v>695041</v>
      </c>
      <c r="AI13" s="31" t="n">
        <v>1089626</v>
      </c>
      <c r="AJ13" s="31" t="n">
        <v>1710908</v>
      </c>
      <c r="AK13" s="31" t="n">
        <v>2849831</v>
      </c>
      <c r="AL13" s="31" t="n">
        <v>4574723</v>
      </c>
      <c r="AM13" s="31" t="n">
        <v>1784429.74</v>
      </c>
      <c r="AN13" s="31" t="n">
        <v>3341344.68</v>
      </c>
      <c r="AO13" s="31" t="n">
        <v>3122752.04</v>
      </c>
      <c r="AP13" s="31" t="n">
        <v>334134.47</v>
      </c>
      <c r="AQ13" s="31" t="n">
        <v>312275.2</v>
      </c>
      <c r="AR13" s="31" t="n">
        <v>39488.62</v>
      </c>
      <c r="AS13" s="31" t="n">
        <v>0</v>
      </c>
      <c r="AT13" s="31" t="n">
        <v>167067.23</v>
      </c>
      <c r="AU13" s="31" t="n">
        <v>156137.6</v>
      </c>
      <c r="AV13" s="31" t="n">
        <v>31219.15</v>
      </c>
      <c r="AW13" s="31" t="n">
        <v>37382.74</v>
      </c>
      <c r="AX13" s="31" t="n">
        <v>19999.77</v>
      </c>
      <c r="AY13" s="31" t="n">
        <v>18691.37</v>
      </c>
      <c r="AZ13" s="31" t="n">
        <v>16299.24</v>
      </c>
      <c r="BA13" s="31" t="n">
        <v>0</v>
      </c>
      <c r="BB13" s="31" t="n">
        <v>516.04</v>
      </c>
      <c r="BC13" s="31" t="n">
        <v>0</v>
      </c>
      <c r="BD13" s="31" t="n">
        <v>170.48</v>
      </c>
      <c r="BE13" s="31" t="n">
        <v>0</v>
      </c>
      <c r="BF13" s="31" t="n">
        <f aca="false">SUM(BE13,BC13,BA13,AY13,AW13,AU13,AS13,AQ13,AO13)</f>
        <v>3647238.95</v>
      </c>
      <c r="BG13" s="31" t="n">
        <v>15170.19</v>
      </c>
      <c r="BH13" s="31" t="n">
        <v>9968.73</v>
      </c>
      <c r="BI13" s="31" t="n">
        <v>18333.12</v>
      </c>
      <c r="BJ13" s="31" t="n">
        <v>17133.76</v>
      </c>
      <c r="BK13" s="31" t="n">
        <v>13333.18</v>
      </c>
      <c r="BL13" s="31" t="n">
        <v>12460.91</v>
      </c>
      <c r="BM13" s="31" t="n">
        <v>23333.06</v>
      </c>
      <c r="BN13" s="31" t="n">
        <v>21806.6</v>
      </c>
      <c r="BO13" s="31" t="n">
        <v>4328.95</v>
      </c>
      <c r="BP13" s="31" t="n">
        <v>0</v>
      </c>
      <c r="BQ13" s="31" t="n">
        <v>166664.72</v>
      </c>
      <c r="BR13" s="31" t="n">
        <v>155761.42</v>
      </c>
      <c r="BS13" s="31" t="n">
        <v>7142.77</v>
      </c>
      <c r="BT13" s="31" t="n">
        <v>7788.07</v>
      </c>
      <c r="BU13" s="31" t="n">
        <v>83533.62</v>
      </c>
      <c r="BV13" s="31" t="n">
        <v>78068.8</v>
      </c>
      <c r="BW13" s="31" t="n">
        <v>11199.87</v>
      </c>
      <c r="BX13" s="31" t="n">
        <v>10903.3</v>
      </c>
      <c r="BY13" s="31" t="n">
        <v>51436.68</v>
      </c>
      <c r="BZ13" s="31" t="n">
        <v>1243270.63</v>
      </c>
      <c r="CA13" s="31" t="n">
        <v>9333.22</v>
      </c>
      <c r="CB13" s="31" t="n">
        <v>8722.64</v>
      </c>
      <c r="CC13" s="31" t="n">
        <v>30618.87</v>
      </c>
      <c r="CD13" s="31" t="n">
        <v>32788.9</v>
      </c>
      <c r="CE13" s="31" t="n">
        <v>4009.61</v>
      </c>
      <c r="CF13" s="31" t="n">
        <v>3747.3</v>
      </c>
      <c r="CG13" s="31" t="n">
        <f aca="false">SUM(CF13,CD13,CB13,BZ13,BX13,BV13,BT13,BR13,BP13,BN13,BL13,BJ13,BH13)</f>
        <v>1602421.06</v>
      </c>
      <c r="CH13" s="31" t="n">
        <f aca="false">CG13+BF13</f>
        <v>5249660.01</v>
      </c>
      <c r="CI13" s="31" t="n">
        <f aca="false">SUM(CE13,CC13,CA13,BY13,BW13,BU13,BS13,BQ13,BO13,BM13,BK13,BI13,BG13,BD13,BB13,AZ13,AX13,AV13,AT13,AR13,AP13,AN13)</f>
        <v>4388677.54</v>
      </c>
      <c r="CJ13" s="31" t="n">
        <f aca="false">CI13-CH13</f>
        <v>-860982.47</v>
      </c>
      <c r="CK13" s="31" t="n">
        <f aca="false">IF(CE13-CF13+CC13-CD13+CA13-CB13+BU13-BV13+BK13-BL13+BI13-BJ13 &gt; 0, CE13-CF13+CC13-CD13+CA13-CB13+BU13-BV13+BK13-BL13+BI13-BJ13, "-")</f>
        <v>6239.30999999999</v>
      </c>
      <c r="CL13" s="31" t="str">
        <f aca="false">IF(CJ13&lt;0,"⚠ Over Budget","✓ Within Budget")</f>
        <v>⚠ Over Budget</v>
      </c>
      <c r="CM13" s="33" t="s">
        <v>109</v>
      </c>
    </row>
    <row r="14" customFormat="false" ht="18.75" hidden="false" customHeight="true" outlineLevel="0" collapsed="false">
      <c r="A14" s="22" t="s">
        <v>105</v>
      </c>
      <c r="B14" s="22" t="n">
        <v>2022</v>
      </c>
      <c r="C14" s="22" t="n">
        <v>14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14</v>
      </c>
      <c r="T14" s="22" t="n">
        <v>4</v>
      </c>
      <c r="U14" s="22" t="n">
        <v>10</v>
      </c>
      <c r="V14" s="22" t="n">
        <v>14</v>
      </c>
      <c r="W14" s="22" t="n">
        <v>0</v>
      </c>
      <c r="X14" s="22" t="n">
        <v>1</v>
      </c>
      <c r="Y14" s="22" t="n">
        <v>4</v>
      </c>
      <c r="Z14" s="22" t="n">
        <v>5</v>
      </c>
      <c r="AA14" s="22" t="n">
        <v>3</v>
      </c>
      <c r="AB14" s="22" t="n">
        <v>1</v>
      </c>
      <c r="AC14" s="22" t="n">
        <v>1</v>
      </c>
      <c r="AD14" s="23" t="n">
        <v>0</v>
      </c>
      <c r="AE14" s="23" t="n">
        <v>0</v>
      </c>
      <c r="AF14" s="24" t="n">
        <v>55.9</v>
      </c>
      <c r="AG14" s="25" t="n">
        <v>445232</v>
      </c>
      <c r="AH14" s="25" t="n">
        <v>695041</v>
      </c>
      <c r="AI14" s="25" t="n">
        <v>1089626</v>
      </c>
      <c r="AJ14" s="25" t="n">
        <v>1710908</v>
      </c>
      <c r="AK14" s="25" t="n">
        <v>2849831</v>
      </c>
      <c r="AL14" s="25" t="n">
        <v>4574723</v>
      </c>
      <c r="AM14" s="25" t="n">
        <v>1784429.74</v>
      </c>
      <c r="AN14" s="25" t="n">
        <v>3341344.68</v>
      </c>
      <c r="AO14" s="25" t="n">
        <v>3122752.04</v>
      </c>
      <c r="AP14" s="25" t="n">
        <v>334134.47</v>
      </c>
      <c r="AQ14" s="25" t="n">
        <v>312275.2</v>
      </c>
      <c r="AR14" s="25" t="n">
        <v>1458041.32</v>
      </c>
      <c r="AS14" s="25" t="n">
        <v>740634</v>
      </c>
      <c r="AT14" s="25" t="n">
        <v>167067.23</v>
      </c>
      <c r="AU14" s="25" t="n">
        <v>156137.6</v>
      </c>
      <c r="AV14" s="25" t="n">
        <v>27316.75</v>
      </c>
      <c r="AW14" s="25" t="n">
        <v>37382.74</v>
      </c>
      <c r="AX14" s="25" t="n">
        <v>19999.77</v>
      </c>
      <c r="AY14" s="25" t="n">
        <v>18691.37</v>
      </c>
      <c r="AZ14" s="25" t="n">
        <v>24448.86</v>
      </c>
      <c r="BA14" s="25" t="n">
        <v>0</v>
      </c>
      <c r="BB14" s="25" t="n">
        <v>516.04</v>
      </c>
      <c r="BC14" s="25" t="n">
        <v>0</v>
      </c>
      <c r="BD14" s="25" t="n">
        <v>170.48</v>
      </c>
      <c r="BE14" s="25" t="n">
        <v>0</v>
      </c>
      <c r="BF14" s="25" t="n">
        <f aca="false">SUM(BE14,BC14,BA14,AY14,AW14,AU14,AS14,AQ14,AO14)</f>
        <v>4387872.95</v>
      </c>
      <c r="BG14" s="25" t="n">
        <v>2488.86</v>
      </c>
      <c r="BH14" s="25" t="n">
        <v>4361.32</v>
      </c>
      <c r="BI14" s="25" t="n">
        <v>18333.12</v>
      </c>
      <c r="BJ14" s="25" t="n">
        <v>17133.76</v>
      </c>
      <c r="BK14" s="25" t="n">
        <v>13333.18</v>
      </c>
      <c r="BL14" s="25" t="n">
        <v>12460.91</v>
      </c>
      <c r="BM14" s="25" t="n">
        <v>23333.06</v>
      </c>
      <c r="BN14" s="25" t="n">
        <v>21806.6</v>
      </c>
      <c r="BO14" s="25" t="n">
        <v>4328.95</v>
      </c>
      <c r="BP14" s="25" t="n">
        <v>0</v>
      </c>
      <c r="BQ14" s="25" t="n">
        <v>166664.72</v>
      </c>
      <c r="BR14" s="25" t="n">
        <v>155761.42</v>
      </c>
      <c r="BS14" s="25" t="n">
        <v>6349.13</v>
      </c>
      <c r="BT14" s="25" t="n">
        <v>7788.07</v>
      </c>
      <c r="BU14" s="25" t="n">
        <v>83533.62</v>
      </c>
      <c r="BV14" s="25" t="n">
        <v>78068.8</v>
      </c>
      <c r="BW14" s="25" t="n">
        <v>5599.93</v>
      </c>
      <c r="BX14" s="25" t="n">
        <v>10903.3</v>
      </c>
      <c r="BY14" s="25" t="n">
        <v>60590.57</v>
      </c>
      <c r="BZ14" s="25" t="n">
        <v>470828.82</v>
      </c>
      <c r="CA14" s="25" t="n">
        <v>9333.22</v>
      </c>
      <c r="CB14" s="25" t="n">
        <v>8722.64</v>
      </c>
      <c r="CC14" s="25" t="n">
        <v>19136.79</v>
      </c>
      <c r="CD14" s="25" t="n">
        <v>399953.58</v>
      </c>
      <c r="CE14" s="25" t="n">
        <v>4009.61</v>
      </c>
      <c r="CF14" s="25" t="n">
        <v>3747.3</v>
      </c>
      <c r="CG14" s="25" t="n">
        <f aca="false">SUM(CF14,CD14,CB14,BZ14,BX14,BV14,BT14,BR14,BP14,BN14,BL14,BJ14,BH14)</f>
        <v>1191536.52</v>
      </c>
      <c r="CH14" s="25" t="n">
        <f aca="false">CG14+BF14</f>
        <v>5579409.47</v>
      </c>
      <c r="CI14" s="25" t="n">
        <f aca="false">SUM(CE14,CC14,CA14,BY14,BW14,BU14,BS14,BQ14,BO14,BM14,BK14,BI14,BG14,BD14,BB14,AZ14,AX14,AV14,AT14,AR14,AP14,AN14)</f>
        <v>5790074.36</v>
      </c>
      <c r="CJ14" s="25" t="n">
        <f aca="false">CI14-CH14</f>
        <v>210664.89</v>
      </c>
      <c r="CK14" s="25" t="str">
        <f aca="false">IF(CE14-CF14+CC14-CD14+CA14-CB14+BU14-BV14+BK14-BL14+BI14-BJ14 &gt; 0, CE14-CF14+CC14-CD14+CA14-CB14+BU14-BV14+BK14-BL14+BI14-BJ14, "-")</f>
        <v>-</v>
      </c>
      <c r="CL14" s="25" t="str">
        <f aca="false">IF(CJ14&lt;0,"⚠ Over Budget","✓ Within Budget")</f>
        <v>✓ Within Budget</v>
      </c>
      <c r="CM14" s="27" t="s">
        <v>118</v>
      </c>
    </row>
    <row r="15" customFormat="false" ht="14.25" hidden="false" customHeight="false" outlineLevel="0" collapsed="false">
      <c r="A15" s="16" t="s">
        <v>92</v>
      </c>
      <c r="B15" s="16" t="n">
        <v>2023</v>
      </c>
      <c r="C15" s="16" t="n">
        <v>14</v>
      </c>
      <c r="D15" s="16" t="n">
        <v>0</v>
      </c>
      <c r="E15" s="16" t="n">
        <v>1</v>
      </c>
      <c r="F15" s="16" t="n">
        <v>1</v>
      </c>
      <c r="G15" s="16" t="n">
        <v>0</v>
      </c>
      <c r="H15" s="16" t="n">
        <v>0</v>
      </c>
      <c r="I15" s="16" t="n">
        <v>0</v>
      </c>
      <c r="J15" s="16" t="n">
        <v>2</v>
      </c>
      <c r="K15" s="16" t="n">
        <v>1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1</v>
      </c>
      <c r="Q15" s="16" t="n">
        <v>1</v>
      </c>
      <c r="R15" s="16" t="n">
        <v>0</v>
      </c>
      <c r="S15" s="16" t="n">
        <v>15</v>
      </c>
      <c r="T15" s="16" t="n">
        <v>5</v>
      </c>
      <c r="U15" s="16" t="n">
        <v>10</v>
      </c>
      <c r="V15" s="16" t="n">
        <v>15</v>
      </c>
      <c r="W15" s="16" t="n">
        <v>0</v>
      </c>
      <c r="X15" s="16" t="n">
        <v>1</v>
      </c>
      <c r="Y15" s="16" t="n">
        <v>5</v>
      </c>
      <c r="Z15" s="16" t="n">
        <v>5</v>
      </c>
      <c r="AA15" s="16" t="n">
        <v>3</v>
      </c>
      <c r="AB15" s="16" t="n">
        <v>1</v>
      </c>
      <c r="AC15" s="16" t="n">
        <v>1</v>
      </c>
      <c r="AD15" s="17" t="n">
        <v>0.857143</v>
      </c>
      <c r="AE15" s="17" t="n">
        <v>0</v>
      </c>
      <c r="AF15" s="18" t="n">
        <v>56.8</v>
      </c>
      <c r="AG15" s="19" t="n">
        <v>445232</v>
      </c>
      <c r="AH15" s="19" t="n">
        <v>695041</v>
      </c>
      <c r="AI15" s="19" t="n">
        <v>1089626</v>
      </c>
      <c r="AJ15" s="19" t="n">
        <v>1710908</v>
      </c>
      <c r="AK15" s="19" t="n">
        <v>2849831</v>
      </c>
      <c r="AL15" s="19" t="n">
        <v>4574723</v>
      </c>
      <c r="AM15" s="19" t="n">
        <v>1693476.49</v>
      </c>
      <c r="AN15" s="19" t="n">
        <v>3171034.72</v>
      </c>
      <c r="AO15" s="19" t="n">
        <v>2963583.85</v>
      </c>
      <c r="AP15" s="19" t="n">
        <v>317103.47</v>
      </c>
      <c r="AQ15" s="19" t="n">
        <v>296358.39</v>
      </c>
      <c r="AR15" s="19" t="n">
        <v>51889.66</v>
      </c>
      <c r="AS15" s="19" t="n">
        <v>177815.03</v>
      </c>
      <c r="AT15" s="19" t="n">
        <v>158551.74</v>
      </c>
      <c r="AU15" s="19" t="n">
        <v>148179.19</v>
      </c>
      <c r="AV15" s="19" t="n">
        <v>29627.89</v>
      </c>
      <c r="AW15" s="19" t="n">
        <v>35477.32</v>
      </c>
      <c r="AX15" s="19" t="n">
        <v>18980.37</v>
      </c>
      <c r="AY15" s="19" t="n">
        <v>17738.66</v>
      </c>
      <c r="AZ15" s="19" t="n">
        <v>7734.23</v>
      </c>
      <c r="BA15" s="19" t="n">
        <v>0</v>
      </c>
      <c r="BB15" s="19" t="n">
        <v>489.74</v>
      </c>
      <c r="BC15" s="19" t="n">
        <v>0</v>
      </c>
      <c r="BD15" s="19" t="n">
        <v>388.29</v>
      </c>
      <c r="BE15" s="19" t="n">
        <v>0</v>
      </c>
      <c r="BF15" s="19" t="n">
        <f aca="false">SUM(BE15,BC15,BA15,AY15,AW15,AU15,AS15,AQ15,AO15)</f>
        <v>3639152.44</v>
      </c>
      <c r="BG15" s="19" t="n">
        <v>1574.67</v>
      </c>
      <c r="BH15" s="19" t="n">
        <v>4139.02</v>
      </c>
      <c r="BI15" s="19" t="n">
        <v>17398.67</v>
      </c>
      <c r="BJ15" s="19" t="n">
        <v>16260.44</v>
      </c>
      <c r="BK15" s="19" t="n">
        <v>12653.58</v>
      </c>
      <c r="BL15" s="19" t="n">
        <v>11825.77</v>
      </c>
      <c r="BM15" s="19" t="n">
        <v>22143.76</v>
      </c>
      <c r="BN15" s="19" t="n">
        <v>20695.11</v>
      </c>
      <c r="BO15" s="19" t="n">
        <v>4108.3</v>
      </c>
      <c r="BP15" s="19" t="n">
        <v>0</v>
      </c>
      <c r="BQ15" s="19" t="n">
        <v>147625.09</v>
      </c>
      <c r="BR15" s="19" t="n">
        <v>137967.37</v>
      </c>
      <c r="BS15" s="19" t="n">
        <v>6326.79</v>
      </c>
      <c r="BT15" s="19" t="n">
        <v>6898.37</v>
      </c>
      <c r="BU15" s="19" t="n">
        <v>79275.87</v>
      </c>
      <c r="BV15" s="19" t="n">
        <v>74089.6</v>
      </c>
      <c r="BW15" s="19" t="n">
        <v>5314.5</v>
      </c>
      <c r="BX15" s="19" t="n">
        <v>10347.55</v>
      </c>
      <c r="BY15" s="19" t="n">
        <v>5623.81</v>
      </c>
      <c r="BZ15" s="19" t="n">
        <v>11825.77</v>
      </c>
      <c r="CA15" s="19" t="n">
        <v>8857.51</v>
      </c>
      <c r="CB15" s="19" t="n">
        <v>8278.04</v>
      </c>
      <c r="CC15" s="19" t="n">
        <v>18161.38</v>
      </c>
      <c r="CD15" s="19" t="n">
        <v>31117.63</v>
      </c>
      <c r="CE15" s="19" t="n">
        <v>3805.24</v>
      </c>
      <c r="CF15" s="19" t="n">
        <v>3556.3</v>
      </c>
      <c r="CG15" s="19" t="n">
        <f aca="false">SUM(CF15,CD15,CB15,BZ15,BX15,BV15,BT15,BR15,BP15,BN15,BL15,BJ15,BH15)</f>
        <v>337000.97</v>
      </c>
      <c r="CH15" s="19" t="n">
        <f aca="false">CG15+BF15</f>
        <v>3976153.41</v>
      </c>
      <c r="CI15" s="19" t="n">
        <f aca="false">SUM(CE15,CC15,CA15,BY15,BW15,BU15,BS15,BQ15,BO15,BM15,BK15,BI15,BG15,BD15,BB15,AZ15,AX15,AV15,AT15,AR15,AP15,AN15)</f>
        <v>4088669.28</v>
      </c>
      <c r="CJ15" s="19" t="n">
        <f aca="false">CI15-CH15</f>
        <v>112515.87</v>
      </c>
      <c r="CK15" s="19" t="str">
        <f aca="false">IF(CE15-CF15+CC15-CD15+CA15-CB15+BU15-BV15+BK15-BL15+BI15-BJ15 &gt; 0, CE15-CF15+CC15-CD15+CA15-CB15+BU15-BV15+BK15-BL15+BI15-BJ15, "-")</f>
        <v>-</v>
      </c>
      <c r="CL15" s="19" t="str">
        <f aca="false">IF(CJ15&lt;0,"⚠ Over Budget","✓ Within Budget")</f>
        <v>✓ Within Budget</v>
      </c>
      <c r="CM15" s="21"/>
    </row>
    <row r="16" customFormat="false" ht="14.25" hidden="false" customHeight="false" outlineLevel="0" collapsed="false">
      <c r="A16" s="22" t="s">
        <v>93</v>
      </c>
      <c r="B16" s="22" t="n">
        <v>2023</v>
      </c>
      <c r="C16" s="22" t="n">
        <v>15</v>
      </c>
      <c r="D16" s="22" t="n">
        <v>0</v>
      </c>
      <c r="E16" s="22" t="n">
        <v>1</v>
      </c>
      <c r="F16" s="22" t="n">
        <v>1</v>
      </c>
      <c r="G16" s="22" t="n">
        <v>0</v>
      </c>
      <c r="H16" s="22" t="n">
        <v>0</v>
      </c>
      <c r="I16" s="22" t="n">
        <v>0</v>
      </c>
      <c r="J16" s="22" t="n">
        <v>2</v>
      </c>
      <c r="K16" s="22" t="n">
        <v>1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1</v>
      </c>
      <c r="Q16" s="22" t="n">
        <v>1</v>
      </c>
      <c r="R16" s="22" t="n">
        <v>0</v>
      </c>
      <c r="S16" s="22" t="n">
        <v>16</v>
      </c>
      <c r="T16" s="22" t="n">
        <v>5</v>
      </c>
      <c r="U16" s="22" t="n">
        <v>11</v>
      </c>
      <c r="V16" s="22" t="n">
        <v>16</v>
      </c>
      <c r="W16" s="22" t="n">
        <v>0</v>
      </c>
      <c r="X16" s="22" t="n">
        <v>1</v>
      </c>
      <c r="Y16" s="22" t="n">
        <v>5</v>
      </c>
      <c r="Z16" s="22" t="n">
        <v>6</v>
      </c>
      <c r="AA16" s="22" t="n">
        <v>3</v>
      </c>
      <c r="AB16" s="22" t="n">
        <v>1</v>
      </c>
      <c r="AC16" s="22" t="n">
        <v>1</v>
      </c>
      <c r="AD16" s="23" t="n">
        <v>0.8</v>
      </c>
      <c r="AE16" s="23" t="n">
        <v>0</v>
      </c>
      <c r="AF16" s="24" t="n">
        <v>56.3</v>
      </c>
      <c r="AG16" s="25" t="n">
        <v>445232</v>
      </c>
      <c r="AH16" s="25" t="n">
        <v>695041</v>
      </c>
      <c r="AI16" s="25" t="n">
        <v>1089626</v>
      </c>
      <c r="AJ16" s="25" t="n">
        <v>1710908</v>
      </c>
      <c r="AK16" s="25" t="n">
        <v>2849831</v>
      </c>
      <c r="AL16" s="25" t="n">
        <v>4574723</v>
      </c>
      <c r="AM16" s="25" t="n">
        <v>1693476.49</v>
      </c>
      <c r="AN16" s="25" t="n">
        <v>3020033.07</v>
      </c>
      <c r="AO16" s="25" t="n">
        <v>2822460.81</v>
      </c>
      <c r="AP16" s="25" t="n">
        <v>302003.31</v>
      </c>
      <c r="AQ16" s="25" t="n">
        <v>282246.08</v>
      </c>
      <c r="AR16" s="25" t="n">
        <v>8236.45</v>
      </c>
      <c r="AS16" s="25" t="n">
        <v>0</v>
      </c>
      <c r="AT16" s="25" t="n">
        <v>151001.65</v>
      </c>
      <c r="AU16" s="25" t="n">
        <v>141123.04</v>
      </c>
      <c r="AV16" s="25" t="n">
        <v>28217.04</v>
      </c>
      <c r="AW16" s="25" t="n">
        <v>33787.93</v>
      </c>
      <c r="AX16" s="25" t="n">
        <v>18076.54</v>
      </c>
      <c r="AY16" s="25" t="n">
        <v>16893.96</v>
      </c>
      <c r="AZ16" s="25" t="n">
        <v>7365.93</v>
      </c>
      <c r="BA16" s="25" t="n">
        <v>0</v>
      </c>
      <c r="BB16" s="25" t="n">
        <v>1469.21</v>
      </c>
      <c r="BC16" s="25" t="n">
        <v>0</v>
      </c>
      <c r="BD16" s="25" t="n">
        <v>145608.74</v>
      </c>
      <c r="BE16" s="25" t="n">
        <v>84673.82</v>
      </c>
      <c r="BF16" s="25" t="n">
        <f aca="false">SUM(BE16,BC16,BA16,AY16,AW16,AU16,AS16,AQ16,AO16)</f>
        <v>3381185.64</v>
      </c>
      <c r="BG16" s="25" t="n">
        <v>1499.68</v>
      </c>
      <c r="BH16" s="25" t="n">
        <v>3941.92</v>
      </c>
      <c r="BI16" s="25" t="n">
        <v>16570.16</v>
      </c>
      <c r="BJ16" s="25" t="n">
        <v>15486.13</v>
      </c>
      <c r="BK16" s="25" t="n">
        <v>12051.03</v>
      </c>
      <c r="BL16" s="25" t="n">
        <v>11262.64</v>
      </c>
      <c r="BM16" s="25" t="n">
        <v>21089.3</v>
      </c>
      <c r="BN16" s="25" t="n">
        <v>19709.62</v>
      </c>
      <c r="BO16" s="25" t="n">
        <v>4108.3</v>
      </c>
      <c r="BP16" s="25" t="n">
        <v>0</v>
      </c>
      <c r="BQ16" s="25" t="n">
        <v>147625.09</v>
      </c>
      <c r="BR16" s="25" t="n">
        <v>137967.37</v>
      </c>
      <c r="BS16" s="25" t="n">
        <v>6326.79</v>
      </c>
      <c r="BT16" s="25" t="n">
        <v>6898.37</v>
      </c>
      <c r="BU16" s="25" t="n">
        <v>75500.83</v>
      </c>
      <c r="BV16" s="25" t="n">
        <v>70561.52</v>
      </c>
      <c r="BW16" s="25" t="n">
        <v>5061.43</v>
      </c>
      <c r="BX16" s="25" t="n">
        <v>9854.81</v>
      </c>
      <c r="BY16" s="25" t="n">
        <v>5356.01</v>
      </c>
      <c r="BZ16" s="25" t="n">
        <v>11262.64</v>
      </c>
      <c r="CA16" s="25" t="n">
        <v>8435.72</v>
      </c>
      <c r="CB16" s="25" t="n">
        <v>7883.85</v>
      </c>
      <c r="CC16" s="25" t="n">
        <v>17296.55</v>
      </c>
      <c r="CD16" s="25" t="n">
        <v>29635.84</v>
      </c>
      <c r="CE16" s="25" t="n">
        <v>3624.04</v>
      </c>
      <c r="CF16" s="25" t="n">
        <v>3386.95</v>
      </c>
      <c r="CG16" s="25" t="n">
        <f aca="false">SUM(CF16,CD16,CB16,BZ16,BX16,BV16,BT16,BR16,BP16,BN16,BL16,BJ16,BH16)</f>
        <v>327851.66</v>
      </c>
      <c r="CH16" s="25" t="n">
        <f aca="false">CG16+BF16</f>
        <v>3709037.3</v>
      </c>
      <c r="CI16" s="25" t="n">
        <f aca="false">SUM(CE16,CC16,CA16,BY16,BW16,BU16,BS16,BQ16,BO16,BM16,BK16,BI16,BG16,BD16,BB16,AZ16,AX16,AV16,AT16,AR16,AP16,AN16)</f>
        <v>4006556.87</v>
      </c>
      <c r="CJ16" s="25" t="n">
        <f aca="false">CI16-CH16</f>
        <v>297519.569999999</v>
      </c>
      <c r="CK16" s="25" t="str">
        <f aca="false">IF(CE16-CF16+CC16-CD16+CA16-CB16+BU16-BV16+BK16-BL16+BI16-BJ16 &gt; 0, CE16-CF16+CC16-CD16+CA16-CB16+BU16-BV16+BK16-BL16+BI16-BJ16, "-")</f>
        <v>-</v>
      </c>
      <c r="CL16" s="25" t="str">
        <f aca="false">IF(CJ16&lt;0,"⚠ Over Budget","✓ Within Budget")</f>
        <v>✓ Within Budget</v>
      </c>
      <c r="CM16" s="27"/>
    </row>
    <row r="17" customFormat="false" ht="14.25" hidden="false" customHeight="false" outlineLevel="0" collapsed="false">
      <c r="A17" s="16" t="s">
        <v>94</v>
      </c>
      <c r="B17" s="16" t="n">
        <v>2023</v>
      </c>
      <c r="C17" s="16" t="n">
        <v>16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16</v>
      </c>
      <c r="T17" s="16" t="n">
        <v>5</v>
      </c>
      <c r="U17" s="16" t="n">
        <v>11</v>
      </c>
      <c r="V17" s="16" t="n">
        <v>16</v>
      </c>
      <c r="W17" s="16" t="n">
        <v>0</v>
      </c>
      <c r="X17" s="16" t="n">
        <v>1</v>
      </c>
      <c r="Y17" s="16" t="n">
        <v>5</v>
      </c>
      <c r="Z17" s="16" t="n">
        <v>6</v>
      </c>
      <c r="AA17" s="16" t="n">
        <v>3</v>
      </c>
      <c r="AB17" s="16" t="n">
        <v>1</v>
      </c>
      <c r="AC17" s="16" t="n">
        <v>1</v>
      </c>
      <c r="AD17" s="17" t="n">
        <v>0</v>
      </c>
      <c r="AE17" s="17" t="n">
        <v>0</v>
      </c>
      <c r="AF17" s="18" t="n">
        <v>55.9</v>
      </c>
      <c r="AG17" s="19" t="n">
        <v>445232</v>
      </c>
      <c r="AH17" s="19" t="n">
        <v>695041</v>
      </c>
      <c r="AI17" s="19" t="n">
        <v>1089626</v>
      </c>
      <c r="AJ17" s="19" t="n">
        <v>1710908</v>
      </c>
      <c r="AK17" s="19" t="n">
        <v>2849831</v>
      </c>
      <c r="AL17" s="19" t="n">
        <v>4574723</v>
      </c>
      <c r="AM17" s="19" t="n">
        <v>1693476.49</v>
      </c>
      <c r="AN17" s="19" t="n">
        <v>3020033.07</v>
      </c>
      <c r="AO17" s="19" t="n">
        <v>2822460.81</v>
      </c>
      <c r="AP17" s="19" t="n">
        <v>302003.31</v>
      </c>
      <c r="AQ17" s="19" t="n">
        <v>282246.08</v>
      </c>
      <c r="AR17" s="19" t="n">
        <v>13727.42</v>
      </c>
      <c r="AS17" s="19" t="n">
        <v>0</v>
      </c>
      <c r="AT17" s="19" t="n">
        <v>151001.65</v>
      </c>
      <c r="AU17" s="19" t="n">
        <v>141123.04</v>
      </c>
      <c r="AV17" s="19" t="n">
        <v>26453.48</v>
      </c>
      <c r="AW17" s="19" t="n">
        <v>25340.95</v>
      </c>
      <c r="AX17" s="19" t="n">
        <v>18076.54</v>
      </c>
      <c r="AY17" s="19" t="n">
        <v>16893.96</v>
      </c>
      <c r="AZ17" s="19" t="n">
        <v>23570.99</v>
      </c>
      <c r="BA17" s="19" t="n">
        <v>0</v>
      </c>
      <c r="BB17" s="19" t="n">
        <v>2448.68</v>
      </c>
      <c r="BC17" s="19" t="n">
        <v>0</v>
      </c>
      <c r="BD17" s="19" t="n">
        <v>485.36</v>
      </c>
      <c r="BE17" s="19" t="n">
        <v>0</v>
      </c>
      <c r="BF17" s="19" t="n">
        <f aca="false">SUM(BE17,BC17,BA17,AY17,AW17,AU17,AS17,AQ17,AO17)</f>
        <v>3288064.84</v>
      </c>
      <c r="BG17" s="19" t="n">
        <v>1499.68</v>
      </c>
      <c r="BH17" s="19" t="n">
        <v>3941.92</v>
      </c>
      <c r="BI17" s="19" t="n">
        <v>16570.16</v>
      </c>
      <c r="BJ17" s="19" t="n">
        <v>15486.13</v>
      </c>
      <c r="BK17" s="19" t="n">
        <v>12051.03</v>
      </c>
      <c r="BL17" s="19" t="n">
        <v>11262.64</v>
      </c>
      <c r="BM17" s="19" t="n">
        <v>21089.3</v>
      </c>
      <c r="BN17" s="19" t="n">
        <v>19709.62</v>
      </c>
      <c r="BO17" s="19" t="n">
        <v>4108.3</v>
      </c>
      <c r="BP17" s="19" t="n">
        <v>0</v>
      </c>
      <c r="BQ17" s="19" t="n">
        <v>147625.09</v>
      </c>
      <c r="BR17" s="19" t="n">
        <v>137967.37</v>
      </c>
      <c r="BS17" s="19" t="n">
        <v>7029.77</v>
      </c>
      <c r="BT17" s="19" t="n">
        <v>6898.37</v>
      </c>
      <c r="BU17" s="19" t="n">
        <v>75500.83</v>
      </c>
      <c r="BV17" s="19" t="n">
        <v>70561.52</v>
      </c>
      <c r="BW17" s="19" t="n">
        <v>5061.43</v>
      </c>
      <c r="BX17" s="19" t="n">
        <v>9854.81</v>
      </c>
      <c r="BY17" s="19" t="n">
        <v>37741.32</v>
      </c>
      <c r="BZ17" s="19" t="n">
        <v>33067.75</v>
      </c>
      <c r="CA17" s="19" t="n">
        <v>8435.72</v>
      </c>
      <c r="CB17" s="19" t="n">
        <v>7883.85</v>
      </c>
      <c r="CC17" s="19" t="n">
        <v>245920.57</v>
      </c>
      <c r="CD17" s="19" t="n">
        <v>84271.85</v>
      </c>
      <c r="CE17" s="19" t="n">
        <v>3624.04</v>
      </c>
      <c r="CF17" s="19" t="n">
        <v>3386.95</v>
      </c>
      <c r="CG17" s="19" t="n">
        <f aca="false">SUM(CF17,CD17,CB17,BZ17,BX17,BV17,BT17,BR17,BP17,BN17,BL17,BJ17,BH17)</f>
        <v>404292.78</v>
      </c>
      <c r="CH17" s="19" t="n">
        <f aca="false">CG17+BF17</f>
        <v>3692357.62</v>
      </c>
      <c r="CI17" s="19" t="n">
        <f aca="false">SUM(CE17,CC17,CA17,BY17,BW17,BU17,BS17,BQ17,BO17,BM17,BK17,BI17,BG17,BD17,BB17,AZ17,AX17,AV17,AT17,AR17,AP17,AN17)</f>
        <v>4144057.74</v>
      </c>
      <c r="CJ17" s="19" t="n">
        <f aca="false">CI17-CH17</f>
        <v>451700.12</v>
      </c>
      <c r="CK17" s="19" t="n">
        <f aca="false">IF(CE17-CF17+CC17-CD17+CA17-CB17+BU17-BV17+BK17-BL17+BI17-BJ17 &gt; 0, CE17-CF17+CC17-CD17+CA17-CB17+BU17-BV17+BK17-BL17+BI17-BJ17, "-")</f>
        <v>169249.41</v>
      </c>
      <c r="CL17" s="19" t="str">
        <f aca="false">IF(CJ17&lt;0,"⚠ Over Budget","✓ Within Budget")</f>
        <v>✓ Within Budget</v>
      </c>
      <c r="CM17" s="21"/>
    </row>
    <row r="18" customFormat="false" ht="18.75" hidden="false" customHeight="true" outlineLevel="0" collapsed="false">
      <c r="A18" s="28" t="s">
        <v>96</v>
      </c>
      <c r="B18" s="28" t="n">
        <v>2023</v>
      </c>
      <c r="C18" s="28" t="n">
        <v>16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  <c r="Q18" s="28" t="n">
        <v>0</v>
      </c>
      <c r="R18" s="28" t="n">
        <v>0</v>
      </c>
      <c r="S18" s="28" t="n">
        <v>16</v>
      </c>
      <c r="T18" s="28" t="n">
        <v>5</v>
      </c>
      <c r="U18" s="28" t="n">
        <v>11</v>
      </c>
      <c r="V18" s="28" t="n">
        <v>16</v>
      </c>
      <c r="W18" s="28" t="n">
        <v>0</v>
      </c>
      <c r="X18" s="28" t="n">
        <v>1</v>
      </c>
      <c r="Y18" s="28" t="n">
        <v>5</v>
      </c>
      <c r="Z18" s="28" t="n">
        <v>6</v>
      </c>
      <c r="AA18" s="28" t="n">
        <v>3</v>
      </c>
      <c r="AB18" s="28" t="n">
        <v>1</v>
      </c>
      <c r="AC18" s="28" t="n">
        <v>1</v>
      </c>
      <c r="AD18" s="29" t="n">
        <v>0</v>
      </c>
      <c r="AE18" s="29" t="n">
        <v>0.096689446603603</v>
      </c>
      <c r="AF18" s="30" t="n">
        <v>55.4</v>
      </c>
      <c r="AG18" s="31" t="n">
        <v>500670</v>
      </c>
      <c r="AH18" s="31" t="n">
        <v>770355</v>
      </c>
      <c r="AI18" s="31" t="n">
        <v>1189884</v>
      </c>
      <c r="AJ18" s="31" t="n">
        <v>1854013</v>
      </c>
      <c r="AK18" s="31" t="n">
        <v>3058011</v>
      </c>
      <c r="AL18" s="31" t="n">
        <v>4916457</v>
      </c>
      <c r="AM18" s="31" t="n">
        <v>1845461.71</v>
      </c>
      <c r="AN18" s="31" t="n">
        <v>3126519.72</v>
      </c>
      <c r="AO18" s="31" t="n">
        <v>3754351.87</v>
      </c>
      <c r="AP18" s="31" t="n">
        <v>312651.97</v>
      </c>
      <c r="AQ18" s="31" t="n">
        <v>292198.1</v>
      </c>
      <c r="AR18" s="31" t="n">
        <v>159168.28</v>
      </c>
      <c r="AS18" s="31" t="n">
        <v>759452.56</v>
      </c>
      <c r="AT18" s="31" t="n">
        <v>156325.99</v>
      </c>
      <c r="AU18" s="31" t="n">
        <v>146099.05</v>
      </c>
      <c r="AV18" s="31" t="n">
        <v>30156.96</v>
      </c>
      <c r="AW18" s="31" t="n">
        <v>24073.9</v>
      </c>
      <c r="AX18" s="31" t="n">
        <v>17172.71</v>
      </c>
      <c r="AY18" s="31" t="n">
        <v>16049.27</v>
      </c>
      <c r="AZ18" s="31" t="n">
        <v>30502.63</v>
      </c>
      <c r="BA18" s="31" t="n">
        <v>0</v>
      </c>
      <c r="BB18" s="31" t="n">
        <v>2668.44</v>
      </c>
      <c r="BC18" s="31" t="n">
        <v>0</v>
      </c>
      <c r="BD18" s="31" t="n">
        <v>52892.25</v>
      </c>
      <c r="BE18" s="31" t="n">
        <v>92273.09</v>
      </c>
      <c r="BF18" s="31" t="n">
        <f aca="false">SUM(BE18,BC18,BA18,AY18,AW18,AU18,AS18,AQ18,AO18)</f>
        <v>5084497.84</v>
      </c>
      <c r="BG18" s="31" t="n">
        <v>24626.94</v>
      </c>
      <c r="BH18" s="31" t="n">
        <v>11769.46</v>
      </c>
      <c r="BI18" s="31" t="n">
        <v>15741.65</v>
      </c>
      <c r="BJ18" s="31" t="n">
        <v>14711.83</v>
      </c>
      <c r="BK18" s="31" t="n">
        <v>11448.48</v>
      </c>
      <c r="BL18" s="31" t="n">
        <v>10699.51</v>
      </c>
      <c r="BM18" s="31" t="n">
        <v>20034.83</v>
      </c>
      <c r="BN18" s="31" t="n">
        <v>18724.14</v>
      </c>
      <c r="BO18" s="31" t="n">
        <v>20541.52</v>
      </c>
      <c r="BP18" s="31" t="n">
        <v>0</v>
      </c>
      <c r="BQ18" s="31" t="n">
        <v>137080.44</v>
      </c>
      <c r="BR18" s="31" t="n">
        <v>128112.56</v>
      </c>
      <c r="BS18" s="31" t="n">
        <v>6527.64</v>
      </c>
      <c r="BT18" s="31" t="n">
        <v>6405.63</v>
      </c>
      <c r="BU18" s="31" t="n">
        <v>78162.99</v>
      </c>
      <c r="BV18" s="31" t="n">
        <v>73049.53</v>
      </c>
      <c r="BW18" s="31" t="n">
        <v>19233.44</v>
      </c>
      <c r="BX18" s="31" t="n">
        <v>9362.07</v>
      </c>
      <c r="BY18" s="31" t="n">
        <v>5088.21</v>
      </c>
      <c r="BZ18" s="31" t="n">
        <v>10699.51</v>
      </c>
      <c r="CA18" s="31" t="n">
        <v>8013.93</v>
      </c>
      <c r="CB18" s="31" t="n">
        <v>7489.66</v>
      </c>
      <c r="CC18" s="31" t="n">
        <v>191482.06</v>
      </c>
      <c r="CD18" s="31" t="n">
        <v>65616.91</v>
      </c>
      <c r="CE18" s="31" t="n">
        <v>3751.82</v>
      </c>
      <c r="CF18" s="31" t="n">
        <v>3506.38</v>
      </c>
      <c r="CG18" s="31" t="n">
        <f aca="false">SUM(CF18,CD18,CB18,BZ18,BX18,BV18,BT18,BR18,BP18,BN18,BL18,BJ18,BH18)</f>
        <v>360147.19</v>
      </c>
      <c r="CH18" s="31" t="n">
        <f aca="false">CG18+BF18</f>
        <v>5444645.03</v>
      </c>
      <c r="CI18" s="31" t="n">
        <f aca="false">SUM(CE18,CC18,CA18,BY18,BW18,BU18,BS18,BQ18,BO18,BM18,BK18,BI18,BG18,BD18,BB18,AZ18,AX18,AV18,AT18,AR18,AP18,AN18)</f>
        <v>4429792.9</v>
      </c>
      <c r="CJ18" s="31" t="n">
        <f aca="false">CI18-CH18</f>
        <v>-1014852.13</v>
      </c>
      <c r="CK18" s="31" t="n">
        <f aca="false">IF(CE18-CF18+CC18-CD18+CA18-CB18+BU18-BV18+BK18-BL18+BI18-BJ18 &gt; 0, CE18-CF18+CC18-CD18+CA18-CB18+BU18-BV18+BK18-BL18+BI18-BJ18, "-")</f>
        <v>133527.11</v>
      </c>
      <c r="CL18" s="31" t="str">
        <f aca="false">IF(CJ18&lt;0,"⚠ Over Budget","✓ Within Budget")</f>
        <v>⚠ Over Budget</v>
      </c>
      <c r="CM18" s="33" t="s">
        <v>107</v>
      </c>
    </row>
    <row r="19" customFormat="false" ht="14.25" hidden="false" customHeight="false" outlineLevel="0" collapsed="false">
      <c r="A19" s="16" t="s">
        <v>98</v>
      </c>
      <c r="B19" s="16" t="n">
        <v>2023</v>
      </c>
      <c r="C19" s="16" t="n">
        <v>16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16</v>
      </c>
      <c r="T19" s="16" t="n">
        <v>5</v>
      </c>
      <c r="U19" s="16" t="n">
        <v>11</v>
      </c>
      <c r="V19" s="16" t="n">
        <v>16</v>
      </c>
      <c r="W19" s="16" t="n">
        <v>0</v>
      </c>
      <c r="X19" s="16" t="n">
        <v>1</v>
      </c>
      <c r="Y19" s="16" t="n">
        <v>5</v>
      </c>
      <c r="Z19" s="16" t="n">
        <v>6</v>
      </c>
      <c r="AA19" s="16" t="n">
        <v>3</v>
      </c>
      <c r="AB19" s="16" t="n">
        <v>1</v>
      </c>
      <c r="AC19" s="16" t="n">
        <v>1</v>
      </c>
      <c r="AD19" s="17" t="n">
        <v>0</v>
      </c>
      <c r="AE19" s="17" t="n">
        <v>0</v>
      </c>
      <c r="AF19" s="18" t="n">
        <v>55.1</v>
      </c>
      <c r="AG19" s="19" t="n">
        <v>500670</v>
      </c>
      <c r="AH19" s="19" t="n">
        <v>770355</v>
      </c>
      <c r="AI19" s="19" t="n">
        <v>1189884</v>
      </c>
      <c r="AJ19" s="19" t="n">
        <v>1854013</v>
      </c>
      <c r="AK19" s="19" t="n">
        <v>3058011</v>
      </c>
      <c r="AL19" s="19" t="n">
        <v>4916457</v>
      </c>
      <c r="AM19" s="19" t="n">
        <v>1845461.71</v>
      </c>
      <c r="AN19" s="19" t="n">
        <v>3126519.72</v>
      </c>
      <c r="AO19" s="19" t="n">
        <v>2921981.04</v>
      </c>
      <c r="AP19" s="19" t="n">
        <v>312651.97</v>
      </c>
      <c r="AQ19" s="19" t="n">
        <v>292198.1</v>
      </c>
      <c r="AR19" s="19" t="n">
        <v>11369.16</v>
      </c>
      <c r="AS19" s="19" t="n">
        <v>0</v>
      </c>
      <c r="AT19" s="19" t="n">
        <v>156325.99</v>
      </c>
      <c r="AU19" s="19" t="n">
        <v>146099.05</v>
      </c>
      <c r="AV19" s="19" t="n">
        <v>32670.04</v>
      </c>
      <c r="AW19" s="19" t="n">
        <v>24073.9</v>
      </c>
      <c r="AX19" s="19" t="n">
        <v>17172.71</v>
      </c>
      <c r="AY19" s="19" t="n">
        <v>16049.27</v>
      </c>
      <c r="AZ19" s="19" t="n">
        <v>9150.79</v>
      </c>
      <c r="BA19" s="19" t="n">
        <v>0</v>
      </c>
      <c r="BB19" s="19" t="n">
        <v>1067.38</v>
      </c>
      <c r="BC19" s="19" t="n">
        <v>0</v>
      </c>
      <c r="BD19" s="19" t="n">
        <v>176.31</v>
      </c>
      <c r="BE19" s="19" t="n">
        <v>0</v>
      </c>
      <c r="BF19" s="19" t="n">
        <f aca="false">SUM(BE19,BC19,BA19,AY19,AW19,AU19,AS19,AQ19,AO19)</f>
        <v>3400401.36</v>
      </c>
      <c r="BG19" s="19" t="n">
        <v>16485.81</v>
      </c>
      <c r="BH19" s="19" t="n">
        <v>9629.56</v>
      </c>
      <c r="BI19" s="19" t="n">
        <v>15741.65</v>
      </c>
      <c r="BJ19" s="19" t="n">
        <v>14711.83</v>
      </c>
      <c r="BK19" s="19" t="n">
        <v>11448.48</v>
      </c>
      <c r="BL19" s="19" t="n">
        <v>10699.51</v>
      </c>
      <c r="BM19" s="19" t="n">
        <v>20034.83</v>
      </c>
      <c r="BN19" s="19" t="n">
        <v>18724.14</v>
      </c>
      <c r="BO19" s="19" t="n">
        <v>8216.61</v>
      </c>
      <c r="BP19" s="19" t="n">
        <v>0</v>
      </c>
      <c r="BQ19" s="19" t="n">
        <v>137080.44</v>
      </c>
      <c r="BR19" s="19" t="n">
        <v>128112.56</v>
      </c>
      <c r="BS19" s="19" t="n">
        <v>7180.4</v>
      </c>
      <c r="BT19" s="19" t="n">
        <v>6405.63</v>
      </c>
      <c r="BU19" s="19" t="n">
        <v>78162.99</v>
      </c>
      <c r="BV19" s="19" t="n">
        <v>73049.53</v>
      </c>
      <c r="BW19" s="19" t="n">
        <v>14425.08</v>
      </c>
      <c r="BX19" s="19" t="n">
        <v>9362.07</v>
      </c>
      <c r="BY19" s="19" t="n">
        <v>5088.21</v>
      </c>
      <c r="BZ19" s="19" t="n">
        <v>10699.51</v>
      </c>
      <c r="CA19" s="19" t="n">
        <v>8013.93</v>
      </c>
      <c r="CB19" s="19" t="n">
        <v>7489.66</v>
      </c>
      <c r="CC19" s="19" t="n">
        <v>28650.29</v>
      </c>
      <c r="CD19" s="19" t="n">
        <v>30680.8</v>
      </c>
      <c r="CE19" s="19" t="n">
        <v>3751.82</v>
      </c>
      <c r="CF19" s="19" t="n">
        <v>3506.38</v>
      </c>
      <c r="CG19" s="19" t="n">
        <f aca="false">SUM(CF19,CD19,CB19,BZ19,BX19,BV19,BT19,BR19,BP19,BN19,BL19,BJ19,BH19)</f>
        <v>323071.18</v>
      </c>
      <c r="CH19" s="19" t="n">
        <f aca="false">CG19+BF19</f>
        <v>3723472.54</v>
      </c>
      <c r="CI19" s="19" t="n">
        <f aca="false">SUM(CE19,CC19,CA19,BY19,BW19,BU19,BS19,BQ19,BO19,BM19,BK19,BI19,BG19,BD19,BB19,AZ19,AX19,AV19,AT19,AR19,AP19,AN19)</f>
        <v>4021384.61</v>
      </c>
      <c r="CJ19" s="19" t="n">
        <f aca="false">CI19-CH19</f>
        <v>297912.07</v>
      </c>
      <c r="CK19" s="19" t="n">
        <f aca="false">IF(CE19-CF19+CC19-CD19+CA19-CB19+BU19-BV19+BK19-BL19+BI19-BJ19 &gt; 0, CE19-CF19+CC19-CD19+CA19-CB19+BU19-BV19+BK19-BL19+BI19-BJ19, "-")</f>
        <v>5631.45</v>
      </c>
      <c r="CL19" s="19" t="str">
        <f aca="false">IF(CJ19&lt;0,"⚠ Over Budget","✓ Within Budget")</f>
        <v>✓ Within Budget</v>
      </c>
      <c r="CM19" s="21"/>
    </row>
    <row r="20" customFormat="false" ht="14.25" hidden="false" customHeight="false" outlineLevel="0" collapsed="false">
      <c r="A20" s="22" t="s">
        <v>99</v>
      </c>
      <c r="B20" s="22" t="n">
        <v>2023</v>
      </c>
      <c r="C20" s="22" t="n">
        <v>16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16</v>
      </c>
      <c r="T20" s="22" t="n">
        <v>5</v>
      </c>
      <c r="U20" s="22" t="n">
        <v>11</v>
      </c>
      <c r="V20" s="22" t="n">
        <v>16</v>
      </c>
      <c r="W20" s="22" t="n">
        <v>0</v>
      </c>
      <c r="X20" s="22" t="n">
        <v>1</v>
      </c>
      <c r="Y20" s="22" t="n">
        <v>5</v>
      </c>
      <c r="Z20" s="22" t="n">
        <v>6</v>
      </c>
      <c r="AA20" s="22" t="n">
        <v>3</v>
      </c>
      <c r="AB20" s="22" t="n">
        <v>1</v>
      </c>
      <c r="AC20" s="22" t="n">
        <v>1</v>
      </c>
      <c r="AD20" s="23" t="n">
        <v>0</v>
      </c>
      <c r="AE20" s="23" t="n">
        <v>0</v>
      </c>
      <c r="AF20" s="24" t="n">
        <v>56</v>
      </c>
      <c r="AG20" s="25" t="n">
        <v>500670</v>
      </c>
      <c r="AH20" s="25" t="n">
        <v>770355</v>
      </c>
      <c r="AI20" s="25" t="n">
        <v>1189884</v>
      </c>
      <c r="AJ20" s="25" t="n">
        <v>1854013</v>
      </c>
      <c r="AK20" s="25" t="n">
        <v>3058011</v>
      </c>
      <c r="AL20" s="25" t="n">
        <v>4916457</v>
      </c>
      <c r="AM20" s="25" t="n">
        <v>1845461.71</v>
      </c>
      <c r="AN20" s="25" t="n">
        <v>3126519.72</v>
      </c>
      <c r="AO20" s="25" t="n">
        <v>2921981.04</v>
      </c>
      <c r="AP20" s="25" t="n">
        <v>312651.97</v>
      </c>
      <c r="AQ20" s="25" t="n">
        <v>292198.1</v>
      </c>
      <c r="AR20" s="25" t="n">
        <v>11369.16</v>
      </c>
      <c r="AS20" s="25" t="n">
        <v>0</v>
      </c>
      <c r="AT20" s="25" t="n">
        <v>156325.99</v>
      </c>
      <c r="AU20" s="25" t="n">
        <v>146099.05</v>
      </c>
      <c r="AV20" s="25" t="n">
        <v>37696.2</v>
      </c>
      <c r="AW20" s="25" t="n">
        <v>24073.9</v>
      </c>
      <c r="AX20" s="25" t="n">
        <v>17172.71</v>
      </c>
      <c r="AY20" s="25" t="n">
        <v>16049.27</v>
      </c>
      <c r="AZ20" s="25" t="n">
        <v>9150.79</v>
      </c>
      <c r="BA20" s="25" t="n">
        <v>0</v>
      </c>
      <c r="BB20" s="25" t="n">
        <v>1601.06</v>
      </c>
      <c r="BC20" s="25" t="n">
        <v>0</v>
      </c>
      <c r="BD20" s="25" t="n">
        <v>352.62</v>
      </c>
      <c r="BE20" s="25" t="n">
        <v>0</v>
      </c>
      <c r="BF20" s="25" t="n">
        <f aca="false">SUM(BE20,BC20,BA20,AY20,AW20,AU20,AS20,AQ20,AO20)</f>
        <v>3400401.36</v>
      </c>
      <c r="BG20" s="25" t="n">
        <v>2849.4</v>
      </c>
      <c r="BH20" s="25" t="n">
        <v>3744.83</v>
      </c>
      <c r="BI20" s="25" t="n">
        <v>15741.65</v>
      </c>
      <c r="BJ20" s="25" t="n">
        <v>14711.83</v>
      </c>
      <c r="BK20" s="25" t="n">
        <v>11448.48</v>
      </c>
      <c r="BL20" s="25" t="n">
        <v>10699.51</v>
      </c>
      <c r="BM20" s="25" t="n">
        <v>20034.83</v>
      </c>
      <c r="BN20" s="25" t="n">
        <v>18724.14</v>
      </c>
      <c r="BO20" s="25" t="n">
        <v>4108.3</v>
      </c>
      <c r="BP20" s="25" t="n">
        <v>0</v>
      </c>
      <c r="BQ20" s="25" t="n">
        <v>137080.44</v>
      </c>
      <c r="BR20" s="25" t="n">
        <v>128112.56</v>
      </c>
      <c r="BS20" s="25" t="n">
        <v>8485.93</v>
      </c>
      <c r="BT20" s="25" t="n">
        <v>6405.63</v>
      </c>
      <c r="BU20" s="25" t="n">
        <v>78162.99</v>
      </c>
      <c r="BV20" s="25" t="n">
        <v>73049.53</v>
      </c>
      <c r="BW20" s="25" t="n">
        <v>9616.72</v>
      </c>
      <c r="BX20" s="25" t="n">
        <v>9362.07</v>
      </c>
      <c r="BY20" s="25" t="n">
        <v>136212.41</v>
      </c>
      <c r="BZ20" s="25" t="n">
        <v>57285.59</v>
      </c>
      <c r="CA20" s="25" t="n">
        <v>8013.93</v>
      </c>
      <c r="CB20" s="25" t="n">
        <v>7489.66</v>
      </c>
      <c r="CC20" s="25" t="n">
        <v>17906.43</v>
      </c>
      <c r="CD20" s="25" t="n">
        <v>30680.8</v>
      </c>
      <c r="CE20" s="25" t="n">
        <v>3751.82</v>
      </c>
      <c r="CF20" s="25" t="n">
        <v>3506.38</v>
      </c>
      <c r="CG20" s="25" t="n">
        <f aca="false">SUM(CF20,CD20,CB20,BZ20,BX20,BV20,BT20,BR20,BP20,BN20,BL20,BJ20,BH20)</f>
        <v>363772.53</v>
      </c>
      <c r="CH20" s="25" t="n">
        <f aca="false">CG20+BF20</f>
        <v>3764173.89</v>
      </c>
      <c r="CI20" s="25" t="n">
        <f aca="false">SUM(CE20,CC20,CA20,BY20,BW20,BU20,BS20,BQ20,BO20,BM20,BK20,BI20,BG20,BD20,BB20,AZ20,AX20,AV20,AT20,AR20,AP20,AN20)</f>
        <v>4126253.55</v>
      </c>
      <c r="CJ20" s="25" t="n">
        <f aca="false">CI20-CH20</f>
        <v>362079.660000001</v>
      </c>
      <c r="CK20" s="25" t="str">
        <f aca="false">IF(CE20-CF20+CC20-CD20+CA20-CB20+BU20-BV20+BK20-BL20+BI20-BJ20 &gt; 0, CE20-CF20+CC20-CD20+CA20-CB20+BU20-BV20+BK20-BL20+BI20-BJ20, "-")</f>
        <v>-</v>
      </c>
      <c r="CL20" s="25" t="str">
        <f aca="false">IF(CJ20&lt;0,"⚠ Over Budget","✓ Within Budget")</f>
        <v>✓ Within Budget</v>
      </c>
      <c r="CM20" s="27"/>
    </row>
    <row r="21" customFormat="false" ht="14.25" hidden="false" customHeight="false" outlineLevel="0" collapsed="false">
      <c r="A21" s="16" t="s">
        <v>100</v>
      </c>
      <c r="B21" s="16" t="n">
        <v>2023</v>
      </c>
      <c r="C21" s="16" t="n">
        <v>16</v>
      </c>
      <c r="D21" s="16" t="n">
        <v>1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1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1</v>
      </c>
      <c r="S21" s="16" t="n">
        <v>16</v>
      </c>
      <c r="T21" s="16" t="n">
        <v>6</v>
      </c>
      <c r="U21" s="16" t="n">
        <v>10</v>
      </c>
      <c r="V21" s="16" t="n">
        <v>16</v>
      </c>
      <c r="W21" s="16" t="n">
        <v>0</v>
      </c>
      <c r="X21" s="16" t="n">
        <v>1</v>
      </c>
      <c r="Y21" s="16" t="n">
        <v>5</v>
      </c>
      <c r="Z21" s="16" t="n">
        <v>6</v>
      </c>
      <c r="AA21" s="16" t="n">
        <v>3</v>
      </c>
      <c r="AB21" s="16" t="n">
        <v>1</v>
      </c>
      <c r="AC21" s="16" t="n">
        <v>1</v>
      </c>
      <c r="AD21" s="17" t="n">
        <v>0</v>
      </c>
      <c r="AE21" s="17" t="n">
        <v>0</v>
      </c>
      <c r="AF21" s="18" t="n">
        <v>57.2</v>
      </c>
      <c r="AG21" s="19" t="n">
        <v>500670</v>
      </c>
      <c r="AH21" s="19" t="n">
        <v>770355</v>
      </c>
      <c r="AI21" s="19" t="n">
        <v>1189884</v>
      </c>
      <c r="AJ21" s="19" t="n">
        <v>1854013</v>
      </c>
      <c r="AK21" s="19" t="n">
        <v>3058011</v>
      </c>
      <c r="AL21" s="19" t="n">
        <v>4916457</v>
      </c>
      <c r="AM21" s="19" t="n">
        <v>1845461.71</v>
      </c>
      <c r="AN21" s="19" t="n">
        <v>3784734.39</v>
      </c>
      <c r="AO21" s="19" t="n">
        <v>3537134.95</v>
      </c>
      <c r="AP21" s="19" t="n">
        <v>378473.44</v>
      </c>
      <c r="AQ21" s="19" t="n">
        <v>353713.49</v>
      </c>
      <c r="AR21" s="19" t="n">
        <v>13762.67</v>
      </c>
      <c r="AS21" s="19" t="n">
        <v>0</v>
      </c>
      <c r="AT21" s="19" t="n">
        <v>189236.72</v>
      </c>
      <c r="AU21" s="19" t="n">
        <v>176856.75</v>
      </c>
      <c r="AV21" s="19" t="n">
        <v>36505.8</v>
      </c>
      <c r="AW21" s="19" t="n">
        <v>29142.09</v>
      </c>
      <c r="AX21" s="19" t="n">
        <v>20788.02</v>
      </c>
      <c r="AY21" s="19" t="n">
        <v>19428.06</v>
      </c>
      <c r="AZ21" s="19" t="n">
        <v>9231.06</v>
      </c>
      <c r="BA21" s="19" t="n">
        <v>0</v>
      </c>
      <c r="BB21" s="19" t="n">
        <v>106737.52</v>
      </c>
      <c r="BC21" s="19" t="n">
        <v>61515.39</v>
      </c>
      <c r="BD21" s="19" t="n">
        <v>528.92</v>
      </c>
      <c r="BE21" s="19" t="n">
        <v>0</v>
      </c>
      <c r="BF21" s="19" t="n">
        <f aca="false">SUM(BE21,BC21,BA21,AY21,AW21,AU21,AS21,AQ21,AO21)</f>
        <v>4177790.73</v>
      </c>
      <c r="BG21" s="19" t="n">
        <v>2586.95</v>
      </c>
      <c r="BH21" s="19" t="n">
        <v>4533.21</v>
      </c>
      <c r="BI21" s="19" t="n">
        <v>19055.69</v>
      </c>
      <c r="BJ21" s="19" t="n">
        <v>17809.05</v>
      </c>
      <c r="BK21" s="19" t="n">
        <v>13858.68</v>
      </c>
      <c r="BL21" s="19" t="n">
        <v>12952.04</v>
      </c>
      <c r="BM21" s="19" t="n">
        <v>24252.69</v>
      </c>
      <c r="BN21" s="19" t="n">
        <v>22666.07</v>
      </c>
      <c r="BO21" s="19" t="n">
        <v>575162.69</v>
      </c>
      <c r="BP21" s="19" t="n">
        <v>197096.25</v>
      </c>
      <c r="BQ21" s="19" t="n">
        <v>158169.74</v>
      </c>
      <c r="BR21" s="19" t="n">
        <v>147822.19</v>
      </c>
      <c r="BS21" s="19" t="n">
        <v>9791.46</v>
      </c>
      <c r="BT21" s="19" t="n">
        <v>7391.11</v>
      </c>
      <c r="BU21" s="19" t="n">
        <v>94618.36</v>
      </c>
      <c r="BV21" s="19" t="n">
        <v>88428.37</v>
      </c>
      <c r="BW21" s="19" t="n">
        <v>5820.65</v>
      </c>
      <c r="BX21" s="19" t="n">
        <v>11333.03</v>
      </c>
      <c r="BY21" s="19" t="n">
        <v>6159.41</v>
      </c>
      <c r="BZ21" s="19" t="n">
        <v>12952.04</v>
      </c>
      <c r="CA21" s="19" t="n">
        <v>9701.08</v>
      </c>
      <c r="CB21" s="19" t="n">
        <v>9066.43</v>
      </c>
      <c r="CC21" s="19" t="n">
        <v>21676.21</v>
      </c>
      <c r="CD21" s="19" t="n">
        <v>37139.92</v>
      </c>
      <c r="CE21" s="19" t="n">
        <v>4541.68</v>
      </c>
      <c r="CF21" s="19" t="n">
        <v>4244.56</v>
      </c>
      <c r="CG21" s="19" t="n">
        <f aca="false">SUM(CF21,CD21,CB21,BZ21,BX21,BV21,BT21,BR21,BP21,BN21,BL21,BJ21,BH21)</f>
        <v>573434.27</v>
      </c>
      <c r="CH21" s="19" t="n">
        <f aca="false">CG21+BF21</f>
        <v>4751225</v>
      </c>
      <c r="CI21" s="19" t="n">
        <f aca="false">SUM(CE21,CC21,CA21,BY21,BW21,BU21,BS21,BQ21,BO21,BM21,BK21,BI21,BG21,BD21,BB21,AZ21,AX21,AV21,AT21,AR21,AP21,AN21)</f>
        <v>5485393.83</v>
      </c>
      <c r="CJ21" s="19" t="n">
        <f aca="false">CI21-CH21</f>
        <v>734168.83</v>
      </c>
      <c r="CK21" s="19" t="str">
        <f aca="false">IF(CE21-CF21+CC21-CD21+CA21-CB21+BU21-BV21+BK21-BL21+BI21-BJ21 &gt; 0, CE21-CF21+CC21-CD21+CA21-CB21+BU21-BV21+BK21-BL21+BI21-BJ21, "-")</f>
        <v>-</v>
      </c>
      <c r="CL21" s="19" t="str">
        <f aca="false">IF(CJ21&lt;0,"⚠ Over Budget","✓ Within Budget")</f>
        <v>✓ Within Budget</v>
      </c>
      <c r="CM21" s="21"/>
    </row>
    <row r="22" customFormat="false" ht="14.25" hidden="false" customHeight="false" outlineLevel="0" collapsed="false">
      <c r="A22" s="22" t="s">
        <v>101</v>
      </c>
      <c r="B22" s="22" t="n">
        <v>2023</v>
      </c>
      <c r="C22" s="22" t="n">
        <v>16</v>
      </c>
      <c r="D22" s="22" t="n">
        <v>1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1</v>
      </c>
      <c r="J22" s="22" t="n">
        <v>1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17</v>
      </c>
      <c r="T22" s="22" t="n">
        <v>5</v>
      </c>
      <c r="U22" s="22" t="n">
        <v>12</v>
      </c>
      <c r="V22" s="22" t="n">
        <v>17</v>
      </c>
      <c r="W22" s="22" t="n">
        <v>0</v>
      </c>
      <c r="X22" s="22" t="n">
        <v>1</v>
      </c>
      <c r="Y22" s="22" t="n">
        <v>5</v>
      </c>
      <c r="Z22" s="22" t="n">
        <v>6</v>
      </c>
      <c r="AA22" s="22" t="n">
        <v>3</v>
      </c>
      <c r="AB22" s="22" t="n">
        <v>1</v>
      </c>
      <c r="AC22" s="22" t="n">
        <v>1</v>
      </c>
      <c r="AD22" s="23" t="n">
        <v>0</v>
      </c>
      <c r="AE22" s="23" t="n">
        <v>0</v>
      </c>
      <c r="AF22" s="24" t="n">
        <v>56.8</v>
      </c>
      <c r="AG22" s="25" t="n">
        <v>500670</v>
      </c>
      <c r="AH22" s="25" t="n">
        <v>770355</v>
      </c>
      <c r="AI22" s="25" t="n">
        <v>1189884</v>
      </c>
      <c r="AJ22" s="25" t="n">
        <v>1854013</v>
      </c>
      <c r="AK22" s="25" t="n">
        <v>3058011</v>
      </c>
      <c r="AL22" s="25" t="n">
        <v>4916457</v>
      </c>
      <c r="AM22" s="25" t="n">
        <v>1845461.71</v>
      </c>
      <c r="AN22" s="25" t="n">
        <v>4113841.73</v>
      </c>
      <c r="AO22" s="25" t="n">
        <v>3844711.9</v>
      </c>
      <c r="AP22" s="25" t="n">
        <v>411384.17</v>
      </c>
      <c r="AQ22" s="25" t="n">
        <v>384471.19</v>
      </c>
      <c r="AR22" s="25" t="n">
        <v>14959.42</v>
      </c>
      <c r="AS22" s="25" t="n">
        <v>0</v>
      </c>
      <c r="AT22" s="25" t="n">
        <v>205692.09</v>
      </c>
      <c r="AU22" s="25" t="n">
        <v>192235.59</v>
      </c>
      <c r="AV22" s="25" t="n">
        <v>33066.84</v>
      </c>
      <c r="AW22" s="25" t="n">
        <v>31676.18</v>
      </c>
      <c r="AX22" s="25" t="n">
        <v>22595.68</v>
      </c>
      <c r="AY22" s="25" t="n">
        <v>21117.46</v>
      </c>
      <c r="AZ22" s="25" t="n">
        <v>10033.76</v>
      </c>
      <c r="BA22" s="25" t="n">
        <v>0</v>
      </c>
      <c r="BB22" s="25" t="n">
        <v>53368.76</v>
      </c>
      <c r="BC22" s="25" t="n">
        <v>30757.7</v>
      </c>
      <c r="BD22" s="25" t="n">
        <v>528.92</v>
      </c>
      <c r="BE22" s="25" t="n">
        <v>0</v>
      </c>
      <c r="BF22" s="25" t="n">
        <f aca="false">SUM(BE22,BC22,BA22,AY22,AW22,AU22,AS22,AQ22,AO22)</f>
        <v>4504970.02</v>
      </c>
      <c r="BG22" s="25" t="n">
        <v>15063.78</v>
      </c>
      <c r="BH22" s="25" t="n">
        <v>10558.73</v>
      </c>
      <c r="BI22" s="25" t="n">
        <v>20712.7</v>
      </c>
      <c r="BJ22" s="25" t="n">
        <v>19357.67</v>
      </c>
      <c r="BK22" s="25" t="n">
        <v>15063.78</v>
      </c>
      <c r="BL22" s="25" t="n">
        <v>14078.3</v>
      </c>
      <c r="BM22" s="25" t="n">
        <v>26361.62</v>
      </c>
      <c r="BN22" s="25" t="n">
        <v>24637.03</v>
      </c>
      <c r="BO22" s="25" t="n">
        <v>115032.54</v>
      </c>
      <c r="BP22" s="25" t="n">
        <v>98548.12</v>
      </c>
      <c r="BQ22" s="25" t="n">
        <v>179259.04</v>
      </c>
      <c r="BR22" s="25" t="n">
        <v>167531.81</v>
      </c>
      <c r="BS22" s="25" t="n">
        <v>11096.99</v>
      </c>
      <c r="BT22" s="25" t="n">
        <v>8376.59</v>
      </c>
      <c r="BU22" s="25" t="n">
        <v>102846.04</v>
      </c>
      <c r="BV22" s="25" t="n">
        <v>96117.8</v>
      </c>
      <c r="BW22" s="25" t="n">
        <v>12653.58</v>
      </c>
      <c r="BX22" s="25" t="n">
        <v>12318.52</v>
      </c>
      <c r="BY22" s="25" t="n">
        <v>15291.83</v>
      </c>
      <c r="BZ22" s="25" t="n">
        <v>26796.43</v>
      </c>
      <c r="CA22" s="25" t="n">
        <v>10544.65</v>
      </c>
      <c r="CB22" s="25" t="n">
        <v>9854.81</v>
      </c>
      <c r="CC22" s="25" t="n">
        <v>23561.09</v>
      </c>
      <c r="CD22" s="25" t="n">
        <v>40369.47</v>
      </c>
      <c r="CE22" s="25" t="n">
        <v>4936.61</v>
      </c>
      <c r="CF22" s="25" t="n">
        <v>4613.65</v>
      </c>
      <c r="CG22" s="25" t="n">
        <f aca="false">SUM(CF22,CD22,CB22,BZ22,BX22,BV22,BT22,BR22,BP22,BN22,BL22,BJ22,BH22)</f>
        <v>533158.93</v>
      </c>
      <c r="CH22" s="25" t="n">
        <f aca="false">CG22+BF22</f>
        <v>5038128.95</v>
      </c>
      <c r="CI22" s="25" t="n">
        <f aca="false">SUM(CE22,CC22,CA22,BY22,BW22,BU22,BS22,BQ22,BO22,BM22,BK22,BI22,BG22,BD22,BB22,AZ22,AX22,AV22,AT22,AR22,AP22,AN22)</f>
        <v>5417895.62</v>
      </c>
      <c r="CJ22" s="25" t="n">
        <f aca="false">CI22-CH22</f>
        <v>379766.670000001</v>
      </c>
      <c r="CK22" s="25" t="str">
        <f aca="false">IF(CE22-CF22+CC22-CD22+CA22-CB22+BU22-BV22+BK22-BL22+BI22-BJ22 &gt; 0, CE22-CF22+CC22-CD22+CA22-CB22+BU22-BV22+BK22-BL22+BI22-BJ22, "-")</f>
        <v>-</v>
      </c>
      <c r="CL22" s="25" t="str">
        <f aca="false">IF(CJ22&lt;0,"⚠ Over Budget","✓ Within Budget")</f>
        <v>✓ Within Budget</v>
      </c>
      <c r="CM22" s="27"/>
    </row>
    <row r="23" customFormat="false" ht="14.25" hidden="false" customHeight="false" outlineLevel="0" collapsed="false">
      <c r="A23" s="16" t="s">
        <v>102</v>
      </c>
      <c r="B23" s="16" t="n">
        <v>2023</v>
      </c>
      <c r="C23" s="16" t="n">
        <v>17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17</v>
      </c>
      <c r="T23" s="16" t="n">
        <v>5</v>
      </c>
      <c r="U23" s="16" t="n">
        <v>12</v>
      </c>
      <c r="V23" s="16" t="n">
        <v>17</v>
      </c>
      <c r="W23" s="16" t="n">
        <v>0</v>
      </c>
      <c r="X23" s="16" t="n">
        <v>1</v>
      </c>
      <c r="Y23" s="16" t="n">
        <v>5</v>
      </c>
      <c r="Z23" s="16" t="n">
        <v>6</v>
      </c>
      <c r="AA23" s="16" t="n">
        <v>3</v>
      </c>
      <c r="AB23" s="16" t="n">
        <v>1</v>
      </c>
      <c r="AC23" s="16" t="n">
        <v>1</v>
      </c>
      <c r="AD23" s="17" t="n">
        <v>0</v>
      </c>
      <c r="AE23" s="17" t="n">
        <v>0</v>
      </c>
      <c r="AF23" s="18" t="n">
        <v>56.1</v>
      </c>
      <c r="AG23" s="19" t="n">
        <v>500670</v>
      </c>
      <c r="AH23" s="19" t="n">
        <v>770355</v>
      </c>
      <c r="AI23" s="19" t="n">
        <v>1189884</v>
      </c>
      <c r="AJ23" s="19" t="n">
        <v>1854013</v>
      </c>
      <c r="AK23" s="19" t="n">
        <v>3058011</v>
      </c>
      <c r="AL23" s="19" t="n">
        <v>4916457</v>
      </c>
      <c r="AM23" s="19" t="n">
        <v>1845461.71</v>
      </c>
      <c r="AN23" s="19" t="n">
        <v>3784734.39</v>
      </c>
      <c r="AO23" s="19" t="n">
        <v>3537134.95</v>
      </c>
      <c r="AP23" s="19" t="n">
        <v>378473.44</v>
      </c>
      <c r="AQ23" s="19" t="n">
        <v>353713.49</v>
      </c>
      <c r="AR23" s="19" t="n">
        <v>13762.67</v>
      </c>
      <c r="AS23" s="19" t="n">
        <v>0</v>
      </c>
      <c r="AT23" s="19" t="n">
        <v>189236.72</v>
      </c>
      <c r="AU23" s="19" t="n">
        <v>176856.75</v>
      </c>
      <c r="AV23" s="19" t="n">
        <v>33463.65</v>
      </c>
      <c r="AW23" s="19" t="n">
        <v>29142.09</v>
      </c>
      <c r="AX23" s="19" t="n">
        <v>20788.02</v>
      </c>
      <c r="AY23" s="19" t="n">
        <v>19428.06</v>
      </c>
      <c r="AZ23" s="19" t="n">
        <v>18462.12</v>
      </c>
      <c r="BA23" s="19" t="n">
        <v>0</v>
      </c>
      <c r="BB23" s="19" t="n">
        <v>1601.06</v>
      </c>
      <c r="BC23" s="19" t="n">
        <v>0</v>
      </c>
      <c r="BD23" s="19" t="n">
        <v>176.31</v>
      </c>
      <c r="BE23" s="19" t="n">
        <v>0</v>
      </c>
      <c r="BF23" s="19" t="n">
        <f aca="false">SUM(BE23,BC23,BA23,AY23,AW23,AU23,AS23,AQ23,AO23)</f>
        <v>4116275.34</v>
      </c>
      <c r="BG23" s="19" t="n">
        <v>19956.5</v>
      </c>
      <c r="BH23" s="19" t="n">
        <v>11656.84</v>
      </c>
      <c r="BI23" s="19" t="n">
        <v>19055.69</v>
      </c>
      <c r="BJ23" s="19" t="n">
        <v>17809.05</v>
      </c>
      <c r="BK23" s="19" t="n">
        <v>13858.68</v>
      </c>
      <c r="BL23" s="19" t="n">
        <v>12952.04</v>
      </c>
      <c r="BM23" s="19" t="n">
        <v>24252.69</v>
      </c>
      <c r="BN23" s="19" t="n">
        <v>22666.07</v>
      </c>
      <c r="BO23" s="19" t="n">
        <v>4108.3</v>
      </c>
      <c r="BP23" s="19" t="n">
        <v>0</v>
      </c>
      <c r="BQ23" s="19" t="n">
        <v>168714.39</v>
      </c>
      <c r="BR23" s="19" t="n">
        <v>157677</v>
      </c>
      <c r="BS23" s="19" t="n">
        <v>8837.42</v>
      </c>
      <c r="BT23" s="19" t="n">
        <v>7883.85</v>
      </c>
      <c r="BU23" s="19" t="n">
        <v>94618.36</v>
      </c>
      <c r="BV23" s="19" t="n">
        <v>88428.37</v>
      </c>
      <c r="BW23" s="19" t="n">
        <v>23282.59</v>
      </c>
      <c r="BX23" s="19" t="n">
        <v>11333.03</v>
      </c>
      <c r="BY23" s="19" t="n">
        <v>6159.41</v>
      </c>
      <c r="BZ23" s="19" t="n">
        <v>12952.04</v>
      </c>
      <c r="CA23" s="19" t="n">
        <v>9701.08</v>
      </c>
      <c r="CB23" s="19" t="n">
        <v>9066.43</v>
      </c>
      <c r="CC23" s="19" t="n">
        <v>26011.45</v>
      </c>
      <c r="CD23" s="19" t="n">
        <v>37139.92</v>
      </c>
      <c r="CE23" s="19" t="n">
        <v>4541.68</v>
      </c>
      <c r="CF23" s="19" t="n">
        <v>4244.56</v>
      </c>
      <c r="CG23" s="19" t="n">
        <f aca="false">SUM(CF23,CD23,CB23,BZ23,BX23,BV23,BT23,BR23,BP23,BN23,BL23,BJ23,BH23)</f>
        <v>393809.2</v>
      </c>
      <c r="CH23" s="19" t="n">
        <f aca="false">CG23+BF23</f>
        <v>4510084.54</v>
      </c>
      <c r="CI23" s="19" t="n">
        <f aca="false">SUM(CE23,CC23,CA23,BY23,BW23,BU23,BS23,BQ23,BO23,BM23,BK23,BI23,BG23,BD23,BB23,AZ23,AX23,AV23,AT23,AR23,AP23,AN23)</f>
        <v>4863796.62</v>
      </c>
      <c r="CJ23" s="19" t="n">
        <f aca="false">CI23-CH23</f>
        <v>353712.08</v>
      </c>
      <c r="CK23" s="19" t="str">
        <f aca="false">IF(CE23-CF23+CC23-CD23+CA23-CB23+BU23-BV23+BK23-BL23+BI23-BJ23 &gt; 0, CE23-CF23+CC23-CD23+CA23-CB23+BU23-BV23+BK23-BL23+BI23-BJ23, "-")</f>
        <v>-</v>
      </c>
      <c r="CL23" s="19" t="str">
        <f aca="false">IF(CJ23&lt;0,"⚠ Over Budget","✓ Within Budget")</f>
        <v>✓ Within Budget</v>
      </c>
      <c r="CM23" s="21"/>
    </row>
    <row r="24" customFormat="false" ht="14.25" hidden="false" customHeight="false" outlineLevel="0" collapsed="false">
      <c r="A24" s="22" t="s">
        <v>103</v>
      </c>
      <c r="B24" s="22" t="n">
        <v>2023</v>
      </c>
      <c r="C24" s="22" t="n">
        <v>17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17</v>
      </c>
      <c r="T24" s="22" t="n">
        <v>5</v>
      </c>
      <c r="U24" s="22" t="n">
        <v>12</v>
      </c>
      <c r="V24" s="22" t="n">
        <v>17</v>
      </c>
      <c r="W24" s="22" t="n">
        <v>0</v>
      </c>
      <c r="X24" s="22" t="n">
        <v>1</v>
      </c>
      <c r="Y24" s="22" t="n">
        <v>5</v>
      </c>
      <c r="Z24" s="22" t="n">
        <v>6</v>
      </c>
      <c r="AA24" s="22" t="n">
        <v>3</v>
      </c>
      <c r="AB24" s="22" t="n">
        <v>1</v>
      </c>
      <c r="AC24" s="22" t="n">
        <v>1</v>
      </c>
      <c r="AD24" s="23" t="n">
        <v>0</v>
      </c>
      <c r="AE24" s="23" t="n">
        <v>0.0145789433172122</v>
      </c>
      <c r="AF24" s="24" t="n">
        <v>55.7</v>
      </c>
      <c r="AG24" s="25" t="n">
        <v>509424</v>
      </c>
      <c r="AH24" s="25" t="n">
        <v>782290</v>
      </c>
      <c r="AI24" s="25" t="n">
        <v>1207621</v>
      </c>
      <c r="AJ24" s="25" t="n">
        <v>1876905</v>
      </c>
      <c r="AK24" s="25" t="n">
        <v>3093726</v>
      </c>
      <c r="AL24" s="25" t="n">
        <v>4974612</v>
      </c>
      <c r="AM24" s="25" t="n">
        <v>1870851.48</v>
      </c>
      <c r="AN24" s="25" t="n">
        <v>3836804.58</v>
      </c>
      <c r="AO24" s="25" t="n">
        <v>3585798.67</v>
      </c>
      <c r="AP24" s="25" t="n">
        <v>383680.46</v>
      </c>
      <c r="AQ24" s="25" t="n">
        <v>358579.87</v>
      </c>
      <c r="AR24" s="25" t="n">
        <v>446464.53</v>
      </c>
      <c r="AS24" s="25" t="n">
        <v>143431.95</v>
      </c>
      <c r="AT24" s="25" t="n">
        <v>191840.23</v>
      </c>
      <c r="AU24" s="25" t="n">
        <v>179289.93</v>
      </c>
      <c r="AV24" s="25" t="n">
        <v>27379.35</v>
      </c>
      <c r="AW24" s="25" t="n">
        <v>29142.09</v>
      </c>
      <c r="AX24" s="25" t="n">
        <v>20788.02</v>
      </c>
      <c r="AY24" s="25" t="n">
        <v>19428.06</v>
      </c>
      <c r="AZ24" s="25" t="n">
        <v>37432.24</v>
      </c>
      <c r="BA24" s="25" t="n">
        <v>0</v>
      </c>
      <c r="BB24" s="25" t="n">
        <v>1623.09</v>
      </c>
      <c r="BC24" s="25" t="n">
        <v>0</v>
      </c>
      <c r="BD24" s="25" t="n">
        <v>178.73</v>
      </c>
      <c r="BE24" s="25" t="n">
        <v>0</v>
      </c>
      <c r="BF24" s="25" t="n">
        <f aca="false">SUM(BE24,BC24,BA24,AY24,AW24,AU24,AS24,AQ24,AO24)</f>
        <v>4315670.57</v>
      </c>
      <c r="BG24" s="25" t="n">
        <v>12072.45</v>
      </c>
      <c r="BH24" s="25" t="n">
        <v>9066.43</v>
      </c>
      <c r="BI24" s="25" t="n">
        <v>19055.69</v>
      </c>
      <c r="BJ24" s="25" t="n">
        <v>17809.05</v>
      </c>
      <c r="BK24" s="25" t="n">
        <v>13858.68</v>
      </c>
      <c r="BL24" s="25" t="n">
        <v>12952.04</v>
      </c>
      <c r="BM24" s="25" t="n">
        <v>24252.69</v>
      </c>
      <c r="BN24" s="25" t="n">
        <v>22666.07</v>
      </c>
      <c r="BO24" s="25" t="n">
        <v>4108.3</v>
      </c>
      <c r="BP24" s="25" t="n">
        <v>0</v>
      </c>
      <c r="BQ24" s="25" t="n">
        <v>168714.39</v>
      </c>
      <c r="BR24" s="25" t="n">
        <v>157677</v>
      </c>
      <c r="BS24" s="25" t="n">
        <v>8034.02</v>
      </c>
      <c r="BT24" s="25" t="n">
        <v>7883.85</v>
      </c>
      <c r="BU24" s="25" t="n">
        <v>95920.11</v>
      </c>
      <c r="BV24" s="25" t="n">
        <v>89644.97</v>
      </c>
      <c r="BW24" s="25" t="n">
        <v>17461.94</v>
      </c>
      <c r="BX24" s="25" t="n">
        <v>11333.03</v>
      </c>
      <c r="BY24" s="25" t="n">
        <v>257604.46</v>
      </c>
      <c r="BZ24" s="25" t="n">
        <v>84639.31</v>
      </c>
      <c r="CA24" s="25" t="n">
        <v>9701.08</v>
      </c>
      <c r="CB24" s="25" t="n">
        <v>9066.43</v>
      </c>
      <c r="CC24" s="25" t="n">
        <v>35159.08</v>
      </c>
      <c r="CD24" s="25" t="n">
        <v>37650.89</v>
      </c>
      <c r="CE24" s="25" t="n">
        <v>4604.17</v>
      </c>
      <c r="CF24" s="25" t="n">
        <v>4302.96</v>
      </c>
      <c r="CG24" s="25" t="n">
        <f aca="false">SUM(CF24,CD24,CB24,BZ24,BX24,BV24,BT24,BR24,BP24,BN24,BL24,BJ24,BH24)</f>
        <v>464692.03</v>
      </c>
      <c r="CH24" s="25" t="n">
        <f aca="false">CG24+BF24</f>
        <v>4780362.6</v>
      </c>
      <c r="CI24" s="25" t="n">
        <f aca="false">SUM(CE24,CC24,CA24,BY24,BW24,BU24,BS24,BQ24,BO24,BM24,BK24,BI24,BG24,BD24,BB24,AZ24,AX24,AV24,AT24,AR24,AP24,AN24)</f>
        <v>5616738.29</v>
      </c>
      <c r="CJ24" s="25" t="n">
        <f aca="false">CI24-CH24</f>
        <v>836375.69</v>
      </c>
      <c r="CK24" s="25" t="n">
        <f aca="false">IF(CE24-CF24+CC24-CD24+CA24-CB24+BU24-BV24+BK24-BL24+BI24-BJ24 &gt; 0, CE24-CF24+CC24-CD24+CA24-CB24+BU24-BV24+BK24-BL24+BI24-BJ24, "-")</f>
        <v>6872.47</v>
      </c>
      <c r="CL24" s="25" t="str">
        <f aca="false">IF(CJ24&lt;0,"⚠ Over Budget","✓ Within Budget")</f>
        <v>✓ Within Budget</v>
      </c>
      <c r="CM24" s="27"/>
    </row>
    <row r="25" customFormat="false" ht="18.75" hidden="false" customHeight="true" outlineLevel="0" collapsed="false">
      <c r="A25" s="28" t="s">
        <v>104</v>
      </c>
      <c r="B25" s="28" t="n">
        <v>2023</v>
      </c>
      <c r="C25" s="28" t="n">
        <v>17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v>0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</v>
      </c>
      <c r="Q25" s="28" t="n">
        <v>0</v>
      </c>
      <c r="R25" s="28" t="n">
        <v>0</v>
      </c>
      <c r="S25" s="28" t="n">
        <v>17</v>
      </c>
      <c r="T25" s="28" t="n">
        <v>5</v>
      </c>
      <c r="U25" s="28" t="n">
        <v>12</v>
      </c>
      <c r="V25" s="28" t="n">
        <v>17</v>
      </c>
      <c r="W25" s="28" t="n">
        <v>0</v>
      </c>
      <c r="X25" s="28" t="n">
        <v>1</v>
      </c>
      <c r="Y25" s="28" t="n">
        <v>5</v>
      </c>
      <c r="Z25" s="28" t="n">
        <v>6</v>
      </c>
      <c r="AA25" s="28" t="n">
        <v>3</v>
      </c>
      <c r="AB25" s="28" t="n">
        <v>1</v>
      </c>
      <c r="AC25" s="28" t="n">
        <v>1</v>
      </c>
      <c r="AD25" s="29" t="n">
        <v>0</v>
      </c>
      <c r="AE25" s="29" t="n">
        <v>0</v>
      </c>
      <c r="AF25" s="30" t="n">
        <v>56.5</v>
      </c>
      <c r="AG25" s="31" t="n">
        <v>509424</v>
      </c>
      <c r="AH25" s="31" t="n">
        <v>782290</v>
      </c>
      <c r="AI25" s="31" t="n">
        <v>1207621</v>
      </c>
      <c r="AJ25" s="31" t="n">
        <v>1876905</v>
      </c>
      <c r="AK25" s="31" t="n">
        <v>3093726</v>
      </c>
      <c r="AL25" s="31" t="n">
        <v>4974612</v>
      </c>
      <c r="AM25" s="31" t="n">
        <v>1870851.48</v>
      </c>
      <c r="AN25" s="31" t="n">
        <v>3836804.58</v>
      </c>
      <c r="AO25" s="31" t="n">
        <v>3585798.67</v>
      </c>
      <c r="AP25" s="31" t="n">
        <v>383680.46</v>
      </c>
      <c r="AQ25" s="31" t="n">
        <v>358579.87</v>
      </c>
      <c r="AR25" s="31" t="n">
        <v>45344.05</v>
      </c>
      <c r="AS25" s="31" t="n">
        <v>0</v>
      </c>
      <c r="AT25" s="31" t="n">
        <v>191840.23</v>
      </c>
      <c r="AU25" s="31" t="n">
        <v>179289.93</v>
      </c>
      <c r="AV25" s="31" t="n">
        <v>32449.6</v>
      </c>
      <c r="AW25" s="31" t="n">
        <v>38856.12</v>
      </c>
      <c r="AX25" s="31" t="n">
        <v>20788.02</v>
      </c>
      <c r="AY25" s="31" t="n">
        <v>19428.06</v>
      </c>
      <c r="AZ25" s="31" t="n">
        <v>18716.12</v>
      </c>
      <c r="BA25" s="31" t="n">
        <v>0</v>
      </c>
      <c r="BB25" s="31" t="n">
        <v>541.03</v>
      </c>
      <c r="BC25" s="31" t="n">
        <v>0</v>
      </c>
      <c r="BD25" s="31" t="n">
        <v>178.73</v>
      </c>
      <c r="BE25" s="31" t="n">
        <v>0</v>
      </c>
      <c r="BF25" s="31" t="n">
        <f aca="false">SUM(BE25,BC25,BA25,AY25,AW25,AU25,AS25,AQ25,AO25)</f>
        <v>4181952.65</v>
      </c>
      <c r="BG25" s="31" t="n">
        <v>15768.1</v>
      </c>
      <c r="BH25" s="31" t="n">
        <v>10361.63</v>
      </c>
      <c r="BI25" s="31" t="n">
        <v>19055.69</v>
      </c>
      <c r="BJ25" s="31" t="n">
        <v>17809.05</v>
      </c>
      <c r="BK25" s="31" t="n">
        <v>13858.68</v>
      </c>
      <c r="BL25" s="31" t="n">
        <v>12952.04</v>
      </c>
      <c r="BM25" s="31" t="n">
        <v>24252.69</v>
      </c>
      <c r="BN25" s="31" t="n">
        <v>22666.07</v>
      </c>
      <c r="BO25" s="31" t="n">
        <v>4108.3</v>
      </c>
      <c r="BP25" s="31" t="n">
        <v>0</v>
      </c>
      <c r="BQ25" s="31" t="n">
        <v>168714.39</v>
      </c>
      <c r="BR25" s="31" t="n">
        <v>157677</v>
      </c>
      <c r="BS25" s="31" t="n">
        <v>7230.62</v>
      </c>
      <c r="BT25" s="31" t="n">
        <v>7883.85</v>
      </c>
      <c r="BU25" s="31" t="n">
        <v>95920.11</v>
      </c>
      <c r="BV25" s="31" t="n">
        <v>89644.97</v>
      </c>
      <c r="BW25" s="31" t="n">
        <v>11641.29</v>
      </c>
      <c r="BX25" s="31" t="n">
        <v>11333.03</v>
      </c>
      <c r="BY25" s="31" t="n">
        <v>49262.17</v>
      </c>
      <c r="BZ25" s="31" t="n">
        <v>1048983.1</v>
      </c>
      <c r="CA25" s="31" t="n">
        <v>9701.08</v>
      </c>
      <c r="CB25" s="31" t="n">
        <v>9066.43</v>
      </c>
      <c r="CC25" s="31" t="n">
        <v>35159.08</v>
      </c>
      <c r="CD25" s="31" t="n">
        <v>37650.89</v>
      </c>
      <c r="CE25" s="31" t="n">
        <v>4604.17</v>
      </c>
      <c r="CF25" s="31" t="n">
        <v>4302.96</v>
      </c>
      <c r="CG25" s="31" t="n">
        <f aca="false">SUM(CF25,CD25,CB25,BZ25,BX25,BV25,BT25,BR25,BP25,BN25,BL25,BJ25,BH25)</f>
        <v>1430331.02</v>
      </c>
      <c r="CH25" s="31" t="n">
        <f aca="false">CG25+BF25</f>
        <v>5612283.67</v>
      </c>
      <c r="CI25" s="31" t="n">
        <f aca="false">SUM(CE25,CC25,CA25,BY25,BW25,BU25,BS25,BQ25,BO25,BM25,BK25,BI25,BG25,BD25,BB25,AZ25,AX25,AV25,AT25,AR25,AP25,AN25)</f>
        <v>4989619.19</v>
      </c>
      <c r="CJ25" s="31" t="n">
        <f aca="false">CI25-CH25</f>
        <v>-622664.48</v>
      </c>
      <c r="CK25" s="31" t="n">
        <f aca="false">IF(CE25-CF25+CC25-CD25+CA25-CB25+BU25-BV25+BK25-BL25+BI25-BJ25 &gt; 0, CE25-CF25+CC25-CD25+CA25-CB25+BU25-BV25+BK25-BL25+BI25-BJ25, "-")</f>
        <v>6872.47</v>
      </c>
      <c r="CL25" s="31" t="str">
        <f aca="false">IF(CJ25&lt;0,"⚠ Over Budget","✓ Within Budget")</f>
        <v>⚠ Over Budget</v>
      </c>
      <c r="CM25" s="33" t="s">
        <v>109</v>
      </c>
    </row>
    <row r="26" customFormat="false" ht="18.75" hidden="false" customHeight="true" outlineLevel="0" collapsed="false">
      <c r="A26" s="28" t="s">
        <v>105</v>
      </c>
      <c r="B26" s="28" t="n">
        <v>2023</v>
      </c>
      <c r="C26" s="28" t="n">
        <v>17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8" t="n">
        <v>0</v>
      </c>
      <c r="K26" s="28" t="n">
        <v>0</v>
      </c>
      <c r="L26" s="28" t="n">
        <v>0</v>
      </c>
      <c r="M26" s="28" t="n">
        <v>0</v>
      </c>
      <c r="N26" s="28" t="n">
        <v>0</v>
      </c>
      <c r="O26" s="28" t="n">
        <v>0</v>
      </c>
      <c r="P26" s="28" t="n">
        <v>0</v>
      </c>
      <c r="Q26" s="28" t="n">
        <v>0</v>
      </c>
      <c r="R26" s="28" t="n">
        <v>0</v>
      </c>
      <c r="S26" s="28" t="n">
        <v>17</v>
      </c>
      <c r="T26" s="28" t="n">
        <v>5</v>
      </c>
      <c r="U26" s="28" t="n">
        <v>12</v>
      </c>
      <c r="V26" s="28" t="n">
        <v>17</v>
      </c>
      <c r="W26" s="28" t="n">
        <v>0</v>
      </c>
      <c r="X26" s="28" t="n">
        <v>1</v>
      </c>
      <c r="Y26" s="28" t="n">
        <v>5</v>
      </c>
      <c r="Z26" s="28" t="n">
        <v>6</v>
      </c>
      <c r="AA26" s="28" t="n">
        <v>3</v>
      </c>
      <c r="AB26" s="28" t="n">
        <v>1</v>
      </c>
      <c r="AC26" s="28" t="n">
        <v>1</v>
      </c>
      <c r="AD26" s="29" t="n">
        <v>0</v>
      </c>
      <c r="AE26" s="29" t="n">
        <v>0</v>
      </c>
      <c r="AF26" s="30" t="n">
        <v>57.1</v>
      </c>
      <c r="AG26" s="31" t="n">
        <v>509424</v>
      </c>
      <c r="AH26" s="31" t="n">
        <v>782290</v>
      </c>
      <c r="AI26" s="31" t="n">
        <v>1207621</v>
      </c>
      <c r="AJ26" s="31" t="n">
        <v>1876905</v>
      </c>
      <c r="AK26" s="31" t="n">
        <v>3093726</v>
      </c>
      <c r="AL26" s="31" t="n">
        <v>4974612</v>
      </c>
      <c r="AM26" s="31" t="n">
        <v>1870851.48</v>
      </c>
      <c r="AN26" s="31" t="n">
        <v>3836804.58</v>
      </c>
      <c r="AO26" s="31" t="n">
        <v>3585798.67</v>
      </c>
      <c r="AP26" s="31" t="n">
        <v>383680.46</v>
      </c>
      <c r="AQ26" s="31" t="n">
        <v>358579.87</v>
      </c>
      <c r="AR26" s="31" t="n">
        <v>1674242</v>
      </c>
      <c r="AS26" s="31" t="n">
        <v>1066155.25</v>
      </c>
      <c r="AT26" s="31" t="n">
        <v>191840.23</v>
      </c>
      <c r="AU26" s="31" t="n">
        <v>179289.93</v>
      </c>
      <c r="AV26" s="31" t="n">
        <v>28393.4</v>
      </c>
      <c r="AW26" s="31" t="n">
        <v>38856.12</v>
      </c>
      <c r="AX26" s="31" t="n">
        <v>20788.02</v>
      </c>
      <c r="AY26" s="31" t="n">
        <v>19428.06</v>
      </c>
      <c r="AZ26" s="31" t="n">
        <v>28074.18</v>
      </c>
      <c r="BA26" s="31" t="n">
        <v>0</v>
      </c>
      <c r="BB26" s="31" t="n">
        <v>541.03</v>
      </c>
      <c r="BC26" s="31" t="n">
        <v>0</v>
      </c>
      <c r="BD26" s="31" t="n">
        <v>178.73</v>
      </c>
      <c r="BE26" s="31" t="n">
        <v>0</v>
      </c>
      <c r="BF26" s="31" t="n">
        <f aca="false">SUM(BE26,BC26,BA26,AY26,AW26,AU26,AS26,AQ26,AO26)</f>
        <v>5248107.9</v>
      </c>
      <c r="BG26" s="31" t="n">
        <v>2586.95</v>
      </c>
      <c r="BH26" s="31" t="n">
        <v>4533.21</v>
      </c>
      <c r="BI26" s="31" t="n">
        <v>19055.69</v>
      </c>
      <c r="BJ26" s="31" t="n">
        <v>17809.05</v>
      </c>
      <c r="BK26" s="31" t="n">
        <v>13858.68</v>
      </c>
      <c r="BL26" s="31" t="n">
        <v>12952.04</v>
      </c>
      <c r="BM26" s="31" t="n">
        <v>24252.69</v>
      </c>
      <c r="BN26" s="31" t="n">
        <v>22666.07</v>
      </c>
      <c r="BO26" s="31" t="n">
        <v>4108.3</v>
      </c>
      <c r="BP26" s="31" t="n">
        <v>0</v>
      </c>
      <c r="BQ26" s="31" t="n">
        <v>168714.39</v>
      </c>
      <c r="BR26" s="31" t="n">
        <v>157677</v>
      </c>
      <c r="BS26" s="31" t="n">
        <v>6427.21</v>
      </c>
      <c r="BT26" s="31" t="n">
        <v>7883.85</v>
      </c>
      <c r="BU26" s="31" t="n">
        <v>95920.11</v>
      </c>
      <c r="BV26" s="31" t="n">
        <v>89644.97</v>
      </c>
      <c r="BW26" s="31" t="n">
        <v>5820.65</v>
      </c>
      <c r="BX26" s="31" t="n">
        <v>11333.03</v>
      </c>
      <c r="BY26" s="31" t="n">
        <v>60253.37</v>
      </c>
      <c r="BZ26" s="31" t="n">
        <v>749809.05</v>
      </c>
      <c r="CA26" s="31" t="n">
        <v>9701.08</v>
      </c>
      <c r="CB26" s="31" t="n">
        <v>9066.43</v>
      </c>
      <c r="CC26" s="31" t="n">
        <v>21974.43</v>
      </c>
      <c r="CD26" s="31" t="n">
        <v>644144.07</v>
      </c>
      <c r="CE26" s="31" t="n">
        <v>4604.17</v>
      </c>
      <c r="CF26" s="31" t="n">
        <v>4302.96</v>
      </c>
      <c r="CG26" s="31" t="n">
        <f aca="false">SUM(CF26,CD26,CB26,BZ26,BX26,BV26,BT26,BR26,BP26,BN26,BL26,BJ26,BH26)</f>
        <v>1731821.73</v>
      </c>
      <c r="CH26" s="31" t="n">
        <f aca="false">CG26+BF26</f>
        <v>6979929.63</v>
      </c>
      <c r="CI26" s="31" t="n">
        <f aca="false">SUM(CE26,CC26,CA26,BY26,BW26,BU26,BS26,BQ26,BO26,BM26,BK26,BI26,BG26,BD26,BB26,AZ26,AX26,AV26,AT26,AR26,AP26,AN26)</f>
        <v>6601820.35</v>
      </c>
      <c r="CJ26" s="31" t="n">
        <f aca="false">CI26-CH26</f>
        <v>-378109.28</v>
      </c>
      <c r="CK26" s="31" t="str">
        <f aca="false">IF(CE26-CF26+CC26-CD26+CA26-CB26+BU26-BV26+BK26-BL26+BI26-BJ26 &gt; 0, CE26-CF26+CC26-CD26+CA26-CB26+BU26-BV26+BK26-BL26+BI26-BJ26, "-")</f>
        <v>-</v>
      </c>
      <c r="CL26" s="31" t="str">
        <f aca="false">IF(CJ26&lt;0,"⚠ Over Budget","✓ Within Budget")</f>
        <v>⚠ Over Budget</v>
      </c>
      <c r="CM26" s="33" t="s">
        <v>118</v>
      </c>
    </row>
    <row r="27" customFormat="false" ht="14.25" hidden="false" customHeight="false" outlineLevel="0" collapsed="false">
      <c r="A27" s="28" t="s">
        <v>92</v>
      </c>
      <c r="B27" s="28" t="n">
        <v>2024</v>
      </c>
      <c r="C27" s="28" t="n">
        <v>17</v>
      </c>
      <c r="D27" s="28" t="n">
        <v>0</v>
      </c>
      <c r="E27" s="28" t="n">
        <v>1</v>
      </c>
      <c r="F27" s="28" t="n">
        <v>1</v>
      </c>
      <c r="G27" s="28" t="n">
        <v>0</v>
      </c>
      <c r="H27" s="28" t="n">
        <v>0</v>
      </c>
      <c r="I27" s="28" t="n">
        <v>0</v>
      </c>
      <c r="J27" s="28" t="n">
        <v>2</v>
      </c>
      <c r="K27" s="28" t="n">
        <v>1</v>
      </c>
      <c r="L27" s="28" t="n">
        <v>0</v>
      </c>
      <c r="M27" s="28" t="n">
        <v>0</v>
      </c>
      <c r="N27" s="28" t="n">
        <v>0</v>
      </c>
      <c r="O27" s="28" t="n">
        <v>0</v>
      </c>
      <c r="P27" s="28" t="n">
        <v>1</v>
      </c>
      <c r="Q27" s="28" t="n">
        <v>1</v>
      </c>
      <c r="R27" s="28" t="n">
        <v>0</v>
      </c>
      <c r="S27" s="28" t="n">
        <v>18</v>
      </c>
      <c r="T27" s="28" t="n">
        <v>5</v>
      </c>
      <c r="U27" s="28" t="n">
        <v>13</v>
      </c>
      <c r="V27" s="28" t="n">
        <v>18</v>
      </c>
      <c r="W27" s="28" t="n">
        <v>0</v>
      </c>
      <c r="X27" s="28" t="n">
        <v>1</v>
      </c>
      <c r="Y27" s="28" t="n">
        <v>6</v>
      </c>
      <c r="Z27" s="28" t="n">
        <v>6</v>
      </c>
      <c r="AA27" s="28" t="n">
        <v>3</v>
      </c>
      <c r="AB27" s="28" t="n">
        <v>1</v>
      </c>
      <c r="AC27" s="28" t="n">
        <v>1</v>
      </c>
      <c r="AD27" s="29" t="n">
        <v>0.705882</v>
      </c>
      <c r="AE27" s="29" t="n">
        <v>0</v>
      </c>
      <c r="AF27" s="30" t="n">
        <v>57.8</v>
      </c>
      <c r="AG27" s="31" t="n">
        <v>509424</v>
      </c>
      <c r="AH27" s="31" t="n">
        <v>782290</v>
      </c>
      <c r="AI27" s="31" t="n">
        <v>1207621</v>
      </c>
      <c r="AJ27" s="31" t="n">
        <v>1876905</v>
      </c>
      <c r="AK27" s="31" t="n">
        <v>3093726</v>
      </c>
      <c r="AL27" s="31" t="n">
        <v>4974612</v>
      </c>
      <c r="AM27" s="31" t="n">
        <v>1784691.57</v>
      </c>
      <c r="AN27" s="31" t="n">
        <v>3341834.97</v>
      </c>
      <c r="AO27" s="31" t="n">
        <v>3499802.69</v>
      </c>
      <c r="AP27" s="31" t="n">
        <v>334183.5</v>
      </c>
      <c r="AQ27" s="31" t="n">
        <v>312321.03</v>
      </c>
      <c r="AR27" s="31" t="n">
        <v>54684.57</v>
      </c>
      <c r="AS27" s="31" t="n">
        <v>187392.62</v>
      </c>
      <c r="AT27" s="31" t="n">
        <v>167091.75</v>
      </c>
      <c r="AU27" s="31" t="n">
        <v>156160.51</v>
      </c>
      <c r="AV27" s="31" t="n">
        <v>28263.41</v>
      </c>
      <c r="AW27" s="31" t="n">
        <v>33843.46</v>
      </c>
      <c r="AX27" s="31" t="n">
        <v>18106.25</v>
      </c>
      <c r="AY27" s="31" t="n">
        <v>16921.73</v>
      </c>
      <c r="AZ27" s="31" t="n">
        <v>8150.82</v>
      </c>
      <c r="BA27" s="31" t="n">
        <v>0</v>
      </c>
      <c r="BB27" s="31" t="n">
        <v>516.11</v>
      </c>
      <c r="BC27" s="31" t="n">
        <v>627654.06</v>
      </c>
      <c r="BD27" s="31" t="n">
        <v>409.2</v>
      </c>
      <c r="BE27" s="31" t="n">
        <v>0</v>
      </c>
      <c r="BF27" s="31" t="n">
        <f aca="false">SUM(BE27,BC27,BA27,AY27,AW27,AU27,AS27,AQ27,AO27)</f>
        <v>4834096.1</v>
      </c>
      <c r="BG27" s="31" t="n">
        <v>1502.15</v>
      </c>
      <c r="BH27" s="31" t="n">
        <v>3948.4</v>
      </c>
      <c r="BI27" s="31" t="n">
        <v>16597.4</v>
      </c>
      <c r="BJ27" s="31" t="n">
        <v>15511.58</v>
      </c>
      <c r="BK27" s="31" t="n">
        <v>12070.83</v>
      </c>
      <c r="BL27" s="31" t="n">
        <v>11281.15</v>
      </c>
      <c r="BM27" s="31" t="n">
        <v>21123.96</v>
      </c>
      <c r="BN27" s="31" t="n">
        <v>19742.02</v>
      </c>
      <c r="BO27" s="31" t="n">
        <v>3919.1</v>
      </c>
      <c r="BP27" s="31" t="n">
        <v>251061.62</v>
      </c>
      <c r="BQ27" s="31" t="n">
        <v>150885.41</v>
      </c>
      <c r="BR27" s="31" t="n">
        <v>141014.41</v>
      </c>
      <c r="BS27" s="31" t="n">
        <v>6466.52</v>
      </c>
      <c r="BT27" s="31" t="n">
        <v>7050.72</v>
      </c>
      <c r="BU27" s="31" t="n">
        <v>83545.87</v>
      </c>
      <c r="BV27" s="31" t="n">
        <v>78080.26</v>
      </c>
      <c r="BW27" s="31" t="n">
        <v>5069.75</v>
      </c>
      <c r="BX27" s="31" t="n">
        <v>9871.01</v>
      </c>
      <c r="BY27" s="31" t="n">
        <v>5364.81</v>
      </c>
      <c r="BZ27" s="31" t="n">
        <v>11281.15</v>
      </c>
      <c r="CA27" s="31" t="n">
        <v>8449.58</v>
      </c>
      <c r="CB27" s="31" t="n">
        <v>7896.81</v>
      </c>
      <c r="CC27" s="31" t="n">
        <v>19139.6</v>
      </c>
      <c r="CD27" s="31" t="n">
        <v>32793.71</v>
      </c>
      <c r="CE27" s="31" t="n">
        <v>4010.2</v>
      </c>
      <c r="CF27" s="31" t="n">
        <v>3747.85</v>
      </c>
      <c r="CG27" s="31" t="n">
        <f aca="false">SUM(CF27,CD27,CB27,BZ27,BX27,BV27,BT27,BR27,BP27,BN27,BL27,BJ27,BH27)</f>
        <v>593280.69</v>
      </c>
      <c r="CH27" s="31" t="n">
        <f aca="false">CG27+BF27</f>
        <v>5427376.79</v>
      </c>
      <c r="CI27" s="31" t="n">
        <f aca="false">SUM(CE27,CC27,CA27,BY27,BW27,BU27,BS27,BQ27,BO27,BM27,BK27,BI27,BG27,BD27,BB27,AZ27,AX27,AV27,AT27,AR27,AP27,AN27)</f>
        <v>4291385.76</v>
      </c>
      <c r="CJ27" s="31" t="n">
        <f aca="false">CI27-CH27</f>
        <v>-1135991.03</v>
      </c>
      <c r="CK27" s="31" t="str">
        <f aca="false">IF(CE27-CF27+CC27-CD27+CA27-CB27+BU27-BV27+BK27-BL27+BI27-BJ27 &gt; 0, CE27-CF27+CC27-CD27+CA27-CB27+BU27-BV27+BK27-BL27+BI27-BJ27, "-")</f>
        <v>-</v>
      </c>
      <c r="CL27" s="31" t="str">
        <f aca="false">IF(CJ27&lt;0,"⚠ Over Budget","✓ Within Budget")</f>
        <v>⚠ Over Budget</v>
      </c>
      <c r="CM27" s="33" t="s">
        <v>106</v>
      </c>
    </row>
    <row r="28" customFormat="false" ht="14.25" hidden="false" customHeight="false" outlineLevel="0" collapsed="false">
      <c r="A28" s="22" t="s">
        <v>93</v>
      </c>
      <c r="B28" s="22" t="n">
        <v>2024</v>
      </c>
      <c r="C28" s="22" t="n">
        <v>18</v>
      </c>
      <c r="D28" s="22" t="n">
        <v>0</v>
      </c>
      <c r="E28" s="22" t="n">
        <v>1</v>
      </c>
      <c r="F28" s="22" t="n">
        <v>1</v>
      </c>
      <c r="G28" s="22" t="n">
        <v>0</v>
      </c>
      <c r="H28" s="22" t="n">
        <v>0</v>
      </c>
      <c r="I28" s="22" t="n">
        <v>0</v>
      </c>
      <c r="J28" s="22" t="n">
        <v>2</v>
      </c>
      <c r="K28" s="22" t="n">
        <v>1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1</v>
      </c>
      <c r="Q28" s="22" t="n">
        <v>1</v>
      </c>
      <c r="R28" s="22" t="n">
        <v>0</v>
      </c>
      <c r="S28" s="22" t="n">
        <v>19</v>
      </c>
      <c r="T28" s="22" t="n">
        <v>6</v>
      </c>
      <c r="U28" s="22" t="n">
        <v>13</v>
      </c>
      <c r="V28" s="22" t="n">
        <v>19</v>
      </c>
      <c r="W28" s="22" t="n">
        <v>0</v>
      </c>
      <c r="X28" s="22" t="n">
        <v>2</v>
      </c>
      <c r="Y28" s="22" t="n">
        <v>6</v>
      </c>
      <c r="Z28" s="22" t="n">
        <v>7</v>
      </c>
      <c r="AA28" s="22" t="n">
        <v>3</v>
      </c>
      <c r="AB28" s="22" t="n">
        <v>1</v>
      </c>
      <c r="AC28" s="22" t="n">
        <v>1</v>
      </c>
      <c r="AD28" s="23" t="n">
        <v>0.666667</v>
      </c>
      <c r="AE28" s="23" t="n">
        <v>0</v>
      </c>
      <c r="AF28" s="24" t="n">
        <v>58.2</v>
      </c>
      <c r="AG28" s="25" t="n">
        <v>509424</v>
      </c>
      <c r="AH28" s="25" t="n">
        <v>782290</v>
      </c>
      <c r="AI28" s="25" t="n">
        <v>1207621</v>
      </c>
      <c r="AJ28" s="25" t="n">
        <v>1876905</v>
      </c>
      <c r="AK28" s="25" t="n">
        <v>3093726</v>
      </c>
      <c r="AL28" s="25" t="n">
        <v>4974612</v>
      </c>
      <c r="AM28" s="25" t="n">
        <v>1784691.57</v>
      </c>
      <c r="AN28" s="25" t="n">
        <v>3819239.97</v>
      </c>
      <c r="AO28" s="25" t="n">
        <v>3569383.15</v>
      </c>
      <c r="AP28" s="25" t="n">
        <v>381924</v>
      </c>
      <c r="AQ28" s="25" t="n">
        <v>356938.31</v>
      </c>
      <c r="AR28" s="25" t="n">
        <v>10416.11</v>
      </c>
      <c r="AS28" s="25" t="n">
        <v>0</v>
      </c>
      <c r="AT28" s="25" t="n">
        <v>190962</v>
      </c>
      <c r="AU28" s="25" t="n">
        <v>178469.16</v>
      </c>
      <c r="AV28" s="25" t="n">
        <v>32301.04</v>
      </c>
      <c r="AW28" s="25" t="n">
        <v>38678.24</v>
      </c>
      <c r="AX28" s="25" t="n">
        <v>20692.86</v>
      </c>
      <c r="AY28" s="25" t="n">
        <v>19339.12</v>
      </c>
      <c r="AZ28" s="25" t="n">
        <v>9315.22</v>
      </c>
      <c r="BA28" s="25" t="n">
        <v>0</v>
      </c>
      <c r="BB28" s="25" t="n">
        <v>46450.22</v>
      </c>
      <c r="BC28" s="25" t="n">
        <v>44617.29</v>
      </c>
      <c r="BD28" s="25" t="n">
        <v>511.51</v>
      </c>
      <c r="BE28" s="25" t="n">
        <v>0</v>
      </c>
      <c r="BF28" s="25" t="n">
        <f aca="false">SUM(BE28,BC28,BA28,AY28,AW28,AU28,AS28,AQ28,AO28)</f>
        <v>4207425.27</v>
      </c>
      <c r="BG28" s="25" t="n">
        <v>1716.74</v>
      </c>
      <c r="BH28" s="25" t="n">
        <v>4512.46</v>
      </c>
      <c r="BI28" s="25" t="n">
        <v>18968.45</v>
      </c>
      <c r="BJ28" s="25" t="n">
        <v>17727.53</v>
      </c>
      <c r="BK28" s="25" t="n">
        <v>13795.24</v>
      </c>
      <c r="BL28" s="25" t="n">
        <v>12892.75</v>
      </c>
      <c r="BM28" s="25" t="n">
        <v>24141.67</v>
      </c>
      <c r="BN28" s="25" t="n">
        <v>22562.3</v>
      </c>
      <c r="BO28" s="25" t="n">
        <v>82301.13</v>
      </c>
      <c r="BP28" s="25" t="n">
        <v>141014.41</v>
      </c>
      <c r="BQ28" s="25" t="n">
        <v>171003.47</v>
      </c>
      <c r="BR28" s="25" t="n">
        <v>159816.33</v>
      </c>
      <c r="BS28" s="25" t="n">
        <v>7328.72</v>
      </c>
      <c r="BT28" s="25" t="n">
        <v>7990.82</v>
      </c>
      <c r="BU28" s="25" t="n">
        <v>95481</v>
      </c>
      <c r="BV28" s="25" t="n">
        <v>89234.58</v>
      </c>
      <c r="BW28" s="25" t="n">
        <v>5794</v>
      </c>
      <c r="BX28" s="25" t="n">
        <v>11281.15</v>
      </c>
      <c r="BY28" s="25" t="n">
        <v>6131.22</v>
      </c>
      <c r="BZ28" s="25" t="n">
        <v>12892.75</v>
      </c>
      <c r="CA28" s="25" t="n">
        <v>9656.67</v>
      </c>
      <c r="CB28" s="25" t="n">
        <v>9024.92</v>
      </c>
      <c r="CC28" s="25" t="n">
        <v>21873.83</v>
      </c>
      <c r="CD28" s="25" t="n">
        <v>37478.52</v>
      </c>
      <c r="CE28" s="25" t="n">
        <v>4583.09</v>
      </c>
      <c r="CF28" s="25" t="n">
        <v>4283.26</v>
      </c>
      <c r="CG28" s="25" t="n">
        <f aca="false">SUM(CF28,CD28,CB28,BZ28,BX28,BV28,BT28,BR28,BP28,BN28,BL28,BJ28,BH28)</f>
        <v>530711.78</v>
      </c>
      <c r="CH28" s="25" t="n">
        <f aca="false">CG28+BF28</f>
        <v>4738137.05</v>
      </c>
      <c r="CI28" s="25" t="n">
        <f aca="false">SUM(CE28,CC28,CA28,BY28,BW28,BU28,BS28,BQ28,BO28,BM28,BK28,BI28,BG28,BD28,BB28,AZ28,AX28,AV28,AT28,AR28,AP28,AN28)</f>
        <v>4974588.16</v>
      </c>
      <c r="CJ28" s="25" t="n">
        <f aca="false">CI28-CH28</f>
        <v>236451.11</v>
      </c>
      <c r="CK28" s="25" t="str">
        <f aca="false">IF(CE28-CF28+CC28-CD28+CA28-CB28+BU28-BV28+BK28-BL28+BI28-BJ28 &gt; 0, CE28-CF28+CC28-CD28+CA28-CB28+BU28-BV28+BK28-BL28+BI28-BJ28, "-")</f>
        <v>-</v>
      </c>
      <c r="CL28" s="25" t="str">
        <f aca="false">IF(CJ28&lt;0,"⚠ Over Budget","✓ Within Budget")</f>
        <v>✓ Within Budget</v>
      </c>
      <c r="CM28" s="27"/>
    </row>
    <row r="29" customFormat="false" ht="14.25" hidden="false" customHeight="false" outlineLevel="0" collapsed="false">
      <c r="A29" s="16" t="s">
        <v>94</v>
      </c>
      <c r="B29" s="16" t="n">
        <v>2024</v>
      </c>
      <c r="C29" s="16" t="n">
        <v>19</v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19</v>
      </c>
      <c r="T29" s="16" t="n">
        <v>6</v>
      </c>
      <c r="U29" s="16" t="n">
        <v>13</v>
      </c>
      <c r="V29" s="16" t="n">
        <v>19</v>
      </c>
      <c r="W29" s="16" t="n">
        <v>0</v>
      </c>
      <c r="X29" s="16" t="n">
        <v>2</v>
      </c>
      <c r="Y29" s="16" t="n">
        <v>6</v>
      </c>
      <c r="Z29" s="16" t="n">
        <v>7</v>
      </c>
      <c r="AA29" s="16" t="n">
        <v>3</v>
      </c>
      <c r="AB29" s="16" t="n">
        <v>1</v>
      </c>
      <c r="AC29" s="16" t="n">
        <v>1</v>
      </c>
      <c r="AD29" s="17" t="n">
        <v>0</v>
      </c>
      <c r="AE29" s="17" t="n">
        <v>0</v>
      </c>
      <c r="AF29" s="18" t="n">
        <v>61.5</v>
      </c>
      <c r="AG29" s="19" t="n">
        <v>509424</v>
      </c>
      <c r="AH29" s="19" t="n">
        <v>782290</v>
      </c>
      <c r="AI29" s="19" t="n">
        <v>1207621</v>
      </c>
      <c r="AJ29" s="19" t="n">
        <v>1876905</v>
      </c>
      <c r="AK29" s="19" t="n">
        <v>3093726</v>
      </c>
      <c r="AL29" s="19" t="n">
        <v>4974612</v>
      </c>
      <c r="AM29" s="19" t="n">
        <v>1784691.57</v>
      </c>
      <c r="AN29" s="19" t="n">
        <v>3660104.97</v>
      </c>
      <c r="AO29" s="19" t="n">
        <v>3420658.85</v>
      </c>
      <c r="AP29" s="19" t="n">
        <v>366010.5</v>
      </c>
      <c r="AQ29" s="19" t="n">
        <v>342065.89</v>
      </c>
      <c r="AR29" s="19" t="n">
        <v>16636.84</v>
      </c>
      <c r="AS29" s="19" t="n">
        <v>0</v>
      </c>
      <c r="AT29" s="19" t="n">
        <v>183005.25</v>
      </c>
      <c r="AU29" s="19" t="n">
        <v>171032.94</v>
      </c>
      <c r="AV29" s="19" t="n">
        <v>29020.47</v>
      </c>
      <c r="AW29" s="19" t="n">
        <v>27799.98</v>
      </c>
      <c r="AX29" s="19" t="n">
        <v>19830.65</v>
      </c>
      <c r="AY29" s="19" t="n">
        <v>18533.32</v>
      </c>
      <c r="AZ29" s="19" t="n">
        <v>28566.67</v>
      </c>
      <c r="BA29" s="19" t="n">
        <v>0</v>
      </c>
      <c r="BB29" s="19" t="n">
        <v>2580.57</v>
      </c>
      <c r="BC29" s="19" t="n">
        <v>0</v>
      </c>
      <c r="BD29" s="19" t="n">
        <v>153451.61</v>
      </c>
      <c r="BE29" s="19" t="n">
        <v>89234.58</v>
      </c>
      <c r="BF29" s="19" t="n">
        <f aca="false">SUM(BE29,BC29,BA29,AY29,AW29,AU29,AS29,AQ29,AO29)</f>
        <v>4069325.56</v>
      </c>
      <c r="BG29" s="19" t="n">
        <v>1645.21</v>
      </c>
      <c r="BH29" s="19" t="n">
        <v>4324.44</v>
      </c>
      <c r="BI29" s="19" t="n">
        <v>18178.1</v>
      </c>
      <c r="BJ29" s="19" t="n">
        <v>16988.88</v>
      </c>
      <c r="BK29" s="19" t="n">
        <v>13220.44</v>
      </c>
      <c r="BL29" s="19" t="n">
        <v>12355.55</v>
      </c>
      <c r="BM29" s="19" t="n">
        <v>23135.76</v>
      </c>
      <c r="BN29" s="19" t="n">
        <v>21622.21</v>
      </c>
      <c r="BO29" s="19" t="n">
        <v>3919.1</v>
      </c>
      <c r="BP29" s="19" t="n">
        <v>0</v>
      </c>
      <c r="BQ29" s="19" t="n">
        <v>160944.44</v>
      </c>
      <c r="BR29" s="19" t="n">
        <v>150415.37</v>
      </c>
      <c r="BS29" s="19" t="n">
        <v>7664.02</v>
      </c>
      <c r="BT29" s="19" t="n">
        <v>7520.77</v>
      </c>
      <c r="BU29" s="19" t="n">
        <v>91502.62</v>
      </c>
      <c r="BV29" s="19" t="n">
        <v>85516.47</v>
      </c>
      <c r="BW29" s="19" t="n">
        <v>5552.58</v>
      </c>
      <c r="BX29" s="19" t="n">
        <v>10811.1</v>
      </c>
      <c r="BY29" s="19" t="n">
        <v>39812.96</v>
      </c>
      <c r="BZ29" s="19" t="n">
        <v>34882.85</v>
      </c>
      <c r="CA29" s="19" t="n">
        <v>9254.31</v>
      </c>
      <c r="CB29" s="19" t="n">
        <v>8648.88</v>
      </c>
      <c r="CC29" s="19" t="n">
        <v>274459.73</v>
      </c>
      <c r="CD29" s="19" t="n">
        <v>94051.62</v>
      </c>
      <c r="CE29" s="19" t="n">
        <v>4392.13</v>
      </c>
      <c r="CF29" s="19" t="n">
        <v>4104.79</v>
      </c>
      <c r="CG29" s="19" t="n">
        <f aca="false">SUM(CF29,CD29,CB29,BZ29,BX29,BV29,BT29,BR29,BP29,BN29,BL29,BJ29,BH29)</f>
        <v>451242.93</v>
      </c>
      <c r="CH29" s="19" t="n">
        <f aca="false">CG29+BF29</f>
        <v>4520568.49</v>
      </c>
      <c r="CI29" s="19" t="n">
        <f aca="false">SUM(CE29,CC29,CA29,BY29,BW29,BU29,BS29,BQ29,BO29,BM29,BK29,BI29,BG29,BD29,BB29,AZ29,AX29,AV29,AT29,AR29,AP29,AN29)</f>
        <v>5112888.93</v>
      </c>
      <c r="CJ29" s="19" t="n">
        <f aca="false">CI29-CH29</f>
        <v>592320.44</v>
      </c>
      <c r="CK29" s="19" t="n">
        <f aca="false">IF(CE29-CF29+CC29-CD29+CA29-CB29+BU29-BV29+BK29-BL29+BI29-BJ29 &gt; 0, CE29-CF29+CC29-CD29+CA29-CB29+BU29-BV29+BK29-BL29+BI29-BJ29, "-")</f>
        <v>189341.14</v>
      </c>
      <c r="CL29" s="19" t="str">
        <f aca="false">IF(CJ29&lt;0,"⚠ Over Budget","✓ Within Budget")</f>
        <v>✓ Within Budget</v>
      </c>
      <c r="CM29" s="21"/>
    </row>
    <row r="30" customFormat="false" ht="18.75" hidden="false" customHeight="true" outlineLevel="0" collapsed="false">
      <c r="A30" s="28" t="s">
        <v>96</v>
      </c>
      <c r="B30" s="28" t="n">
        <v>2024</v>
      </c>
      <c r="C30" s="28" t="n">
        <v>19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8" t="n">
        <v>0</v>
      </c>
      <c r="O30" s="28" t="n">
        <v>0</v>
      </c>
      <c r="P30" s="28" t="n">
        <v>0</v>
      </c>
      <c r="Q30" s="28" t="n">
        <v>0</v>
      </c>
      <c r="R30" s="28" t="n">
        <v>0</v>
      </c>
      <c r="S30" s="28" t="n">
        <v>19</v>
      </c>
      <c r="T30" s="28" t="n">
        <v>6</v>
      </c>
      <c r="U30" s="28" t="n">
        <v>13</v>
      </c>
      <c r="V30" s="28" t="n">
        <v>19</v>
      </c>
      <c r="W30" s="28" t="n">
        <v>0</v>
      </c>
      <c r="X30" s="28" t="n">
        <v>2</v>
      </c>
      <c r="Y30" s="28" t="n">
        <v>6</v>
      </c>
      <c r="Z30" s="28" t="n">
        <v>7</v>
      </c>
      <c r="AA30" s="28" t="n">
        <v>3</v>
      </c>
      <c r="AB30" s="28" t="n">
        <v>1</v>
      </c>
      <c r="AC30" s="28" t="n">
        <v>1</v>
      </c>
      <c r="AD30" s="29" t="n">
        <v>0</v>
      </c>
      <c r="AE30" s="29" t="n">
        <v>0.0975916609248883</v>
      </c>
      <c r="AF30" s="30" t="n">
        <v>62.1</v>
      </c>
      <c r="AG30" s="31" t="n">
        <v>571898</v>
      </c>
      <c r="AH30" s="31" t="n">
        <v>863234</v>
      </c>
      <c r="AI30" s="31" t="n">
        <v>1329116</v>
      </c>
      <c r="AJ30" s="31" t="n">
        <v>2027314</v>
      </c>
      <c r="AK30" s="31" t="n">
        <v>3333755</v>
      </c>
      <c r="AL30" s="31" t="n">
        <v>5325809</v>
      </c>
      <c r="AM30" s="31" t="n">
        <v>1947345.8</v>
      </c>
      <c r="AN30" s="31" t="n">
        <v>3993681.67</v>
      </c>
      <c r="AO30" s="31" t="n">
        <v>4622912.65</v>
      </c>
      <c r="AP30" s="31" t="n">
        <v>399368.17</v>
      </c>
      <c r="AQ30" s="31" t="n">
        <v>373241.28</v>
      </c>
      <c r="AR30" s="31" t="n">
        <v>203314.7</v>
      </c>
      <c r="AS30" s="31" t="n">
        <v>854935.47</v>
      </c>
      <c r="AT30" s="31" t="n">
        <v>199684.08</v>
      </c>
      <c r="AU30" s="31" t="n">
        <v>186620.64</v>
      </c>
      <c r="AV30" s="31" t="n">
        <v>34824.56</v>
      </c>
      <c r="AW30" s="31" t="n">
        <v>27799.98</v>
      </c>
      <c r="AX30" s="31" t="n">
        <v>19830.65</v>
      </c>
      <c r="AY30" s="31" t="n">
        <v>18533.32</v>
      </c>
      <c r="AZ30" s="31" t="n">
        <v>38962.75</v>
      </c>
      <c r="BA30" s="31" t="n">
        <v>0</v>
      </c>
      <c r="BB30" s="31" t="n">
        <v>2815.76</v>
      </c>
      <c r="BC30" s="31" t="n">
        <v>0</v>
      </c>
      <c r="BD30" s="31" t="n">
        <v>186.04</v>
      </c>
      <c r="BE30" s="31" t="n">
        <v>0</v>
      </c>
      <c r="BF30" s="31" t="n">
        <f aca="false">SUM(BE30,BC30,BA30,AY30,AW30,AU30,AS30,AQ30,AO30)</f>
        <v>6084043.34</v>
      </c>
      <c r="BG30" s="31" t="n">
        <v>28438.63</v>
      </c>
      <c r="BH30" s="31" t="n">
        <v>13591.1</v>
      </c>
      <c r="BI30" s="31" t="n">
        <v>18178.1</v>
      </c>
      <c r="BJ30" s="31" t="n">
        <v>16988.88</v>
      </c>
      <c r="BK30" s="31" t="n">
        <v>13220.44</v>
      </c>
      <c r="BL30" s="31" t="n">
        <v>12355.55</v>
      </c>
      <c r="BM30" s="31" t="n">
        <v>23135.76</v>
      </c>
      <c r="BN30" s="31" t="n">
        <v>21622.21</v>
      </c>
      <c r="BO30" s="31" t="n">
        <v>19595.51</v>
      </c>
      <c r="BP30" s="31" t="n">
        <v>0</v>
      </c>
      <c r="BQ30" s="31" t="n">
        <v>160944.44</v>
      </c>
      <c r="BR30" s="31" t="n">
        <v>150415.37</v>
      </c>
      <c r="BS30" s="31" t="n">
        <v>7664.02</v>
      </c>
      <c r="BT30" s="31" t="n">
        <v>7520.77</v>
      </c>
      <c r="BU30" s="31" t="n">
        <v>99842.04</v>
      </c>
      <c r="BV30" s="31" t="n">
        <v>93310.32</v>
      </c>
      <c r="BW30" s="31" t="n">
        <v>22210.33</v>
      </c>
      <c r="BX30" s="31" t="n">
        <v>10811.1</v>
      </c>
      <c r="BY30" s="31" t="n">
        <v>5875.75</v>
      </c>
      <c r="BZ30" s="31" t="n">
        <v>12355.55</v>
      </c>
      <c r="CA30" s="31" t="n">
        <v>9254.31</v>
      </c>
      <c r="CB30" s="31" t="n">
        <v>8648.88</v>
      </c>
      <c r="CC30" s="31" t="n">
        <v>343108.67</v>
      </c>
      <c r="CD30" s="31" t="n">
        <v>117576.18</v>
      </c>
      <c r="CE30" s="31" t="n">
        <v>4792.42</v>
      </c>
      <c r="CF30" s="31" t="n">
        <v>4478.9</v>
      </c>
      <c r="CG30" s="31" t="n">
        <f aca="false">SUM(CF30,CD30,CB30,BZ30,BX30,BV30,BT30,BR30,BP30,BN30,BL30,BJ30,BH30)</f>
        <v>469674.81</v>
      </c>
      <c r="CH30" s="31" t="n">
        <f aca="false">CG30+BF30</f>
        <v>6553718.15</v>
      </c>
      <c r="CI30" s="31" t="n">
        <f aca="false">SUM(CE30,CC30,CA30,BY30,BW30,BU30,BS30,BQ30,BO30,BM30,BK30,BI30,BG30,BD30,BB30,AZ30,AX30,AV30,AT30,AR30,AP30,AN30)</f>
        <v>5648928.8</v>
      </c>
      <c r="CJ30" s="31" t="n">
        <f aca="false">CI30-CH30</f>
        <v>-904789.350000001</v>
      </c>
      <c r="CK30" s="31" t="n">
        <f aca="false">IF(CE30-CF30+CC30-CD30+CA30-CB30+BU30-BV30+BK30-BL30+BI30-BJ30 &gt; 0, CE30-CF30+CC30-CD30+CA30-CB30+BU30-BV30+BK30-BL30+BI30-BJ30, "-")</f>
        <v>235037.27</v>
      </c>
      <c r="CL30" s="31" t="str">
        <f aca="false">IF(CJ30&lt;0,"⚠ Over Budget","✓ Within Budget")</f>
        <v>⚠ Over Budget</v>
      </c>
      <c r="CM30" s="33" t="s">
        <v>107</v>
      </c>
    </row>
    <row r="31" customFormat="false" ht="14.25" hidden="false" customHeight="false" outlineLevel="0" collapsed="false">
      <c r="A31" s="16" t="s">
        <v>98</v>
      </c>
      <c r="B31" s="16" t="n">
        <v>2024</v>
      </c>
      <c r="C31" s="16" t="n">
        <v>19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19</v>
      </c>
      <c r="T31" s="16" t="n">
        <v>6</v>
      </c>
      <c r="U31" s="16" t="n">
        <v>13</v>
      </c>
      <c r="V31" s="16" t="n">
        <v>19</v>
      </c>
      <c r="W31" s="16" t="n">
        <v>0</v>
      </c>
      <c r="X31" s="16" t="n">
        <v>2</v>
      </c>
      <c r="Y31" s="16" t="n">
        <v>6</v>
      </c>
      <c r="Z31" s="16" t="n">
        <v>7</v>
      </c>
      <c r="AA31" s="16" t="n">
        <v>3</v>
      </c>
      <c r="AB31" s="16" t="n">
        <v>1</v>
      </c>
      <c r="AC31" s="16" t="n">
        <v>1</v>
      </c>
      <c r="AD31" s="17" t="n">
        <v>0</v>
      </c>
      <c r="AE31" s="17" t="n">
        <v>0</v>
      </c>
      <c r="AF31" s="18" t="n">
        <v>61.8</v>
      </c>
      <c r="AG31" s="19" t="n">
        <v>571898</v>
      </c>
      <c r="AH31" s="19" t="n">
        <v>863234</v>
      </c>
      <c r="AI31" s="19" t="n">
        <v>1329116</v>
      </c>
      <c r="AJ31" s="19" t="n">
        <v>2027314</v>
      </c>
      <c r="AK31" s="19" t="n">
        <v>3333755</v>
      </c>
      <c r="AL31" s="19" t="n">
        <v>5325809</v>
      </c>
      <c r="AM31" s="19" t="n">
        <v>1947345.8</v>
      </c>
      <c r="AN31" s="19" t="n">
        <v>3993681.67</v>
      </c>
      <c r="AO31" s="19" t="n">
        <v>3732412.78</v>
      </c>
      <c r="AP31" s="19" t="n">
        <v>399368.17</v>
      </c>
      <c r="AQ31" s="19" t="n">
        <v>373241.28</v>
      </c>
      <c r="AR31" s="19" t="n">
        <v>14522.48</v>
      </c>
      <c r="AS31" s="19" t="n">
        <v>0</v>
      </c>
      <c r="AT31" s="19" t="n">
        <v>199684.08</v>
      </c>
      <c r="AU31" s="19" t="n">
        <v>186620.64</v>
      </c>
      <c r="AV31" s="19" t="n">
        <v>37726.61</v>
      </c>
      <c r="AW31" s="19" t="n">
        <v>27799.98</v>
      </c>
      <c r="AX31" s="19" t="n">
        <v>19830.65</v>
      </c>
      <c r="AY31" s="19" t="n">
        <v>18533.32</v>
      </c>
      <c r="AZ31" s="19" t="n">
        <v>11688.82</v>
      </c>
      <c r="BA31" s="19" t="n">
        <v>0</v>
      </c>
      <c r="BB31" s="19" t="n">
        <v>1126.3</v>
      </c>
      <c r="BC31" s="19" t="n">
        <v>0</v>
      </c>
      <c r="BD31" s="19" t="n">
        <v>186.04</v>
      </c>
      <c r="BE31" s="19" t="n">
        <v>0</v>
      </c>
      <c r="BF31" s="19" t="n">
        <f aca="false">SUM(BE31,BC31,BA31,AY31,AW31,AU31,AS31,AQ31,AO31)</f>
        <v>4338608</v>
      </c>
      <c r="BG31" s="19" t="n">
        <v>19037.43</v>
      </c>
      <c r="BH31" s="19" t="n">
        <v>11119.99</v>
      </c>
      <c r="BI31" s="19" t="n">
        <v>18178.1</v>
      </c>
      <c r="BJ31" s="19" t="n">
        <v>16988.88</v>
      </c>
      <c r="BK31" s="19" t="n">
        <v>13220.44</v>
      </c>
      <c r="BL31" s="19" t="n">
        <v>12355.55</v>
      </c>
      <c r="BM31" s="19" t="n">
        <v>23135.76</v>
      </c>
      <c r="BN31" s="19" t="n">
        <v>21622.21</v>
      </c>
      <c r="BO31" s="19" t="n">
        <v>7838.2</v>
      </c>
      <c r="BP31" s="19" t="n">
        <v>0</v>
      </c>
      <c r="BQ31" s="19" t="n">
        <v>160944.44</v>
      </c>
      <c r="BR31" s="19" t="n">
        <v>150415.37</v>
      </c>
      <c r="BS31" s="19" t="n">
        <v>8430.42</v>
      </c>
      <c r="BT31" s="19" t="n">
        <v>7520.77</v>
      </c>
      <c r="BU31" s="19" t="n">
        <v>99842.04</v>
      </c>
      <c r="BV31" s="19" t="n">
        <v>93310.32</v>
      </c>
      <c r="BW31" s="19" t="n">
        <v>16657.75</v>
      </c>
      <c r="BX31" s="19" t="n">
        <v>10811.1</v>
      </c>
      <c r="BY31" s="19" t="n">
        <v>5875.75</v>
      </c>
      <c r="BZ31" s="19" t="n">
        <v>12355.55</v>
      </c>
      <c r="CA31" s="19" t="n">
        <v>9254.31</v>
      </c>
      <c r="CB31" s="19" t="n">
        <v>8648.88</v>
      </c>
      <c r="CC31" s="19" t="n">
        <v>36596.65</v>
      </c>
      <c r="CD31" s="19" t="n">
        <v>39190.33</v>
      </c>
      <c r="CE31" s="19" t="n">
        <v>4792.42</v>
      </c>
      <c r="CF31" s="19" t="n">
        <v>4478.9</v>
      </c>
      <c r="CG31" s="19" t="n">
        <f aca="false">SUM(CF31,CD31,CB31,BZ31,BX31,BV31,BT31,BR31,BP31,BN31,BL31,BJ31,BH31)</f>
        <v>388817.85</v>
      </c>
      <c r="CH31" s="19" t="n">
        <f aca="false">CG31+BF31</f>
        <v>4727425.85</v>
      </c>
      <c r="CI31" s="19" t="n">
        <f aca="false">SUM(CE31,CC31,CA31,BY31,BW31,BU31,BS31,BQ31,BO31,BM31,BK31,BI31,BG31,BD31,BB31,AZ31,AX31,AV31,AT31,AR31,AP31,AN31)</f>
        <v>5101618.53</v>
      </c>
      <c r="CJ31" s="19" t="n">
        <f aca="false">CI31-CH31</f>
        <v>374192.680000001</v>
      </c>
      <c r="CK31" s="19" t="n">
        <f aca="false">IF(CE31-CF31+CC31-CD31+CA31-CB31+BU31-BV31+BK31-BL31+BI31-BJ31 &gt; 0, CE31-CF31+CC31-CD31+CA31-CB31+BU31-BV31+BK31-BL31+BI31-BJ31, "-")</f>
        <v>6911.09999999999</v>
      </c>
      <c r="CL31" s="19" t="str">
        <f aca="false">IF(CJ31&lt;0,"⚠ Over Budget","✓ Within Budget")</f>
        <v>✓ Within Budget</v>
      </c>
      <c r="CM31" s="21"/>
    </row>
    <row r="32" customFormat="false" ht="14.25" hidden="false" customHeight="false" outlineLevel="0" collapsed="false">
      <c r="A32" s="22" t="s">
        <v>99</v>
      </c>
      <c r="B32" s="22" t="n">
        <v>2024</v>
      </c>
      <c r="C32" s="22" t="n">
        <v>19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19</v>
      </c>
      <c r="T32" s="22" t="n">
        <v>6</v>
      </c>
      <c r="U32" s="22" t="n">
        <v>13</v>
      </c>
      <c r="V32" s="22" t="n">
        <v>19</v>
      </c>
      <c r="W32" s="22" t="n">
        <v>0</v>
      </c>
      <c r="X32" s="22" t="n">
        <v>2</v>
      </c>
      <c r="Y32" s="22" t="n">
        <v>6</v>
      </c>
      <c r="Z32" s="22" t="n">
        <v>7</v>
      </c>
      <c r="AA32" s="22" t="n">
        <v>3</v>
      </c>
      <c r="AB32" s="22" t="n">
        <v>1</v>
      </c>
      <c r="AC32" s="22" t="n">
        <v>1</v>
      </c>
      <c r="AD32" s="23" t="n">
        <v>0</v>
      </c>
      <c r="AE32" s="23" t="n">
        <v>0</v>
      </c>
      <c r="AF32" s="24" t="n">
        <v>61.4</v>
      </c>
      <c r="AG32" s="25" t="n">
        <v>571898</v>
      </c>
      <c r="AH32" s="25" t="n">
        <v>863234</v>
      </c>
      <c r="AI32" s="25" t="n">
        <v>1329116</v>
      </c>
      <c r="AJ32" s="25" t="n">
        <v>2027314</v>
      </c>
      <c r="AK32" s="25" t="n">
        <v>3333755</v>
      </c>
      <c r="AL32" s="25" t="n">
        <v>5325809</v>
      </c>
      <c r="AM32" s="25" t="n">
        <v>1947345.8</v>
      </c>
      <c r="AN32" s="25" t="n">
        <v>3993681.67</v>
      </c>
      <c r="AO32" s="25" t="n">
        <v>3732412.78</v>
      </c>
      <c r="AP32" s="25" t="n">
        <v>399368.17</v>
      </c>
      <c r="AQ32" s="25" t="n">
        <v>373241.28</v>
      </c>
      <c r="AR32" s="25" t="n">
        <v>14522.48</v>
      </c>
      <c r="AS32" s="25" t="n">
        <v>0</v>
      </c>
      <c r="AT32" s="25" t="n">
        <v>199684.08</v>
      </c>
      <c r="AU32" s="25" t="n">
        <v>186620.64</v>
      </c>
      <c r="AV32" s="25" t="n">
        <v>43530.7</v>
      </c>
      <c r="AW32" s="25" t="n">
        <v>27799.98</v>
      </c>
      <c r="AX32" s="25" t="n">
        <v>19830.65</v>
      </c>
      <c r="AY32" s="25" t="n">
        <v>18533.32</v>
      </c>
      <c r="AZ32" s="25" t="n">
        <v>11688.82</v>
      </c>
      <c r="BA32" s="25" t="n">
        <v>0</v>
      </c>
      <c r="BB32" s="25" t="n">
        <v>1689.45</v>
      </c>
      <c r="BC32" s="25" t="n">
        <v>0</v>
      </c>
      <c r="BD32" s="25" t="n">
        <v>372.08</v>
      </c>
      <c r="BE32" s="25" t="n">
        <v>0</v>
      </c>
      <c r="BF32" s="25" t="n">
        <f aca="false">SUM(BE32,BC32,BA32,AY32,AW32,AU32,AS32,AQ32,AO32)</f>
        <v>4338608</v>
      </c>
      <c r="BG32" s="25" t="n">
        <v>3290.42</v>
      </c>
      <c r="BH32" s="25" t="n">
        <v>4324.44</v>
      </c>
      <c r="BI32" s="25" t="n">
        <v>18178.1</v>
      </c>
      <c r="BJ32" s="25" t="n">
        <v>16988.88</v>
      </c>
      <c r="BK32" s="25" t="n">
        <v>13220.44</v>
      </c>
      <c r="BL32" s="25" t="n">
        <v>12355.55</v>
      </c>
      <c r="BM32" s="25" t="n">
        <v>23135.76</v>
      </c>
      <c r="BN32" s="25" t="n">
        <v>21622.21</v>
      </c>
      <c r="BO32" s="25" t="n">
        <v>3919.1</v>
      </c>
      <c r="BP32" s="25" t="n">
        <v>0</v>
      </c>
      <c r="BQ32" s="25" t="n">
        <v>160944.44</v>
      </c>
      <c r="BR32" s="25" t="n">
        <v>150415.37</v>
      </c>
      <c r="BS32" s="25" t="n">
        <v>9963.23</v>
      </c>
      <c r="BT32" s="25" t="n">
        <v>7520.77</v>
      </c>
      <c r="BU32" s="25" t="n">
        <v>99842.04</v>
      </c>
      <c r="BV32" s="25" t="n">
        <v>93310.32</v>
      </c>
      <c r="BW32" s="25" t="n">
        <v>11105.17</v>
      </c>
      <c r="BX32" s="25" t="n">
        <v>10811.1</v>
      </c>
      <c r="BY32" s="25" t="n">
        <v>171797.29</v>
      </c>
      <c r="BZ32" s="25" t="n">
        <v>72251.2</v>
      </c>
      <c r="CA32" s="25" t="n">
        <v>9254.31</v>
      </c>
      <c r="CB32" s="25" t="n">
        <v>8648.88</v>
      </c>
      <c r="CC32" s="25" t="n">
        <v>22872.9</v>
      </c>
      <c r="CD32" s="25" t="n">
        <v>39190.33</v>
      </c>
      <c r="CE32" s="25" t="n">
        <v>4792.42</v>
      </c>
      <c r="CF32" s="25" t="n">
        <v>4478.9</v>
      </c>
      <c r="CG32" s="25" t="n">
        <f aca="false">SUM(CF32,CD32,CB32,BZ32,BX32,BV32,BT32,BR32,BP32,BN32,BL32,BJ32,BH32)</f>
        <v>441917.95</v>
      </c>
      <c r="CH32" s="25" t="n">
        <f aca="false">CG32+BF32</f>
        <v>4780525.95</v>
      </c>
      <c r="CI32" s="25" t="n">
        <f aca="false">SUM(CE32,CC32,CA32,BY32,BW32,BU32,BS32,BQ32,BO32,BM32,BK32,BI32,BG32,BD32,BB32,AZ32,AX32,AV32,AT32,AR32,AP32,AN32)</f>
        <v>5236683.72</v>
      </c>
      <c r="CJ32" s="25" t="n">
        <f aca="false">CI32-CH32</f>
        <v>456157.77</v>
      </c>
      <c r="CK32" s="25" t="str">
        <f aca="false">IF(CE32-CF32+CC32-CD32+CA32-CB32+BU32-BV32+BK32-BL32+BI32-BJ32 &gt; 0, CE32-CF32+CC32-CD32+CA32-CB32+BU32-BV32+BK32-BL32+BI32-BJ32, "-")</f>
        <v>-</v>
      </c>
      <c r="CL32" s="25" t="str">
        <f aca="false">IF(CJ32&lt;0,"⚠ Over Budget","✓ Within Budget")</f>
        <v>✓ Within Budget</v>
      </c>
      <c r="CM32" s="27"/>
    </row>
    <row r="33" customFormat="false" ht="14.25" hidden="false" customHeight="false" outlineLevel="0" collapsed="false">
      <c r="A33" s="16" t="s">
        <v>100</v>
      </c>
      <c r="B33" s="16" t="n">
        <v>2024</v>
      </c>
      <c r="C33" s="16" t="n">
        <v>19</v>
      </c>
      <c r="D33" s="16" t="n">
        <v>1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1</v>
      </c>
      <c r="J33" s="16" t="n">
        <v>1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20</v>
      </c>
      <c r="T33" s="16" t="n">
        <v>6</v>
      </c>
      <c r="U33" s="16" t="n">
        <v>14</v>
      </c>
      <c r="V33" s="16" t="n">
        <v>20</v>
      </c>
      <c r="W33" s="16" t="n">
        <v>0</v>
      </c>
      <c r="X33" s="16" t="n">
        <v>2</v>
      </c>
      <c r="Y33" s="16" t="n">
        <v>6</v>
      </c>
      <c r="Z33" s="16" t="n">
        <v>7</v>
      </c>
      <c r="AA33" s="16" t="n">
        <v>4</v>
      </c>
      <c r="AB33" s="16" t="n">
        <v>1</v>
      </c>
      <c r="AC33" s="16" t="n">
        <v>1</v>
      </c>
      <c r="AD33" s="17" t="n">
        <v>0</v>
      </c>
      <c r="AE33" s="17" t="n">
        <v>0</v>
      </c>
      <c r="AF33" s="18" t="n">
        <v>61.9</v>
      </c>
      <c r="AG33" s="19" t="n">
        <v>571898</v>
      </c>
      <c r="AH33" s="19" t="n">
        <v>863234</v>
      </c>
      <c r="AI33" s="19" t="n">
        <v>1329116</v>
      </c>
      <c r="AJ33" s="19" t="n">
        <v>2027314</v>
      </c>
      <c r="AK33" s="19" t="n">
        <v>3333755</v>
      </c>
      <c r="AL33" s="19" t="n">
        <v>5325809</v>
      </c>
      <c r="AM33" s="19" t="n">
        <v>1947345.8</v>
      </c>
      <c r="AN33" s="19" t="n">
        <v>3993681.67</v>
      </c>
      <c r="AO33" s="19" t="n">
        <v>3732412.78</v>
      </c>
      <c r="AP33" s="19" t="n">
        <v>399368.17</v>
      </c>
      <c r="AQ33" s="19" t="n">
        <v>373241.28</v>
      </c>
      <c r="AR33" s="19" t="n">
        <v>14522.48</v>
      </c>
      <c r="AS33" s="19" t="n">
        <v>0</v>
      </c>
      <c r="AT33" s="19" t="n">
        <v>199684.08</v>
      </c>
      <c r="AU33" s="19" t="n">
        <v>186620.64</v>
      </c>
      <c r="AV33" s="19" t="n">
        <v>34824.56</v>
      </c>
      <c r="AW33" s="19" t="n">
        <v>27799.98</v>
      </c>
      <c r="AX33" s="19" t="n">
        <v>19830.65</v>
      </c>
      <c r="AY33" s="19" t="n">
        <v>18533.32</v>
      </c>
      <c r="AZ33" s="19" t="n">
        <v>9740.69</v>
      </c>
      <c r="BA33" s="19" t="n">
        <v>0</v>
      </c>
      <c r="BB33" s="19" t="n">
        <v>2815.76</v>
      </c>
      <c r="BC33" s="19" t="n">
        <v>0</v>
      </c>
      <c r="BD33" s="19" t="n">
        <v>558.12</v>
      </c>
      <c r="BE33" s="19" t="n">
        <v>0</v>
      </c>
      <c r="BF33" s="19" t="n">
        <f aca="false">SUM(BE33,BC33,BA33,AY33,AW33,AU33,AS33,AQ33,AO33)</f>
        <v>4338608</v>
      </c>
      <c r="BG33" s="19" t="n">
        <v>2467.81</v>
      </c>
      <c r="BH33" s="19" t="n">
        <v>4324.44</v>
      </c>
      <c r="BI33" s="19" t="n">
        <v>18178.1</v>
      </c>
      <c r="BJ33" s="19" t="n">
        <v>16988.88</v>
      </c>
      <c r="BK33" s="19" t="n">
        <v>13220.44</v>
      </c>
      <c r="BL33" s="19" t="n">
        <v>12355.55</v>
      </c>
      <c r="BM33" s="19" t="n">
        <v>23135.76</v>
      </c>
      <c r="BN33" s="19" t="n">
        <v>21622.21</v>
      </c>
      <c r="BO33" s="19" t="n">
        <v>19595.51</v>
      </c>
      <c r="BP33" s="19" t="n">
        <v>0</v>
      </c>
      <c r="BQ33" s="19" t="n">
        <v>160944.44</v>
      </c>
      <c r="BR33" s="19" t="n">
        <v>150415.37</v>
      </c>
      <c r="BS33" s="19" t="n">
        <v>9963.23</v>
      </c>
      <c r="BT33" s="19" t="n">
        <v>7520.77</v>
      </c>
      <c r="BU33" s="19" t="n">
        <v>99842.04</v>
      </c>
      <c r="BV33" s="19" t="n">
        <v>93310.32</v>
      </c>
      <c r="BW33" s="19" t="n">
        <v>5552.58</v>
      </c>
      <c r="BX33" s="19" t="n">
        <v>10811.1</v>
      </c>
      <c r="BY33" s="19" t="n">
        <v>5875.75</v>
      </c>
      <c r="BZ33" s="19" t="n">
        <v>12355.55</v>
      </c>
      <c r="CA33" s="19" t="n">
        <v>9254.31</v>
      </c>
      <c r="CB33" s="19" t="n">
        <v>8648.88</v>
      </c>
      <c r="CC33" s="19" t="n">
        <v>22872.9</v>
      </c>
      <c r="CD33" s="19" t="n">
        <v>39190.33</v>
      </c>
      <c r="CE33" s="19" t="n">
        <v>4792.42</v>
      </c>
      <c r="CF33" s="19" t="n">
        <v>4478.9</v>
      </c>
      <c r="CG33" s="19" t="n">
        <f aca="false">SUM(CF33,CD33,CB33,BZ33,BX33,BV33,BT33,BR33,BP33,BN33,BL33,BJ33,BH33)</f>
        <v>382022.3</v>
      </c>
      <c r="CH33" s="19" t="n">
        <f aca="false">CG33+BF33</f>
        <v>4720630.3</v>
      </c>
      <c r="CI33" s="19" t="n">
        <f aca="false">SUM(CE33,CC33,CA33,BY33,BW33,BU33,BS33,BQ33,BO33,BM33,BK33,BI33,BG33,BD33,BB33,AZ33,AX33,AV33,AT33,AR33,AP33,AN33)</f>
        <v>5070721.47</v>
      </c>
      <c r="CJ33" s="19" t="n">
        <f aca="false">CI33-CH33</f>
        <v>350091.17</v>
      </c>
      <c r="CK33" s="19" t="str">
        <f aca="false">IF(CE33-CF33+CC33-CD33+CA33-CB33+BU33-BV33+BK33-BL33+BI33-BJ33 &gt; 0, CE33-CF33+CC33-CD33+CA33-CB33+BU33-BV33+BK33-BL33+BI33-BJ33, "-")</f>
        <v>-</v>
      </c>
      <c r="CL33" s="19" t="str">
        <f aca="false">IF(CJ33&lt;0,"⚠ Over Budget","✓ Within Budget")</f>
        <v>✓ Within Budget</v>
      </c>
      <c r="CM33" s="21"/>
    </row>
    <row r="34" customFormat="false" ht="14.25" hidden="false" customHeight="false" outlineLevel="0" collapsed="false">
      <c r="A34" s="22" t="s">
        <v>101</v>
      </c>
      <c r="B34" s="22" t="n">
        <v>2024</v>
      </c>
      <c r="C34" s="22" t="n">
        <v>20</v>
      </c>
      <c r="D34" s="22" t="n">
        <v>0</v>
      </c>
      <c r="E34" s="22" t="n">
        <v>1</v>
      </c>
      <c r="F34" s="22" t="n">
        <v>1</v>
      </c>
      <c r="G34" s="22" t="n">
        <v>0</v>
      </c>
      <c r="H34" s="22" t="n">
        <v>0</v>
      </c>
      <c r="I34" s="22" t="n">
        <v>0</v>
      </c>
      <c r="J34" s="22" t="n">
        <v>2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22</v>
      </c>
      <c r="T34" s="22" t="n">
        <v>7</v>
      </c>
      <c r="U34" s="22" t="n">
        <v>15</v>
      </c>
      <c r="V34" s="22" t="n">
        <v>22</v>
      </c>
      <c r="W34" s="22" t="n">
        <v>0</v>
      </c>
      <c r="X34" s="22" t="n">
        <v>2</v>
      </c>
      <c r="Y34" s="22" t="n">
        <v>7</v>
      </c>
      <c r="Z34" s="22" t="n">
        <v>8</v>
      </c>
      <c r="AA34" s="22" t="n">
        <v>4</v>
      </c>
      <c r="AB34" s="22" t="n">
        <v>1</v>
      </c>
      <c r="AC34" s="22" t="n">
        <v>1</v>
      </c>
      <c r="AD34" s="23" t="n">
        <v>0</v>
      </c>
      <c r="AE34" s="23" t="n">
        <v>0</v>
      </c>
      <c r="AF34" s="24" t="n">
        <v>62.3</v>
      </c>
      <c r="AG34" s="25" t="n">
        <v>571898</v>
      </c>
      <c r="AH34" s="25" t="n">
        <v>863234</v>
      </c>
      <c r="AI34" s="25" t="n">
        <v>1329116</v>
      </c>
      <c r="AJ34" s="25" t="n">
        <v>2027314</v>
      </c>
      <c r="AK34" s="25" t="n">
        <v>3333755</v>
      </c>
      <c r="AL34" s="25" t="n">
        <v>5325809</v>
      </c>
      <c r="AM34" s="25" t="n">
        <v>1947345.8</v>
      </c>
      <c r="AN34" s="25" t="n">
        <v>3993681.67</v>
      </c>
      <c r="AO34" s="25" t="n">
        <v>3732412.78</v>
      </c>
      <c r="AP34" s="25" t="n">
        <v>399368.17</v>
      </c>
      <c r="AQ34" s="25" t="n">
        <v>373241.28</v>
      </c>
      <c r="AR34" s="25" t="n">
        <v>14522.48</v>
      </c>
      <c r="AS34" s="25" t="n">
        <v>0</v>
      </c>
      <c r="AT34" s="25" t="n">
        <v>199684.08</v>
      </c>
      <c r="AU34" s="25" t="n">
        <v>186620.64</v>
      </c>
      <c r="AV34" s="25" t="n">
        <v>29020.47</v>
      </c>
      <c r="AW34" s="25" t="n">
        <v>27799.98</v>
      </c>
      <c r="AX34" s="25" t="n">
        <v>19830.65</v>
      </c>
      <c r="AY34" s="25" t="n">
        <v>18533.32</v>
      </c>
      <c r="AZ34" s="25" t="n">
        <v>9740.69</v>
      </c>
      <c r="BA34" s="25" t="n">
        <v>0</v>
      </c>
      <c r="BB34" s="25" t="n">
        <v>2815.76</v>
      </c>
      <c r="BC34" s="25" t="n">
        <v>0</v>
      </c>
      <c r="BD34" s="25" t="n">
        <v>558.12</v>
      </c>
      <c r="BE34" s="25" t="n">
        <v>0</v>
      </c>
      <c r="BF34" s="25" t="n">
        <f aca="false">SUM(BE34,BC34,BA34,AY34,AW34,AU34,AS34,AQ34,AO34)</f>
        <v>4338608</v>
      </c>
      <c r="BG34" s="25" t="n">
        <v>13220.44</v>
      </c>
      <c r="BH34" s="25" t="n">
        <v>9266.66</v>
      </c>
      <c r="BI34" s="25" t="n">
        <v>18178.1</v>
      </c>
      <c r="BJ34" s="25" t="n">
        <v>16988.88</v>
      </c>
      <c r="BK34" s="25" t="n">
        <v>13220.44</v>
      </c>
      <c r="BL34" s="25" t="n">
        <v>12355.55</v>
      </c>
      <c r="BM34" s="25" t="n">
        <v>23135.76</v>
      </c>
      <c r="BN34" s="25" t="n">
        <v>21622.21</v>
      </c>
      <c r="BO34" s="25" t="n">
        <v>7838.2</v>
      </c>
      <c r="BP34" s="25" t="n">
        <v>0</v>
      </c>
      <c r="BQ34" s="25" t="n">
        <v>160944.44</v>
      </c>
      <c r="BR34" s="25" t="n">
        <v>150415.37</v>
      </c>
      <c r="BS34" s="25" t="n">
        <v>9963.23</v>
      </c>
      <c r="BT34" s="25" t="n">
        <v>7520.77</v>
      </c>
      <c r="BU34" s="25" t="n">
        <v>99842.04</v>
      </c>
      <c r="BV34" s="25" t="n">
        <v>93310.32</v>
      </c>
      <c r="BW34" s="25" t="n">
        <v>11105.17</v>
      </c>
      <c r="BX34" s="25" t="n">
        <v>10811.1</v>
      </c>
      <c r="BY34" s="25" t="n">
        <v>13791.95</v>
      </c>
      <c r="BZ34" s="25" t="n">
        <v>24168.14</v>
      </c>
      <c r="CA34" s="25" t="n">
        <v>9254.31</v>
      </c>
      <c r="CB34" s="25" t="n">
        <v>8648.88</v>
      </c>
      <c r="CC34" s="25" t="n">
        <v>22872.9</v>
      </c>
      <c r="CD34" s="25" t="n">
        <v>39190.33</v>
      </c>
      <c r="CE34" s="25" t="n">
        <v>4792.42</v>
      </c>
      <c r="CF34" s="25" t="n">
        <v>4478.9</v>
      </c>
      <c r="CG34" s="25" t="n">
        <f aca="false">SUM(CF34,CD34,CB34,BZ34,BX34,BV34,BT34,BR34,BP34,BN34,BL34,BJ34,BH34)</f>
        <v>398777.11</v>
      </c>
      <c r="CH34" s="25" t="n">
        <f aca="false">CG34+BF34</f>
        <v>4737385.11</v>
      </c>
      <c r="CI34" s="25" t="n">
        <f aca="false">SUM(CE34,CC34,CA34,BY34,BW34,BU34,BS34,BQ34,BO34,BM34,BK34,BI34,BG34,BD34,BB34,AZ34,AX34,AV34,AT34,AR34,AP34,AN34)</f>
        <v>5077381.49</v>
      </c>
      <c r="CJ34" s="25" t="n">
        <f aca="false">CI34-CH34</f>
        <v>339996.38</v>
      </c>
      <c r="CK34" s="25" t="str">
        <f aca="false">IF(CE34-CF34+CC34-CD34+CA34-CB34+BU34-BV34+BK34-BL34+BI34-BJ34 &gt; 0, CE34-CF34+CC34-CD34+CA34-CB34+BU34-BV34+BK34-BL34+BI34-BJ34, "-")</f>
        <v>-</v>
      </c>
      <c r="CL34" s="25" t="str">
        <f aca="false">IF(CJ34&lt;0,"⚠ Over Budget","✓ Within Budget")</f>
        <v>✓ Within Budget</v>
      </c>
      <c r="CM34" s="27"/>
    </row>
    <row r="35" customFormat="false" ht="18.75" hidden="false" customHeight="true" outlineLevel="0" collapsed="false">
      <c r="A35" s="28" t="s">
        <v>102</v>
      </c>
      <c r="B35" s="28" t="n">
        <v>2024</v>
      </c>
      <c r="C35" s="28" t="n">
        <v>22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8" t="n">
        <v>0</v>
      </c>
      <c r="K35" s="28" t="n">
        <v>1</v>
      </c>
      <c r="L35" s="28" t="n">
        <v>0</v>
      </c>
      <c r="M35" s="28" t="n">
        <v>0</v>
      </c>
      <c r="N35" s="28" t="n">
        <v>0</v>
      </c>
      <c r="O35" s="28" t="n">
        <v>0</v>
      </c>
      <c r="P35" s="28" t="n">
        <v>1</v>
      </c>
      <c r="Q35" s="28" t="n">
        <v>1</v>
      </c>
      <c r="R35" s="28" t="n">
        <v>0</v>
      </c>
      <c r="S35" s="28" t="n">
        <v>21</v>
      </c>
      <c r="T35" s="28" t="n">
        <v>6</v>
      </c>
      <c r="U35" s="28" t="n">
        <v>15</v>
      </c>
      <c r="V35" s="28" t="n">
        <v>21</v>
      </c>
      <c r="W35" s="28" t="n">
        <v>0</v>
      </c>
      <c r="X35" s="28" t="n">
        <v>2</v>
      </c>
      <c r="Y35" s="28" t="n">
        <v>7</v>
      </c>
      <c r="Z35" s="28" t="n">
        <v>7</v>
      </c>
      <c r="AA35" s="28" t="n">
        <v>4</v>
      </c>
      <c r="AB35" s="28" t="n">
        <v>1</v>
      </c>
      <c r="AC35" s="28" t="n">
        <v>1</v>
      </c>
      <c r="AD35" s="29" t="n">
        <v>0.545455</v>
      </c>
      <c r="AE35" s="29" t="n">
        <v>0</v>
      </c>
      <c r="AF35" s="30" t="n">
        <v>61.7</v>
      </c>
      <c r="AG35" s="31" t="n">
        <v>571898</v>
      </c>
      <c r="AH35" s="31" t="n">
        <v>863234</v>
      </c>
      <c r="AI35" s="31" t="n">
        <v>1329116</v>
      </c>
      <c r="AJ35" s="31" t="n">
        <v>2027314</v>
      </c>
      <c r="AK35" s="31" t="n">
        <v>3333755</v>
      </c>
      <c r="AL35" s="31" t="n">
        <v>5325809</v>
      </c>
      <c r="AM35" s="31" t="n">
        <v>1947345.8</v>
      </c>
      <c r="AN35" s="31" t="n">
        <v>3646405</v>
      </c>
      <c r="AO35" s="31" t="n">
        <v>3407855.14</v>
      </c>
      <c r="AP35" s="31" t="n">
        <v>364640.5</v>
      </c>
      <c r="AQ35" s="31" t="n">
        <v>340785.51</v>
      </c>
      <c r="AR35" s="31" t="n">
        <v>13259.65</v>
      </c>
      <c r="AS35" s="31" t="n">
        <v>0</v>
      </c>
      <c r="AT35" s="31" t="n">
        <v>182320.25</v>
      </c>
      <c r="AU35" s="31" t="n">
        <v>170392.76</v>
      </c>
      <c r="AV35" s="31" t="n">
        <v>29146.65</v>
      </c>
      <c r="AW35" s="31" t="n">
        <v>25382.59</v>
      </c>
      <c r="AX35" s="31" t="n">
        <v>18106.25</v>
      </c>
      <c r="AY35" s="31" t="n">
        <v>16921.73</v>
      </c>
      <c r="AZ35" s="31" t="n">
        <v>17787.34</v>
      </c>
      <c r="BA35" s="31" t="n">
        <v>0</v>
      </c>
      <c r="BB35" s="31" t="n">
        <v>1689.45</v>
      </c>
      <c r="BC35" s="31" t="n">
        <v>0</v>
      </c>
      <c r="BD35" s="31" t="n">
        <v>186.04</v>
      </c>
      <c r="BE35" s="31" t="n">
        <v>0</v>
      </c>
      <c r="BF35" s="31" t="n">
        <f aca="false">SUM(BE35,BC35,BA35,AY35,AW35,AU35,AS35,AQ35,AO35)</f>
        <v>3961337.73</v>
      </c>
      <c r="BG35" s="31" t="n">
        <v>17382</v>
      </c>
      <c r="BH35" s="31" t="n">
        <v>10153.04</v>
      </c>
      <c r="BI35" s="31" t="n">
        <v>16597.4</v>
      </c>
      <c r="BJ35" s="31" t="n">
        <v>15511.58</v>
      </c>
      <c r="BK35" s="31" t="n">
        <v>12070.83</v>
      </c>
      <c r="BL35" s="31" t="n">
        <v>11281.15</v>
      </c>
      <c r="BM35" s="31" t="n">
        <v>21123.96</v>
      </c>
      <c r="BN35" s="31" t="n">
        <v>280502.06</v>
      </c>
      <c r="BO35" s="31" t="n">
        <v>3919.1</v>
      </c>
      <c r="BP35" s="31" t="n">
        <v>484268.66</v>
      </c>
      <c r="BQ35" s="31" t="n">
        <v>150885.41</v>
      </c>
      <c r="BR35" s="31" t="n">
        <v>141014.41</v>
      </c>
      <c r="BS35" s="31" t="n">
        <v>7903.52</v>
      </c>
      <c r="BT35" s="31" t="n">
        <v>7050.72</v>
      </c>
      <c r="BU35" s="31" t="n">
        <v>91160.13</v>
      </c>
      <c r="BV35" s="31" t="n">
        <v>85196.38</v>
      </c>
      <c r="BW35" s="31" t="n">
        <v>20279</v>
      </c>
      <c r="BX35" s="31" t="n">
        <v>9871.01</v>
      </c>
      <c r="BY35" s="31" t="n">
        <v>5364.81</v>
      </c>
      <c r="BZ35" s="31" t="n">
        <v>11281.15</v>
      </c>
      <c r="CA35" s="31" t="n">
        <v>8449.58</v>
      </c>
      <c r="CB35" s="31" t="n">
        <v>7896.81</v>
      </c>
      <c r="CC35" s="31" t="n">
        <v>25060.75</v>
      </c>
      <c r="CD35" s="31" t="n">
        <v>35782.48</v>
      </c>
      <c r="CE35" s="31" t="n">
        <v>4375.69</v>
      </c>
      <c r="CF35" s="31" t="n">
        <v>4089.43</v>
      </c>
      <c r="CG35" s="31" t="n">
        <f aca="false">SUM(CF35,CD35,CB35,BZ35,BX35,BV35,BT35,BR35,BP35,BN35,BL35,BJ35,BH35)</f>
        <v>1103898.88</v>
      </c>
      <c r="CH35" s="31" t="n">
        <f aca="false">CG35+BF35</f>
        <v>5065236.61</v>
      </c>
      <c r="CI35" s="31" t="n">
        <f aca="false">SUM(CE35,CC35,CA35,BY35,BW35,BU35,BS35,BQ35,BO35,BM35,BK35,BI35,BG35,BD35,BB35,AZ35,AX35,AV35,AT35,AR35,AP35,AN35)</f>
        <v>4658113.31</v>
      </c>
      <c r="CJ35" s="31" t="n">
        <f aca="false">CI35-CH35</f>
        <v>-407123.3</v>
      </c>
      <c r="CK35" s="31" t="str">
        <f aca="false">IF(CE35-CF35+CC35-CD35+CA35-CB35+BU35-BV35+BK35-BL35+BI35-BJ35 &gt; 0, CE35-CF35+CC35-CD35+CA35-CB35+BU35-BV35+BK35-BL35+BI35-BJ35, "-")</f>
        <v>-</v>
      </c>
      <c r="CL35" s="31" t="str">
        <f aca="false">IF(CJ35&lt;0,"⚠ Over Budget","✓ Within Budget")</f>
        <v>⚠ Over Budget</v>
      </c>
      <c r="CM35" s="33" t="s">
        <v>117</v>
      </c>
    </row>
    <row r="36" customFormat="false" ht="14.25" hidden="false" customHeight="false" outlineLevel="0" collapsed="false">
      <c r="A36" s="28" t="s">
        <v>103</v>
      </c>
      <c r="B36" s="28" t="n">
        <v>2024</v>
      </c>
      <c r="C36" s="28" t="n">
        <v>21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0</v>
      </c>
      <c r="M36" s="28" t="n">
        <v>0</v>
      </c>
      <c r="N36" s="28" t="n">
        <v>0</v>
      </c>
      <c r="O36" s="28" t="n">
        <v>0</v>
      </c>
      <c r="P36" s="28" t="n">
        <v>0</v>
      </c>
      <c r="Q36" s="28" t="n">
        <v>0</v>
      </c>
      <c r="R36" s="28" t="n">
        <v>0</v>
      </c>
      <c r="S36" s="28" t="n">
        <v>21</v>
      </c>
      <c r="T36" s="28" t="n">
        <v>6</v>
      </c>
      <c r="U36" s="28" t="n">
        <v>15</v>
      </c>
      <c r="V36" s="28" t="n">
        <v>21</v>
      </c>
      <c r="W36" s="28" t="n">
        <v>0</v>
      </c>
      <c r="X36" s="28" t="n">
        <v>2</v>
      </c>
      <c r="Y36" s="28" t="n">
        <v>7</v>
      </c>
      <c r="Z36" s="28" t="n">
        <v>7</v>
      </c>
      <c r="AA36" s="28" t="n">
        <v>4</v>
      </c>
      <c r="AB36" s="28" t="n">
        <v>1</v>
      </c>
      <c r="AC36" s="28" t="n">
        <v>1</v>
      </c>
      <c r="AD36" s="29" t="n">
        <v>0</v>
      </c>
      <c r="AE36" s="29" t="n">
        <v>0.0140099994340266</v>
      </c>
      <c r="AF36" s="30" t="n">
        <v>60.9</v>
      </c>
      <c r="AG36" s="31" t="n">
        <v>580902</v>
      </c>
      <c r="AH36" s="31" t="n">
        <v>877010</v>
      </c>
      <c r="AI36" s="31" t="n">
        <v>1345905</v>
      </c>
      <c r="AJ36" s="31" t="n">
        <v>2055850</v>
      </c>
      <c r="AK36" s="31" t="n">
        <v>3368874</v>
      </c>
      <c r="AL36" s="31" t="n">
        <v>5383294</v>
      </c>
      <c r="AM36" s="31" t="n">
        <v>1973212.34</v>
      </c>
      <c r="AN36" s="31" t="n">
        <v>3694840.1</v>
      </c>
      <c r="AO36" s="31" t="n">
        <v>3453121.59</v>
      </c>
      <c r="AP36" s="31" t="n">
        <v>369484.01</v>
      </c>
      <c r="AQ36" s="31" t="n">
        <v>345312.16</v>
      </c>
      <c r="AR36" s="31" t="n">
        <v>429945.03</v>
      </c>
      <c r="AS36" s="31" t="n">
        <v>1279265.25</v>
      </c>
      <c r="AT36" s="31" t="n">
        <v>184742.01</v>
      </c>
      <c r="AU36" s="31" t="n">
        <v>172656.08</v>
      </c>
      <c r="AV36" s="31" t="n">
        <v>23847.26</v>
      </c>
      <c r="AW36" s="31" t="n">
        <v>25382.59</v>
      </c>
      <c r="AX36" s="31" t="n">
        <v>18106.25</v>
      </c>
      <c r="AY36" s="31" t="n">
        <v>16921.73</v>
      </c>
      <c r="AZ36" s="31" t="n">
        <v>36047.22</v>
      </c>
      <c r="BA36" s="31" t="n">
        <v>489060.17</v>
      </c>
      <c r="BB36" s="31" t="n">
        <v>1711.9</v>
      </c>
      <c r="BC36" s="31" t="n">
        <v>0</v>
      </c>
      <c r="BD36" s="31" t="n">
        <v>188.51</v>
      </c>
      <c r="BE36" s="31" t="n">
        <v>0</v>
      </c>
      <c r="BF36" s="31" t="n">
        <f aca="false">SUM(BE36,BC36,BA36,AY36,AW36,AU36,AS36,AQ36,AO36)</f>
        <v>5781719.57</v>
      </c>
      <c r="BG36" s="31" t="n">
        <v>10515.04</v>
      </c>
      <c r="BH36" s="31" t="n">
        <v>7896.81</v>
      </c>
      <c r="BI36" s="31" t="n">
        <v>16597.4</v>
      </c>
      <c r="BJ36" s="31" t="n">
        <v>15511.58</v>
      </c>
      <c r="BK36" s="31" t="n">
        <v>12070.83</v>
      </c>
      <c r="BL36" s="31" t="n">
        <v>11281.15</v>
      </c>
      <c r="BM36" s="31" t="n">
        <v>21123.96</v>
      </c>
      <c r="BN36" s="31" t="n">
        <v>19742.02</v>
      </c>
      <c r="BO36" s="31" t="n">
        <v>3919.1</v>
      </c>
      <c r="BP36" s="31" t="n">
        <v>0</v>
      </c>
      <c r="BQ36" s="31" t="n">
        <v>150885.41</v>
      </c>
      <c r="BR36" s="31" t="n">
        <v>141014.41</v>
      </c>
      <c r="BS36" s="31" t="n">
        <v>7185.02</v>
      </c>
      <c r="BT36" s="31" t="n">
        <v>7050.72</v>
      </c>
      <c r="BU36" s="31" t="n">
        <v>92371</v>
      </c>
      <c r="BV36" s="31" t="n">
        <v>86328.04</v>
      </c>
      <c r="BW36" s="31" t="n">
        <v>15209.25</v>
      </c>
      <c r="BX36" s="31" t="n">
        <v>9871.01</v>
      </c>
      <c r="BY36" s="31" t="n">
        <v>223693.67</v>
      </c>
      <c r="BZ36" s="31" t="n">
        <v>73497.48</v>
      </c>
      <c r="CA36" s="31" t="n">
        <v>8449.58</v>
      </c>
      <c r="CB36" s="31" t="n">
        <v>7896.81</v>
      </c>
      <c r="CC36" s="31" t="n">
        <v>33858.17</v>
      </c>
      <c r="CD36" s="31" t="n">
        <v>36257.78</v>
      </c>
      <c r="CE36" s="31" t="n">
        <v>4433.81</v>
      </c>
      <c r="CF36" s="31" t="n">
        <v>4143.75</v>
      </c>
      <c r="CG36" s="31" t="n">
        <f aca="false">SUM(CF36,CD36,CB36,BZ36,BX36,BV36,BT36,BR36,BP36,BN36,BL36,BJ36,BH36)</f>
        <v>420491.56</v>
      </c>
      <c r="CH36" s="31" t="n">
        <f aca="false">CG36+BF36</f>
        <v>6202211.13</v>
      </c>
      <c r="CI36" s="31" t="n">
        <f aca="false">SUM(CE36,CC36,CA36,BY36,BW36,BU36,BS36,BQ36,BO36,BM36,BK36,BI36,BG36,BD36,BB36,AZ36,AX36,AV36,AT36,AR36,AP36,AN36)</f>
        <v>5359224.53</v>
      </c>
      <c r="CJ36" s="31" t="n">
        <f aca="false">CI36-CH36</f>
        <v>-842986.599999999</v>
      </c>
      <c r="CK36" s="31" t="n">
        <f aca="false">IF(CE36-CF36+CC36-CD36+CA36-CB36+BU36-BV36+BK36-BL36+BI36-BJ36 &gt; 0, CE36-CF36+CC36-CD36+CA36-CB36+BU36-BV36+BK36-BL36+BI36-BJ36, "-")</f>
        <v>6361.68000000001</v>
      </c>
      <c r="CL36" s="31" t="str">
        <f aca="false">IF(CJ36&lt;0,"⚠ Over Budget","✓ Within Budget")</f>
        <v>⚠ Over Budget</v>
      </c>
      <c r="CM36" s="33" t="s">
        <v>111</v>
      </c>
    </row>
    <row r="37" customFormat="false" ht="18.75" hidden="false" customHeight="true" outlineLevel="0" collapsed="false">
      <c r="A37" s="28" t="s">
        <v>104</v>
      </c>
      <c r="B37" s="28" t="n">
        <v>2024</v>
      </c>
      <c r="C37" s="28" t="n">
        <v>21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</v>
      </c>
      <c r="O37" s="28" t="n">
        <v>0</v>
      </c>
      <c r="P37" s="28" t="n">
        <v>0</v>
      </c>
      <c r="Q37" s="28" t="n">
        <v>0</v>
      </c>
      <c r="R37" s="28" t="n">
        <v>0</v>
      </c>
      <c r="S37" s="28" t="n">
        <v>21</v>
      </c>
      <c r="T37" s="28" t="n">
        <v>6</v>
      </c>
      <c r="U37" s="28" t="n">
        <v>15</v>
      </c>
      <c r="V37" s="28" t="n">
        <v>21</v>
      </c>
      <c r="W37" s="28" t="n">
        <v>0</v>
      </c>
      <c r="X37" s="28" t="n">
        <v>2</v>
      </c>
      <c r="Y37" s="28" t="n">
        <v>7</v>
      </c>
      <c r="Z37" s="28" t="n">
        <v>7</v>
      </c>
      <c r="AA37" s="28" t="n">
        <v>4</v>
      </c>
      <c r="AB37" s="28" t="n">
        <v>1</v>
      </c>
      <c r="AC37" s="28" t="n">
        <v>1</v>
      </c>
      <c r="AD37" s="29" t="n">
        <v>0</v>
      </c>
      <c r="AE37" s="29" t="n">
        <v>0</v>
      </c>
      <c r="AF37" s="30" t="n">
        <v>60.2</v>
      </c>
      <c r="AG37" s="31" t="n">
        <v>580902</v>
      </c>
      <c r="AH37" s="31" t="n">
        <v>877010</v>
      </c>
      <c r="AI37" s="31" t="n">
        <v>1345905</v>
      </c>
      <c r="AJ37" s="31" t="n">
        <v>2055850</v>
      </c>
      <c r="AK37" s="31" t="n">
        <v>3368874</v>
      </c>
      <c r="AL37" s="31" t="n">
        <v>5383294</v>
      </c>
      <c r="AM37" s="31" t="n">
        <v>1973212.34</v>
      </c>
      <c r="AN37" s="31" t="n">
        <v>3694840.1</v>
      </c>
      <c r="AO37" s="31" t="n">
        <v>3453121.59</v>
      </c>
      <c r="AP37" s="31" t="n">
        <v>369484.01</v>
      </c>
      <c r="AQ37" s="31" t="n">
        <v>345312.16</v>
      </c>
      <c r="AR37" s="31" t="n">
        <v>43666.29</v>
      </c>
      <c r="AS37" s="31" t="n">
        <v>0</v>
      </c>
      <c r="AT37" s="31" t="n">
        <v>184742.01</v>
      </c>
      <c r="AU37" s="31" t="n">
        <v>172656.08</v>
      </c>
      <c r="AV37" s="31" t="n">
        <v>28263.41</v>
      </c>
      <c r="AW37" s="31" t="n">
        <v>33843.46</v>
      </c>
      <c r="AX37" s="31" t="n">
        <v>18106.25</v>
      </c>
      <c r="AY37" s="31" t="n">
        <v>16921.73</v>
      </c>
      <c r="AZ37" s="31" t="n">
        <v>18023.61</v>
      </c>
      <c r="BA37" s="31" t="n">
        <v>0</v>
      </c>
      <c r="BB37" s="31" t="n">
        <v>570.63</v>
      </c>
      <c r="BC37" s="31" t="n">
        <v>0</v>
      </c>
      <c r="BD37" s="31" t="n">
        <v>188.51</v>
      </c>
      <c r="BE37" s="31" t="n">
        <v>0</v>
      </c>
      <c r="BF37" s="31" t="n">
        <f aca="false">SUM(BE37,BC37,BA37,AY37,AW37,AU37,AS37,AQ37,AO37)</f>
        <v>4021855.02</v>
      </c>
      <c r="BG37" s="31" t="n">
        <v>13733.93</v>
      </c>
      <c r="BH37" s="31" t="n">
        <v>9024.92</v>
      </c>
      <c r="BI37" s="31" t="n">
        <v>16597.4</v>
      </c>
      <c r="BJ37" s="31" t="n">
        <v>15511.58</v>
      </c>
      <c r="BK37" s="31" t="n">
        <v>12070.83</v>
      </c>
      <c r="BL37" s="31" t="n">
        <v>11281.15</v>
      </c>
      <c r="BM37" s="31" t="n">
        <v>21123.96</v>
      </c>
      <c r="BN37" s="31" t="n">
        <v>19742.02</v>
      </c>
      <c r="BO37" s="31" t="n">
        <v>3919.1</v>
      </c>
      <c r="BP37" s="31" t="n">
        <v>0</v>
      </c>
      <c r="BQ37" s="31" t="n">
        <v>150885.41</v>
      </c>
      <c r="BR37" s="31" t="n">
        <v>141014.41</v>
      </c>
      <c r="BS37" s="31" t="n">
        <v>6466.52</v>
      </c>
      <c r="BT37" s="31" t="n">
        <v>7050.72</v>
      </c>
      <c r="BU37" s="31" t="n">
        <v>92371</v>
      </c>
      <c r="BV37" s="31" t="n">
        <v>86328.04</v>
      </c>
      <c r="BW37" s="31" t="n">
        <v>10139.5</v>
      </c>
      <c r="BX37" s="31" t="n">
        <v>9871.01</v>
      </c>
      <c r="BY37" s="31" t="n">
        <v>52189.05</v>
      </c>
      <c r="BZ37" s="31" t="n">
        <v>794980.38</v>
      </c>
      <c r="CA37" s="31" t="n">
        <v>8449.58</v>
      </c>
      <c r="CB37" s="31" t="n">
        <v>7896.81</v>
      </c>
      <c r="CC37" s="31" t="n">
        <v>33858.17</v>
      </c>
      <c r="CD37" s="31" t="n">
        <v>36257.78</v>
      </c>
      <c r="CE37" s="31" t="n">
        <v>4433.81</v>
      </c>
      <c r="CF37" s="31" t="n">
        <v>4143.75</v>
      </c>
      <c r="CG37" s="31" t="n">
        <f aca="false">SUM(CF37,CD37,CB37,BZ37,BX37,BV37,BT37,BR37,BP37,BN37,BL37,BJ37,BH37)</f>
        <v>1143102.57</v>
      </c>
      <c r="CH37" s="31" t="n">
        <f aca="false">CG37+BF37</f>
        <v>5164957.59</v>
      </c>
      <c r="CI37" s="31" t="n">
        <f aca="false">SUM(CE37,CC37,CA37,BY37,BW37,BU37,BS37,BQ37,BO37,BM37,BK37,BI37,BG37,BD37,BB37,AZ37,AX37,AV37,AT37,AR37,AP37,AN37)</f>
        <v>4784123.08</v>
      </c>
      <c r="CJ37" s="31" t="n">
        <f aca="false">CI37-CH37</f>
        <v>-380834.51</v>
      </c>
      <c r="CK37" s="31" t="n">
        <f aca="false">IF(CE37-CF37+CC37-CD37+CA37-CB37+BU37-BV37+BK37-BL37+BI37-BJ37 &gt; 0, CE37-CF37+CC37-CD37+CA37-CB37+BU37-BV37+BK37-BL37+BI37-BJ37, "-")</f>
        <v>6361.68000000001</v>
      </c>
      <c r="CL37" s="31" t="str">
        <f aca="false">IF(CJ37&lt;0,"⚠ Over Budget","✓ Within Budget")</f>
        <v>⚠ Over Budget</v>
      </c>
      <c r="CM37" s="33" t="s">
        <v>109</v>
      </c>
    </row>
    <row r="38" customFormat="false" ht="14.25" hidden="false" customHeight="false" outlineLevel="0" collapsed="false">
      <c r="A38" s="22" t="s">
        <v>105</v>
      </c>
      <c r="B38" s="22" t="n">
        <v>2024</v>
      </c>
      <c r="C38" s="22" t="n">
        <v>21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</v>
      </c>
      <c r="S38" s="22" t="n">
        <v>20</v>
      </c>
      <c r="T38" s="22" t="n">
        <v>6</v>
      </c>
      <c r="U38" s="22" t="n">
        <v>14</v>
      </c>
      <c r="V38" s="22" t="n">
        <v>20</v>
      </c>
      <c r="W38" s="22" t="n">
        <v>0</v>
      </c>
      <c r="X38" s="22" t="n">
        <v>2</v>
      </c>
      <c r="Y38" s="22" t="n">
        <v>6</v>
      </c>
      <c r="Z38" s="22" t="n">
        <v>7</v>
      </c>
      <c r="AA38" s="22" t="n">
        <v>4</v>
      </c>
      <c r="AB38" s="22" t="n">
        <v>1</v>
      </c>
      <c r="AC38" s="22" t="n">
        <v>1</v>
      </c>
      <c r="AD38" s="23" t="n">
        <v>0</v>
      </c>
      <c r="AE38" s="23" t="n">
        <v>0</v>
      </c>
      <c r="AF38" s="24" t="n">
        <v>59.8</v>
      </c>
      <c r="AG38" s="25" t="n">
        <v>580902</v>
      </c>
      <c r="AH38" s="25" t="n">
        <v>877010</v>
      </c>
      <c r="AI38" s="25" t="n">
        <v>1345905</v>
      </c>
      <c r="AJ38" s="25" t="n">
        <v>2055850</v>
      </c>
      <c r="AK38" s="25" t="n">
        <v>3368874</v>
      </c>
      <c r="AL38" s="25" t="n">
        <v>5383294</v>
      </c>
      <c r="AM38" s="25" t="n">
        <v>1973212.34</v>
      </c>
      <c r="AN38" s="25" t="n">
        <v>3694840.1</v>
      </c>
      <c r="AO38" s="25" t="n">
        <v>3453121.59</v>
      </c>
      <c r="AP38" s="25" t="n">
        <v>369484.01</v>
      </c>
      <c r="AQ38" s="25" t="n">
        <v>345312.16</v>
      </c>
      <c r="AR38" s="25" t="n">
        <v>1612293.86</v>
      </c>
      <c r="AS38" s="25" t="n">
        <v>345312.16</v>
      </c>
      <c r="AT38" s="25" t="n">
        <v>184742.01</v>
      </c>
      <c r="AU38" s="25" t="n">
        <v>172656.08</v>
      </c>
      <c r="AV38" s="25" t="n">
        <v>24730.49</v>
      </c>
      <c r="AW38" s="25" t="n">
        <v>33843.46</v>
      </c>
      <c r="AX38" s="25" t="n">
        <v>18106.25</v>
      </c>
      <c r="AY38" s="25" t="n">
        <v>16921.73</v>
      </c>
      <c r="AZ38" s="25" t="n">
        <v>27035.42</v>
      </c>
      <c r="BA38" s="25" t="n">
        <v>0</v>
      </c>
      <c r="BB38" s="25" t="n">
        <v>570.63</v>
      </c>
      <c r="BC38" s="25" t="n">
        <v>0</v>
      </c>
      <c r="BD38" s="25" t="n">
        <v>188.51</v>
      </c>
      <c r="BE38" s="25" t="n">
        <v>0</v>
      </c>
      <c r="BF38" s="25" t="n">
        <f aca="false">SUM(BE38,BC38,BA38,AY38,AW38,AU38,AS38,AQ38,AO38)</f>
        <v>4367167.18</v>
      </c>
      <c r="BG38" s="25" t="n">
        <v>2253.22</v>
      </c>
      <c r="BH38" s="25" t="n">
        <v>3948.4</v>
      </c>
      <c r="BI38" s="25" t="n">
        <v>16597.4</v>
      </c>
      <c r="BJ38" s="25" t="n">
        <v>15511.58</v>
      </c>
      <c r="BK38" s="25" t="n">
        <v>12070.83</v>
      </c>
      <c r="BL38" s="25" t="n">
        <v>11281.15</v>
      </c>
      <c r="BM38" s="25" t="n">
        <v>21123.96</v>
      </c>
      <c r="BN38" s="25" t="n">
        <v>19742.02</v>
      </c>
      <c r="BO38" s="25" t="n">
        <v>3919.1</v>
      </c>
      <c r="BP38" s="25" t="n">
        <v>0</v>
      </c>
      <c r="BQ38" s="25" t="n">
        <v>150885.41</v>
      </c>
      <c r="BR38" s="25" t="n">
        <v>141014.41</v>
      </c>
      <c r="BS38" s="25" t="n">
        <v>5748.02</v>
      </c>
      <c r="BT38" s="25" t="n">
        <v>7050.72</v>
      </c>
      <c r="BU38" s="25" t="n">
        <v>92371</v>
      </c>
      <c r="BV38" s="25" t="n">
        <v>86328.04</v>
      </c>
      <c r="BW38" s="25" t="n">
        <v>5069.75</v>
      </c>
      <c r="BX38" s="25" t="n">
        <v>9871.01</v>
      </c>
      <c r="BY38" s="25" t="n">
        <v>59292.6</v>
      </c>
      <c r="BZ38" s="25" t="n">
        <v>41560.24</v>
      </c>
      <c r="CA38" s="25" t="n">
        <v>8449.58</v>
      </c>
      <c r="CB38" s="25" t="n">
        <v>7896.81</v>
      </c>
      <c r="CC38" s="25" t="n">
        <v>21161.36</v>
      </c>
      <c r="CD38" s="25" t="n">
        <v>36257.78</v>
      </c>
      <c r="CE38" s="25" t="n">
        <v>4433.81</v>
      </c>
      <c r="CF38" s="25" t="n">
        <v>4143.75</v>
      </c>
      <c r="CG38" s="25" t="n">
        <f aca="false">SUM(CF38,CD38,CB38,BZ38,BX38,BV38,BT38,BR38,BP38,BN38,BL38,BJ38,BH38)</f>
        <v>384605.91</v>
      </c>
      <c r="CH38" s="25" t="n">
        <f aca="false">CG38+BF38</f>
        <v>4751773.09</v>
      </c>
      <c r="CI38" s="25" t="n">
        <f aca="false">SUM(CE38,CC38,CA38,BY38,BW38,BU38,BS38,BQ38,BO38,BM38,BK38,BI38,BG38,BD38,BB38,AZ38,AX38,AV38,AT38,AR38,AP38,AN38)</f>
        <v>6335367.32</v>
      </c>
      <c r="CJ38" s="25" t="n">
        <f aca="false">CI38-CH38</f>
        <v>1583594.23</v>
      </c>
      <c r="CK38" s="25" t="str">
        <f aca="false">IF(CE38-CF38+CC38-CD38+CA38-CB38+BU38-BV38+BK38-BL38+BI38-BJ38 &gt; 0, CE38-CF38+CC38-CD38+CA38-CB38+BU38-BV38+BK38-BL38+BI38-BJ38, "-")</f>
        <v>-</v>
      </c>
      <c r="CL38" s="25" t="str">
        <f aca="false">IF(CJ38&lt;0,"⚠ Over Budget","✓ Within Budget")</f>
        <v>✓ Within Budget</v>
      </c>
      <c r="CM38" s="27"/>
    </row>
    <row r="39" customFormat="false" ht="14.25" hidden="false" customHeight="false" outlineLevel="0" collapsed="false">
      <c r="A39" s="16" t="s">
        <v>92</v>
      </c>
      <c r="B39" s="16" t="n">
        <v>2025</v>
      </c>
      <c r="C39" s="16" t="n">
        <v>20</v>
      </c>
      <c r="D39" s="16" t="n">
        <v>0</v>
      </c>
      <c r="E39" s="16" t="n">
        <v>1</v>
      </c>
      <c r="F39" s="16" t="n">
        <v>1</v>
      </c>
      <c r="G39" s="16" t="n">
        <v>0</v>
      </c>
      <c r="H39" s="16" t="n">
        <v>0</v>
      </c>
      <c r="I39" s="16" t="n">
        <v>0</v>
      </c>
      <c r="J39" s="16" t="n">
        <v>2</v>
      </c>
      <c r="K39" s="16" t="n">
        <v>1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1</v>
      </c>
      <c r="Q39" s="16" t="n">
        <v>1</v>
      </c>
      <c r="R39" s="16" t="n">
        <v>0</v>
      </c>
      <c r="S39" s="16" t="n">
        <v>21</v>
      </c>
      <c r="T39" s="16" t="n">
        <v>6</v>
      </c>
      <c r="U39" s="16" t="n">
        <v>15</v>
      </c>
      <c r="V39" s="16" t="n">
        <v>21</v>
      </c>
      <c r="W39" s="16" t="n">
        <v>0</v>
      </c>
      <c r="X39" s="16" t="n">
        <v>2</v>
      </c>
      <c r="Y39" s="16" t="n">
        <v>7</v>
      </c>
      <c r="Z39" s="16" t="n">
        <v>7</v>
      </c>
      <c r="AA39" s="16" t="n">
        <v>4</v>
      </c>
      <c r="AB39" s="16" t="n">
        <v>1</v>
      </c>
      <c r="AC39" s="16" t="n">
        <v>1</v>
      </c>
      <c r="AD39" s="17" t="n">
        <v>0.6</v>
      </c>
      <c r="AE39" s="17" t="n">
        <v>0</v>
      </c>
      <c r="AF39" s="18" t="n">
        <v>59.4</v>
      </c>
      <c r="AG39" s="19" t="n">
        <v>580902</v>
      </c>
      <c r="AH39" s="19" t="n">
        <v>877010</v>
      </c>
      <c r="AI39" s="19" t="n">
        <v>1345905</v>
      </c>
      <c r="AJ39" s="19" t="n">
        <v>2055850</v>
      </c>
      <c r="AK39" s="19" t="n">
        <v>3368874</v>
      </c>
      <c r="AL39" s="19" t="n">
        <v>5383294</v>
      </c>
      <c r="AM39" s="19" t="n">
        <v>1900069.17</v>
      </c>
      <c r="AN39" s="19" t="n">
        <v>3727302.36</v>
      </c>
      <c r="AO39" s="19" t="n">
        <v>3483460.15</v>
      </c>
      <c r="AP39" s="19" t="n">
        <v>372730.24</v>
      </c>
      <c r="AQ39" s="19" t="n">
        <v>348346.02</v>
      </c>
      <c r="AR39" s="19" t="n">
        <v>60992.22</v>
      </c>
      <c r="AS39" s="19" t="n">
        <v>209007.61</v>
      </c>
      <c r="AT39" s="19" t="n">
        <v>186365.12</v>
      </c>
      <c r="AU39" s="19" t="n">
        <v>174173.01</v>
      </c>
      <c r="AV39" s="19" t="n">
        <v>28511.73</v>
      </c>
      <c r="AW39" s="19" t="n">
        <v>34140.8</v>
      </c>
      <c r="AX39" s="19" t="n">
        <v>18265.33</v>
      </c>
      <c r="AY39" s="19" t="n">
        <v>17070.4</v>
      </c>
      <c r="AZ39" s="19" t="n">
        <v>9090.98</v>
      </c>
      <c r="BA39" s="19" t="n">
        <v>0</v>
      </c>
      <c r="BB39" s="19" t="n">
        <v>5494.79</v>
      </c>
      <c r="BC39" s="19" t="n">
        <v>15833.91</v>
      </c>
      <c r="BD39" s="19" t="n">
        <v>435.66</v>
      </c>
      <c r="BE39" s="19" t="n">
        <v>0</v>
      </c>
      <c r="BF39" s="19" t="n">
        <f aca="false">SUM(BE39,BC39,BA39,AY39,AW39,AU39,AS39,AQ39,AO39)</f>
        <v>4282031.9</v>
      </c>
      <c r="BG39" s="19" t="n">
        <v>1515.35</v>
      </c>
      <c r="BH39" s="19" t="n">
        <v>3983.09</v>
      </c>
      <c r="BI39" s="19" t="n">
        <v>16743.22</v>
      </c>
      <c r="BJ39" s="19" t="n">
        <v>15647.87</v>
      </c>
      <c r="BK39" s="19" t="n">
        <v>12176.89</v>
      </c>
      <c r="BL39" s="19" t="n">
        <v>11380.27</v>
      </c>
      <c r="BM39" s="19" t="n">
        <v>21309.55</v>
      </c>
      <c r="BN39" s="19" t="n">
        <v>19915.47</v>
      </c>
      <c r="BO39" s="19" t="n">
        <v>26416.8</v>
      </c>
      <c r="BP39" s="19" t="n">
        <v>45262.42</v>
      </c>
      <c r="BQ39" s="19" t="n">
        <v>154978.54</v>
      </c>
      <c r="BR39" s="19" t="n">
        <v>144839.76</v>
      </c>
      <c r="BS39" s="19" t="n">
        <v>6641.94</v>
      </c>
      <c r="BT39" s="19" t="n">
        <v>7241.99</v>
      </c>
      <c r="BU39" s="19" t="n">
        <v>93182.56</v>
      </c>
      <c r="BV39" s="19" t="n">
        <v>87086.5</v>
      </c>
      <c r="BW39" s="19" t="n">
        <v>5114.29</v>
      </c>
      <c r="BX39" s="19" t="n">
        <v>9957.73</v>
      </c>
      <c r="BY39" s="19" t="n">
        <v>5411.95</v>
      </c>
      <c r="BZ39" s="19" t="n">
        <v>11380.27</v>
      </c>
      <c r="CA39" s="19" t="n">
        <v>8523.82</v>
      </c>
      <c r="CB39" s="19" t="n">
        <v>7966.19</v>
      </c>
      <c r="CC39" s="19" t="n">
        <v>21347.28</v>
      </c>
      <c r="CD39" s="19" t="n">
        <v>36576.33</v>
      </c>
      <c r="CE39" s="19" t="n">
        <v>4472.76</v>
      </c>
      <c r="CF39" s="19" t="n">
        <v>4180.15</v>
      </c>
      <c r="CG39" s="19" t="n">
        <f aca="false">SUM(CF39,CD39,CB39,BZ39,BX39,BV39,BT39,BR39,BP39,BN39,BL39,BJ39,BH39)</f>
        <v>405418.04</v>
      </c>
      <c r="CH39" s="19" t="n">
        <f aca="false">CG39+BF39</f>
        <v>4687449.94</v>
      </c>
      <c r="CI39" s="19" t="n">
        <f aca="false">SUM(CE39,CC39,CA39,BY39,BW39,BU39,BS39,BQ39,BO39,BM39,BK39,BI39,BG39,BD39,BB39,AZ39,AX39,AV39,AT39,AR39,AP39,AN39)</f>
        <v>4787023.38</v>
      </c>
      <c r="CJ39" s="19" t="n">
        <f aca="false">CI39-CH39</f>
        <v>99573.4399999995</v>
      </c>
      <c r="CK39" s="19" t="str">
        <f aca="false">IF(CE39-CF39+CC39-CD39+CA39-CB39+BU39-BV39+BK39-BL39+BI39-BJ39 &gt; 0, CE39-CF39+CC39-CD39+CA39-CB39+BU39-BV39+BK39-BL39+BI39-BJ39, "-")</f>
        <v>-</v>
      </c>
      <c r="CL39" s="19" t="str">
        <f aca="false">IF(CJ39&lt;0,"⚠ Over Budget","✓ Within Budget")</f>
        <v>✓ Within Budget</v>
      </c>
      <c r="CM39" s="21"/>
    </row>
    <row r="40" customFormat="false" ht="14.25" hidden="false" customHeight="false" outlineLevel="0" collapsed="false">
      <c r="A40" s="22" t="s">
        <v>93</v>
      </c>
      <c r="B40" s="22" t="n">
        <v>2025</v>
      </c>
      <c r="C40" s="22" t="n">
        <v>21</v>
      </c>
      <c r="D40" s="22" t="n">
        <v>1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1</v>
      </c>
      <c r="J40" s="22" t="n">
        <v>1</v>
      </c>
      <c r="K40" s="22" t="n">
        <v>1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1</v>
      </c>
      <c r="Q40" s="22" t="n">
        <v>1</v>
      </c>
      <c r="R40" s="22" t="n">
        <v>1</v>
      </c>
      <c r="S40" s="22" t="n">
        <v>20</v>
      </c>
      <c r="T40" s="22" t="n">
        <v>6</v>
      </c>
      <c r="U40" s="22" t="n">
        <v>14</v>
      </c>
      <c r="V40" s="22" t="n">
        <v>20</v>
      </c>
      <c r="W40" s="22" t="n">
        <v>0</v>
      </c>
      <c r="X40" s="22" t="n">
        <v>2</v>
      </c>
      <c r="Y40" s="22" t="n">
        <v>6</v>
      </c>
      <c r="Z40" s="22" t="n">
        <v>7</v>
      </c>
      <c r="AA40" s="22" t="n">
        <v>4</v>
      </c>
      <c r="AB40" s="22" t="n">
        <v>1</v>
      </c>
      <c r="AC40" s="22" t="n">
        <v>1</v>
      </c>
      <c r="AD40" s="23" t="n">
        <v>0.571429</v>
      </c>
      <c r="AE40" s="23" t="n">
        <v>0</v>
      </c>
      <c r="AF40" s="24" t="n">
        <v>58.9</v>
      </c>
      <c r="AG40" s="25" t="n">
        <v>580902</v>
      </c>
      <c r="AH40" s="25" t="n">
        <v>877010</v>
      </c>
      <c r="AI40" s="25" t="n">
        <v>1345905</v>
      </c>
      <c r="AJ40" s="25" t="n">
        <v>2055850</v>
      </c>
      <c r="AK40" s="25" t="n">
        <v>3368874</v>
      </c>
      <c r="AL40" s="25" t="n">
        <v>5383294</v>
      </c>
      <c r="AM40" s="25" t="n">
        <v>1900069.17</v>
      </c>
      <c r="AN40" s="25" t="n">
        <v>3219033.86</v>
      </c>
      <c r="AO40" s="25" t="n">
        <v>3008442.86</v>
      </c>
      <c r="AP40" s="25" t="n">
        <v>321903.39</v>
      </c>
      <c r="AQ40" s="25" t="n">
        <v>300844.29</v>
      </c>
      <c r="AR40" s="25" t="n">
        <v>8779.18</v>
      </c>
      <c r="AS40" s="25" t="n">
        <v>0</v>
      </c>
      <c r="AT40" s="25" t="n">
        <v>160951.69</v>
      </c>
      <c r="AU40" s="25" t="n">
        <v>150422.14</v>
      </c>
      <c r="AV40" s="25" t="n">
        <v>24623.77</v>
      </c>
      <c r="AW40" s="25" t="n">
        <v>29485.24</v>
      </c>
      <c r="AX40" s="25" t="n">
        <v>15774.6</v>
      </c>
      <c r="AY40" s="25" t="n">
        <v>14742.62</v>
      </c>
      <c r="AZ40" s="25" t="n">
        <v>7851.3</v>
      </c>
      <c r="BA40" s="25" t="n">
        <v>0</v>
      </c>
      <c r="BB40" s="25" t="n">
        <v>1648.44</v>
      </c>
      <c r="BC40" s="25" t="n">
        <v>0</v>
      </c>
      <c r="BD40" s="25" t="n">
        <v>544.57</v>
      </c>
      <c r="BE40" s="25" t="n">
        <v>0</v>
      </c>
      <c r="BF40" s="25" t="n">
        <f aca="false">SUM(BE40,BC40,BA40,AY40,AW40,AU40,AS40,AQ40,AO40)</f>
        <v>3503937.15</v>
      </c>
      <c r="BG40" s="25" t="n">
        <v>1308.71</v>
      </c>
      <c r="BH40" s="25" t="n">
        <v>3439.94</v>
      </c>
      <c r="BI40" s="25" t="n">
        <v>14460.05</v>
      </c>
      <c r="BJ40" s="25" t="n">
        <v>13514.07</v>
      </c>
      <c r="BK40" s="25" t="n">
        <v>10516.4</v>
      </c>
      <c r="BL40" s="25" t="n">
        <v>9828.41</v>
      </c>
      <c r="BM40" s="25" t="n">
        <v>18403.7</v>
      </c>
      <c r="BN40" s="25" t="n">
        <v>17199.72</v>
      </c>
      <c r="BO40" s="25" t="n">
        <v>3773.83</v>
      </c>
      <c r="BP40" s="25" t="n">
        <v>0</v>
      </c>
      <c r="BQ40" s="25" t="n">
        <v>125920.07</v>
      </c>
      <c r="BR40" s="25" t="n">
        <v>117682.3</v>
      </c>
      <c r="BS40" s="25" t="n">
        <v>5396.57</v>
      </c>
      <c r="BT40" s="25" t="n">
        <v>5884.12</v>
      </c>
      <c r="BU40" s="25" t="n">
        <v>80475.85</v>
      </c>
      <c r="BV40" s="25" t="n">
        <v>75211.07</v>
      </c>
      <c r="BW40" s="25" t="n">
        <v>4416.89</v>
      </c>
      <c r="BX40" s="25" t="n">
        <v>8599.86</v>
      </c>
      <c r="BY40" s="25" t="n">
        <v>4673.96</v>
      </c>
      <c r="BZ40" s="25" t="n">
        <v>9828.41</v>
      </c>
      <c r="CA40" s="25" t="n">
        <v>7361.48</v>
      </c>
      <c r="CB40" s="25" t="n">
        <v>6879.89</v>
      </c>
      <c r="CC40" s="25" t="n">
        <v>18436.28</v>
      </c>
      <c r="CD40" s="25" t="n">
        <v>31588.65</v>
      </c>
      <c r="CE40" s="25" t="n">
        <v>3862.84</v>
      </c>
      <c r="CF40" s="25" t="n">
        <v>3610.13</v>
      </c>
      <c r="CG40" s="25" t="n">
        <f aca="false">SUM(CF40,CD40,CB40,BZ40,BX40,BV40,BT40,BR40,BP40,BN40,BL40,BJ40,BH40)</f>
        <v>303266.57</v>
      </c>
      <c r="CH40" s="25" t="n">
        <f aca="false">CG40+BF40</f>
        <v>3807203.72</v>
      </c>
      <c r="CI40" s="25" t="n">
        <f aca="false">SUM(CE40,CC40,CA40,BY40,BW40,BU40,BS40,BQ40,BO40,BM40,BK40,BI40,BG40,BD40,BB40,AZ40,AX40,AV40,AT40,AR40,AP40,AN40)</f>
        <v>4060117.43</v>
      </c>
      <c r="CJ40" s="25" t="n">
        <f aca="false">CI40-CH40</f>
        <v>252913.71</v>
      </c>
      <c r="CK40" s="25" t="str">
        <f aca="false">IF(CE40-CF40+CC40-CD40+CA40-CB40+BU40-BV40+BK40-BL40+BI40-BJ40 &gt; 0, CE40-CF40+CC40-CD40+CA40-CB40+BU40-BV40+BK40-BL40+BI40-BJ40, "-")</f>
        <v>-</v>
      </c>
      <c r="CL40" s="25" t="str">
        <f aca="false">IF(CJ40&lt;0,"⚠ Over Budget","✓ Within Budget")</f>
        <v>✓ Within Budget</v>
      </c>
      <c r="CM40" s="27"/>
    </row>
    <row r="41" customFormat="false" ht="14.25" hidden="false" customHeight="false" outlineLevel="0" collapsed="false">
      <c r="A41" s="16" t="s">
        <v>94</v>
      </c>
      <c r="B41" s="16" t="n">
        <v>2025</v>
      </c>
      <c r="C41" s="16" t="n">
        <v>20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1</v>
      </c>
      <c r="S41" s="16" t="n">
        <v>19</v>
      </c>
      <c r="T41" s="16" t="n">
        <v>5</v>
      </c>
      <c r="U41" s="16" t="n">
        <v>14</v>
      </c>
      <c r="V41" s="16" t="n">
        <v>19</v>
      </c>
      <c r="W41" s="16" t="n">
        <v>0</v>
      </c>
      <c r="X41" s="16" t="n">
        <v>2</v>
      </c>
      <c r="Y41" s="16" t="n">
        <v>6</v>
      </c>
      <c r="Z41" s="16" t="n">
        <v>7</v>
      </c>
      <c r="AA41" s="16" t="n">
        <v>3</v>
      </c>
      <c r="AB41" s="16" t="n">
        <v>1</v>
      </c>
      <c r="AC41" s="16" t="n">
        <v>1</v>
      </c>
      <c r="AD41" s="17" t="n">
        <v>0</v>
      </c>
      <c r="AE41" s="17" t="n">
        <v>0</v>
      </c>
      <c r="AF41" s="18" t="n">
        <v>58.5</v>
      </c>
      <c r="AG41" s="19" t="n">
        <v>580902</v>
      </c>
      <c r="AH41" s="19" t="n">
        <v>877010</v>
      </c>
      <c r="AI41" s="19" t="n">
        <v>1345905</v>
      </c>
      <c r="AJ41" s="19" t="n">
        <v>2055850</v>
      </c>
      <c r="AK41" s="19" t="n">
        <v>3368874</v>
      </c>
      <c r="AL41" s="19" t="n">
        <v>5383294</v>
      </c>
      <c r="AM41" s="19" t="n">
        <v>1900069.17</v>
      </c>
      <c r="AN41" s="19" t="n">
        <v>3049611.02</v>
      </c>
      <c r="AO41" s="19" t="n">
        <v>2850103.76</v>
      </c>
      <c r="AP41" s="19" t="n">
        <v>304961.1</v>
      </c>
      <c r="AQ41" s="19" t="n">
        <v>285010.38</v>
      </c>
      <c r="AR41" s="19" t="n">
        <v>13861.87</v>
      </c>
      <c r="AS41" s="19" t="n">
        <v>0</v>
      </c>
      <c r="AT41" s="19" t="n">
        <v>152480.55</v>
      </c>
      <c r="AU41" s="19" t="n">
        <v>142505.19</v>
      </c>
      <c r="AV41" s="19" t="n">
        <v>21869.79</v>
      </c>
      <c r="AW41" s="19" t="n">
        <v>20950.04</v>
      </c>
      <c r="AX41" s="19" t="n">
        <v>14944.36</v>
      </c>
      <c r="AY41" s="19" t="n">
        <v>13966.69</v>
      </c>
      <c r="AZ41" s="19" t="n">
        <v>23801.84</v>
      </c>
      <c r="BA41" s="19" t="n">
        <v>0</v>
      </c>
      <c r="BB41" s="19" t="n">
        <v>2747.4</v>
      </c>
      <c r="BC41" s="19" t="n">
        <v>0</v>
      </c>
      <c r="BD41" s="19" t="n">
        <v>163372.02</v>
      </c>
      <c r="BE41" s="19" t="n">
        <v>95003.46</v>
      </c>
      <c r="BF41" s="19" t="n">
        <f aca="false">SUM(BE41,BC41,BA41,AY41,AW41,AU41,AS41,AQ41,AO41)</f>
        <v>3407539.52</v>
      </c>
      <c r="BG41" s="19" t="n">
        <v>1239.83</v>
      </c>
      <c r="BH41" s="19" t="n">
        <v>3258.89</v>
      </c>
      <c r="BI41" s="19" t="n">
        <v>13699</v>
      </c>
      <c r="BJ41" s="19" t="n">
        <v>12802.8</v>
      </c>
      <c r="BK41" s="19" t="n">
        <v>9962.91</v>
      </c>
      <c r="BL41" s="19" t="n">
        <v>9311.13</v>
      </c>
      <c r="BM41" s="19" t="n">
        <v>17435.09</v>
      </c>
      <c r="BN41" s="19" t="n">
        <v>16294.47</v>
      </c>
      <c r="BO41" s="19" t="n">
        <v>3773.83</v>
      </c>
      <c r="BP41" s="19" t="n">
        <v>0</v>
      </c>
      <c r="BQ41" s="19" t="n">
        <v>125920.07</v>
      </c>
      <c r="BR41" s="19" t="n">
        <v>117682.3</v>
      </c>
      <c r="BS41" s="19" t="n">
        <v>5996.19</v>
      </c>
      <c r="BT41" s="19" t="n">
        <v>5884.12</v>
      </c>
      <c r="BU41" s="19" t="n">
        <v>76240.28</v>
      </c>
      <c r="BV41" s="19" t="n">
        <v>71252.59</v>
      </c>
      <c r="BW41" s="19" t="n">
        <v>4184.42</v>
      </c>
      <c r="BX41" s="19" t="n">
        <v>8147.24</v>
      </c>
      <c r="BY41" s="19" t="n">
        <v>26071.69</v>
      </c>
      <c r="BZ41" s="19" t="n">
        <v>22843.19</v>
      </c>
      <c r="CA41" s="19" t="n">
        <v>6974.03</v>
      </c>
      <c r="CB41" s="19" t="n">
        <v>6517.79</v>
      </c>
      <c r="CC41" s="19" t="n">
        <v>295719.47</v>
      </c>
      <c r="CD41" s="19" t="n">
        <v>101336.89</v>
      </c>
      <c r="CE41" s="19" t="n">
        <v>3659.53</v>
      </c>
      <c r="CF41" s="19" t="n">
        <v>3420.12</v>
      </c>
      <c r="CG41" s="19" t="n">
        <f aca="false">SUM(CF41,CD41,CB41,BZ41,BX41,BV41,BT41,BR41,BP41,BN41,BL41,BJ41,BH41)</f>
        <v>378751.53</v>
      </c>
      <c r="CH41" s="19" t="n">
        <f aca="false">CG41+BF41</f>
        <v>3786291.05</v>
      </c>
      <c r="CI41" s="19" t="n">
        <f aca="false">SUM(CE41,CC41,CA41,BY41,BW41,BU41,BS41,BQ41,BO41,BM41,BK41,BI41,BG41,BD41,BB41,AZ41,AX41,AV41,AT41,AR41,AP41,AN41)</f>
        <v>4338526.29</v>
      </c>
      <c r="CJ41" s="19" t="n">
        <f aca="false">CI41-CH41</f>
        <v>552235.24</v>
      </c>
      <c r="CK41" s="19" t="n">
        <f aca="false">IF(CE41-CF41+CC41-CD41+CA41-CB41+BU41-BV41+BK41-BL41+BI41-BJ41 &gt; 0, CE41-CF41+CC41-CD41+CA41-CB41+BU41-BV41+BK41-BL41+BI41-BJ41, "-")</f>
        <v>201613.9</v>
      </c>
      <c r="CL41" s="19" t="str">
        <f aca="false">IF(CJ41&lt;0,"⚠ Over Budget","✓ Within Budget")</f>
        <v>✓ Within Budget</v>
      </c>
      <c r="CM41" s="21"/>
    </row>
    <row r="42" customFormat="false" ht="14.25" hidden="false" customHeight="false" outlineLevel="0" collapsed="false">
      <c r="A42" s="22" t="s">
        <v>96</v>
      </c>
      <c r="B42" s="22" t="n">
        <v>2025</v>
      </c>
      <c r="C42" s="22" t="n">
        <v>19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19</v>
      </c>
      <c r="T42" s="22" t="n">
        <v>5</v>
      </c>
      <c r="U42" s="22" t="n">
        <v>14</v>
      </c>
      <c r="V42" s="22" t="n">
        <v>19</v>
      </c>
      <c r="W42" s="22" t="n">
        <v>0</v>
      </c>
      <c r="X42" s="22" t="n">
        <v>2</v>
      </c>
      <c r="Y42" s="22" t="n">
        <v>6</v>
      </c>
      <c r="Z42" s="22" t="n">
        <v>7</v>
      </c>
      <c r="AA42" s="22" t="n">
        <v>3</v>
      </c>
      <c r="AB42" s="22" t="n">
        <v>1</v>
      </c>
      <c r="AC42" s="22" t="n">
        <v>1</v>
      </c>
      <c r="AD42" s="23" t="n">
        <v>0</v>
      </c>
      <c r="AE42" s="23" t="n">
        <v>0.0983694024545699</v>
      </c>
      <c r="AF42" s="24" t="n">
        <v>58</v>
      </c>
      <c r="AG42" s="25" t="n">
        <v>650765</v>
      </c>
      <c r="AH42" s="25" t="n">
        <v>968399</v>
      </c>
      <c r="AI42" s="25" t="n">
        <v>1477999</v>
      </c>
      <c r="AJ42" s="25" t="n">
        <v>2240612</v>
      </c>
      <c r="AK42" s="25" t="n">
        <v>3613758</v>
      </c>
      <c r="AL42" s="25" t="n">
        <v>5801879</v>
      </c>
      <c r="AM42" s="25" t="n">
        <v>2076559.56</v>
      </c>
      <c r="AN42" s="25" t="n">
        <v>3332878.1</v>
      </c>
      <c r="AO42" s="25" t="n">
        <v>3114839.34</v>
      </c>
      <c r="AP42" s="25" t="n">
        <v>333287.81</v>
      </c>
      <c r="AQ42" s="25" t="n">
        <v>311483.93</v>
      </c>
      <c r="AR42" s="25" t="n">
        <v>169673.79</v>
      </c>
      <c r="AS42" s="25" t="n">
        <v>218038.75</v>
      </c>
      <c r="AT42" s="25" t="n">
        <v>166643.9</v>
      </c>
      <c r="AU42" s="25" t="n">
        <v>155741.97</v>
      </c>
      <c r="AV42" s="25" t="n">
        <v>26243.75</v>
      </c>
      <c r="AW42" s="25" t="n">
        <v>20950.04</v>
      </c>
      <c r="AX42" s="25" t="n">
        <v>14944.36</v>
      </c>
      <c r="AY42" s="25" t="n">
        <v>13966.69</v>
      </c>
      <c r="AZ42" s="25" t="n">
        <v>32515.88</v>
      </c>
      <c r="BA42" s="25" t="n">
        <v>0</v>
      </c>
      <c r="BB42" s="25" t="n">
        <v>3002.59</v>
      </c>
      <c r="BC42" s="25" t="n">
        <v>0</v>
      </c>
      <c r="BD42" s="25" t="n">
        <v>198.39</v>
      </c>
      <c r="BE42" s="25" t="n">
        <v>0</v>
      </c>
      <c r="BF42" s="25" t="n">
        <f aca="false">SUM(BE42,BC42,BA42,AY42,AW42,AU42,AS42,AQ42,AO42)</f>
        <v>3835020.72</v>
      </c>
      <c r="BG42" s="25" t="n">
        <v>21431.32</v>
      </c>
      <c r="BH42" s="25" t="n">
        <v>10242.24</v>
      </c>
      <c r="BI42" s="25" t="n">
        <v>13699</v>
      </c>
      <c r="BJ42" s="25" t="n">
        <v>12802.8</v>
      </c>
      <c r="BK42" s="25" t="n">
        <v>9962.91</v>
      </c>
      <c r="BL42" s="25" t="n">
        <v>9311.13</v>
      </c>
      <c r="BM42" s="25" t="n">
        <v>17435.09</v>
      </c>
      <c r="BN42" s="25" t="n">
        <v>16294.47</v>
      </c>
      <c r="BO42" s="25" t="n">
        <v>18869.14</v>
      </c>
      <c r="BP42" s="25" t="n">
        <v>0</v>
      </c>
      <c r="BQ42" s="25" t="n">
        <v>125920.07</v>
      </c>
      <c r="BR42" s="25" t="n">
        <v>117682.3</v>
      </c>
      <c r="BS42" s="25" t="n">
        <v>5996.19</v>
      </c>
      <c r="BT42" s="25" t="n">
        <v>5884.12</v>
      </c>
      <c r="BU42" s="25" t="n">
        <v>83321.95</v>
      </c>
      <c r="BV42" s="25" t="n">
        <v>77870.98</v>
      </c>
      <c r="BW42" s="25" t="n">
        <v>16737.68</v>
      </c>
      <c r="BX42" s="25" t="n">
        <v>8147.24</v>
      </c>
      <c r="BY42" s="25" t="n">
        <v>4427.96</v>
      </c>
      <c r="BZ42" s="25" t="n">
        <v>9311.13</v>
      </c>
      <c r="CA42" s="25" t="n">
        <v>6974.03</v>
      </c>
      <c r="CB42" s="25" t="n">
        <v>6517.79</v>
      </c>
      <c r="CC42" s="25" t="n">
        <v>220540.24</v>
      </c>
      <c r="CD42" s="25" t="n">
        <v>75574.54</v>
      </c>
      <c r="CE42" s="25" t="n">
        <v>3999.45</v>
      </c>
      <c r="CF42" s="25" t="n">
        <v>3737.81</v>
      </c>
      <c r="CG42" s="25" t="n">
        <f aca="false">SUM(CF42,CD42,CB42,BZ42,BX42,BV42,BT42,BR42,BP42,BN42,BL42,BJ42,BH42)</f>
        <v>353376.55</v>
      </c>
      <c r="CH42" s="25" t="n">
        <f aca="false">CG42+BF42</f>
        <v>4188397.27</v>
      </c>
      <c r="CI42" s="25" t="n">
        <f aca="false">SUM(CE42,CC42,CA42,BY42,BW42,BU42,BS42,BQ42,BO42,BM42,BK42,BI42,BG42,BD42,BB42,AZ42,AX42,AV42,AT42,AR42,AP42,AN42)</f>
        <v>4628703.6</v>
      </c>
      <c r="CJ42" s="25" t="n">
        <f aca="false">CI42-CH42</f>
        <v>440306.33</v>
      </c>
      <c r="CK42" s="25" t="n">
        <f aca="false">IF(CE42-CF42+CC42-CD42+CA42-CB42+BU42-BV42+BK42-BL42+BI42-BJ42 &gt; 0, CE42-CF42+CC42-CD42+CA42-CB42+BU42-BV42+BK42-BL42+BI42-BJ42, "-")</f>
        <v>152682.53</v>
      </c>
      <c r="CL42" s="25" t="str">
        <f aca="false">IF(CJ42&lt;0,"⚠ Over Budget","✓ Within Budget")</f>
        <v>✓ Within Budget</v>
      </c>
      <c r="CM42" s="27"/>
    </row>
    <row r="43" customFormat="false" ht="14.25" hidden="false" customHeight="false" outlineLevel="0" collapsed="false">
      <c r="A43" s="16" t="s">
        <v>98</v>
      </c>
      <c r="B43" s="16" t="n">
        <v>2025</v>
      </c>
      <c r="C43" s="16" t="n">
        <v>19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19</v>
      </c>
      <c r="T43" s="16" t="n">
        <v>5</v>
      </c>
      <c r="U43" s="16" t="n">
        <v>14</v>
      </c>
      <c r="V43" s="16" t="n">
        <v>19</v>
      </c>
      <c r="W43" s="16" t="n">
        <v>0</v>
      </c>
      <c r="X43" s="16" t="n">
        <v>2</v>
      </c>
      <c r="Y43" s="16" t="n">
        <v>6</v>
      </c>
      <c r="Z43" s="16" t="n">
        <v>7</v>
      </c>
      <c r="AA43" s="16" t="n">
        <v>3</v>
      </c>
      <c r="AB43" s="16" t="n">
        <v>1</v>
      </c>
      <c r="AC43" s="16" t="n">
        <v>1</v>
      </c>
      <c r="AD43" s="17" t="n">
        <v>0</v>
      </c>
      <c r="AE43" s="17" t="n">
        <v>0</v>
      </c>
      <c r="AF43" s="18" t="n">
        <v>57.6</v>
      </c>
      <c r="AG43" s="19" t="n">
        <v>650765</v>
      </c>
      <c r="AH43" s="19" t="n">
        <v>968399</v>
      </c>
      <c r="AI43" s="19" t="n">
        <v>1477999</v>
      </c>
      <c r="AJ43" s="19" t="n">
        <v>2240612</v>
      </c>
      <c r="AK43" s="19" t="n">
        <v>3613758</v>
      </c>
      <c r="AL43" s="19" t="n">
        <v>5801879</v>
      </c>
      <c r="AM43" s="19" t="n">
        <v>2076559.56</v>
      </c>
      <c r="AN43" s="19" t="n">
        <v>3332878.1</v>
      </c>
      <c r="AO43" s="19" t="n">
        <v>3114839.34</v>
      </c>
      <c r="AP43" s="19" t="n">
        <v>333287.81</v>
      </c>
      <c r="AQ43" s="19" t="n">
        <v>311483.93</v>
      </c>
      <c r="AR43" s="19" t="n">
        <v>12119.56</v>
      </c>
      <c r="AS43" s="19" t="n">
        <v>0</v>
      </c>
      <c r="AT43" s="19" t="n">
        <v>166643.9</v>
      </c>
      <c r="AU43" s="19" t="n">
        <v>155741.97</v>
      </c>
      <c r="AV43" s="19" t="n">
        <v>28430.73</v>
      </c>
      <c r="AW43" s="19" t="n">
        <v>20950.04</v>
      </c>
      <c r="AX43" s="19" t="n">
        <v>14944.36</v>
      </c>
      <c r="AY43" s="19" t="n">
        <v>13966.69</v>
      </c>
      <c r="AZ43" s="19" t="n">
        <v>9754.77</v>
      </c>
      <c r="BA43" s="19" t="n">
        <v>0</v>
      </c>
      <c r="BB43" s="19" t="n">
        <v>1201.04</v>
      </c>
      <c r="BC43" s="19" t="n">
        <v>0</v>
      </c>
      <c r="BD43" s="19" t="n">
        <v>198.39</v>
      </c>
      <c r="BE43" s="19" t="n">
        <v>0</v>
      </c>
      <c r="BF43" s="19" t="n">
        <f aca="false">SUM(BE43,BC43,BA43,AY43,AW43,AU43,AS43,AQ43,AO43)</f>
        <v>3616981.97</v>
      </c>
      <c r="BG43" s="19" t="n">
        <v>14346.59</v>
      </c>
      <c r="BH43" s="19" t="n">
        <v>8380.01</v>
      </c>
      <c r="BI43" s="19" t="n">
        <v>13699</v>
      </c>
      <c r="BJ43" s="19" t="n">
        <v>12802.8</v>
      </c>
      <c r="BK43" s="19" t="n">
        <v>9962.91</v>
      </c>
      <c r="BL43" s="19" t="n">
        <v>9311.13</v>
      </c>
      <c r="BM43" s="19" t="n">
        <v>17435.09</v>
      </c>
      <c r="BN43" s="19" t="n">
        <v>16294.47</v>
      </c>
      <c r="BO43" s="19" t="n">
        <v>7547.66</v>
      </c>
      <c r="BP43" s="19" t="n">
        <v>0</v>
      </c>
      <c r="BQ43" s="19" t="n">
        <v>125920.07</v>
      </c>
      <c r="BR43" s="19" t="n">
        <v>117682.3</v>
      </c>
      <c r="BS43" s="19" t="n">
        <v>6595.81</v>
      </c>
      <c r="BT43" s="19" t="n">
        <v>5884.12</v>
      </c>
      <c r="BU43" s="19" t="n">
        <v>83321.95</v>
      </c>
      <c r="BV43" s="19" t="n">
        <v>77870.98</v>
      </c>
      <c r="BW43" s="19" t="n">
        <v>12553.26</v>
      </c>
      <c r="BX43" s="19" t="n">
        <v>8147.24</v>
      </c>
      <c r="BY43" s="19" t="n">
        <v>4427.96</v>
      </c>
      <c r="BZ43" s="19" t="n">
        <v>9311.13</v>
      </c>
      <c r="CA43" s="19" t="n">
        <v>6974.03</v>
      </c>
      <c r="CB43" s="19" t="n">
        <v>6517.79</v>
      </c>
      <c r="CC43" s="19" t="n">
        <v>30541.28</v>
      </c>
      <c r="CD43" s="19" t="n">
        <v>32705.81</v>
      </c>
      <c r="CE43" s="19" t="n">
        <v>3999.45</v>
      </c>
      <c r="CF43" s="19" t="n">
        <v>3737.81</v>
      </c>
      <c r="CG43" s="19" t="n">
        <f aca="false">SUM(CF43,CD43,CB43,BZ43,BX43,BV43,BT43,BR43,BP43,BN43,BL43,BJ43,BH43)</f>
        <v>308645.59</v>
      </c>
      <c r="CH43" s="19" t="n">
        <f aca="false">CG43+BF43</f>
        <v>3925627.56</v>
      </c>
      <c r="CI43" s="19" t="n">
        <f aca="false">SUM(CE43,CC43,CA43,BY43,BW43,BU43,BS43,BQ43,BO43,BM43,BK43,BI43,BG43,BD43,BB43,AZ43,AX43,AV43,AT43,AR43,AP43,AN43)</f>
        <v>4236783.72</v>
      </c>
      <c r="CJ43" s="19" t="n">
        <f aca="false">CI43-CH43</f>
        <v>311156.16</v>
      </c>
      <c r="CK43" s="19" t="n">
        <f aca="false">IF(CE43-CF43+CC43-CD43+CA43-CB43+BU43-BV43+BK43-BL43+BI43-BJ43 &gt; 0, CE43-CF43+CC43-CD43+CA43-CB43+BU43-BV43+BK43-BL43+BI43-BJ43, "-")</f>
        <v>5552.29999999999</v>
      </c>
      <c r="CL43" s="19" t="str">
        <f aca="false">IF(CJ43&lt;0,"⚠ Over Budget","✓ Within Budget")</f>
        <v>✓ Within Budget</v>
      </c>
      <c r="CM43" s="21"/>
    </row>
    <row r="44" customFormat="false" ht="18.75" hidden="false" customHeight="true" outlineLevel="0" collapsed="false">
      <c r="A44" s="28" t="s">
        <v>99</v>
      </c>
      <c r="B44" s="28" t="n">
        <v>2025</v>
      </c>
      <c r="C44" s="28" t="n">
        <v>19</v>
      </c>
      <c r="D44" s="28" t="n">
        <v>0</v>
      </c>
      <c r="E44" s="28" t="n">
        <v>0</v>
      </c>
      <c r="F44" s="28" t="n">
        <v>0</v>
      </c>
      <c r="G44" s="28" t="n">
        <v>0</v>
      </c>
      <c r="H44" s="28" t="n">
        <v>0</v>
      </c>
      <c r="I44" s="28" t="n">
        <v>0</v>
      </c>
      <c r="J44" s="28" t="n">
        <v>0</v>
      </c>
      <c r="K44" s="28" t="n">
        <v>0</v>
      </c>
      <c r="L44" s="28" t="n">
        <v>0</v>
      </c>
      <c r="M44" s="28" t="n">
        <v>0</v>
      </c>
      <c r="N44" s="28" t="n">
        <v>0</v>
      </c>
      <c r="O44" s="28" t="n">
        <v>0</v>
      </c>
      <c r="P44" s="28" t="n">
        <v>0</v>
      </c>
      <c r="Q44" s="28" t="n">
        <v>0</v>
      </c>
      <c r="R44" s="28" t="n">
        <v>1</v>
      </c>
      <c r="S44" s="28" t="n">
        <v>18</v>
      </c>
      <c r="T44" s="28" t="n">
        <v>4</v>
      </c>
      <c r="U44" s="28" t="n">
        <v>14</v>
      </c>
      <c r="V44" s="28" t="n">
        <v>18</v>
      </c>
      <c r="W44" s="28" t="n">
        <v>0</v>
      </c>
      <c r="X44" s="28" t="n">
        <v>1</v>
      </c>
      <c r="Y44" s="28" t="n">
        <v>6</v>
      </c>
      <c r="Z44" s="28" t="n">
        <v>6</v>
      </c>
      <c r="AA44" s="28" t="n">
        <v>3</v>
      </c>
      <c r="AB44" s="28" t="n">
        <v>1</v>
      </c>
      <c r="AC44" s="28" t="n">
        <v>1</v>
      </c>
      <c r="AD44" s="29" t="n">
        <v>0</v>
      </c>
      <c r="AE44" s="29" t="n">
        <v>0</v>
      </c>
      <c r="AF44" s="30" t="n">
        <v>57.9</v>
      </c>
      <c r="AG44" s="31" t="n">
        <v>650765</v>
      </c>
      <c r="AH44" s="31" t="n">
        <v>968399</v>
      </c>
      <c r="AI44" s="31" t="n">
        <v>1477999</v>
      </c>
      <c r="AJ44" s="31" t="n">
        <v>2240612</v>
      </c>
      <c r="AK44" s="31" t="n">
        <v>3613758</v>
      </c>
      <c r="AL44" s="31" t="n">
        <v>5801879</v>
      </c>
      <c r="AM44" s="31" t="n">
        <v>2076559.56</v>
      </c>
      <c r="AN44" s="31" t="n">
        <v>3332878.1</v>
      </c>
      <c r="AO44" s="31" t="n">
        <v>3114839.34</v>
      </c>
      <c r="AP44" s="31" t="n">
        <v>333287.81</v>
      </c>
      <c r="AQ44" s="31" t="n">
        <v>311483.93</v>
      </c>
      <c r="AR44" s="31" t="n">
        <v>12119.56</v>
      </c>
      <c r="AS44" s="31" t="n">
        <v>0</v>
      </c>
      <c r="AT44" s="31" t="n">
        <v>166643.9</v>
      </c>
      <c r="AU44" s="31" t="n">
        <v>155741.97</v>
      </c>
      <c r="AV44" s="31" t="n">
        <v>32804.69</v>
      </c>
      <c r="AW44" s="31" t="n">
        <v>20950.04</v>
      </c>
      <c r="AX44" s="31" t="n">
        <v>14944.36</v>
      </c>
      <c r="AY44" s="31" t="n">
        <v>13966.69</v>
      </c>
      <c r="AZ44" s="31" t="n">
        <v>9754.77</v>
      </c>
      <c r="BA44" s="31" t="n">
        <v>0</v>
      </c>
      <c r="BB44" s="31" t="n">
        <v>1801.56</v>
      </c>
      <c r="BC44" s="31" t="n">
        <v>0</v>
      </c>
      <c r="BD44" s="31" t="n">
        <v>396.77</v>
      </c>
      <c r="BE44" s="31" t="n">
        <v>0</v>
      </c>
      <c r="BF44" s="31" t="n">
        <f aca="false">SUM(BE44,BC44,BA44,AY44,AW44,AU44,AS44,AQ44,AO44)</f>
        <v>3616981.97</v>
      </c>
      <c r="BG44" s="31" t="n">
        <v>2479.66</v>
      </c>
      <c r="BH44" s="31" t="n">
        <v>3258.89</v>
      </c>
      <c r="BI44" s="31" t="n">
        <v>13699</v>
      </c>
      <c r="BJ44" s="31" t="n">
        <v>12802.8</v>
      </c>
      <c r="BK44" s="31" t="n">
        <v>9962.91</v>
      </c>
      <c r="BL44" s="31" t="n">
        <v>9311.13</v>
      </c>
      <c r="BM44" s="31" t="n">
        <v>17435.09</v>
      </c>
      <c r="BN44" s="31" t="n">
        <v>16294.47</v>
      </c>
      <c r="BO44" s="31" t="n">
        <v>3773.83</v>
      </c>
      <c r="BP44" s="31" t="n">
        <v>0</v>
      </c>
      <c r="BQ44" s="31" t="n">
        <v>135606.22</v>
      </c>
      <c r="BR44" s="31" t="n">
        <v>616587.72</v>
      </c>
      <c r="BS44" s="31" t="n">
        <v>8394.67</v>
      </c>
      <c r="BT44" s="31" t="n">
        <v>216273.71</v>
      </c>
      <c r="BU44" s="31" t="n">
        <v>83321.95</v>
      </c>
      <c r="BV44" s="31" t="n">
        <v>77870.98</v>
      </c>
      <c r="BW44" s="31" t="n">
        <v>8368.84</v>
      </c>
      <c r="BX44" s="31" t="n">
        <v>8147.24</v>
      </c>
      <c r="BY44" s="31" t="n">
        <v>146056.88</v>
      </c>
      <c r="BZ44" s="31" t="n">
        <v>61425.79</v>
      </c>
      <c r="CA44" s="31" t="n">
        <v>6974.03</v>
      </c>
      <c r="CB44" s="31" t="n">
        <v>6517.79</v>
      </c>
      <c r="CC44" s="31" t="n">
        <v>19088.3</v>
      </c>
      <c r="CD44" s="31" t="n">
        <v>32705.81</v>
      </c>
      <c r="CE44" s="31" t="n">
        <v>3999.45</v>
      </c>
      <c r="CF44" s="31" t="n">
        <v>3737.81</v>
      </c>
      <c r="CG44" s="31" t="n">
        <f aca="false">SUM(CF44,CD44,CB44,BZ44,BX44,BV44,BT44,BR44,BP44,BN44,BL44,BJ44,BH44)</f>
        <v>1064934.14</v>
      </c>
      <c r="CH44" s="31" t="n">
        <f aca="false">CG44+BF44</f>
        <v>4681916.11</v>
      </c>
      <c r="CI44" s="31" t="n">
        <f aca="false">SUM(CE44,CC44,CA44,BY44,BW44,BU44,BS44,BQ44,BO44,BM44,BK44,BI44,BG44,BD44,BB44,AZ44,AX44,AV44,AT44,AR44,AP44,AN44)</f>
        <v>4363792.35</v>
      </c>
      <c r="CJ44" s="31" t="n">
        <f aca="false">CI44-CH44</f>
        <v>-318123.76</v>
      </c>
      <c r="CK44" s="31" t="str">
        <f aca="false">IF(CE44-CF44+CC44-CD44+CA44-CB44+BU44-BV44+BK44-BL44+BI44-BJ44 &gt; 0, CE44-CF44+CC44-CD44+CA44-CB44+BU44-BV44+BK44-BL44+BI44-BJ44, "-")</f>
        <v>-</v>
      </c>
      <c r="CL44" s="31" t="str">
        <f aca="false">IF(CJ44&lt;0,"⚠ Over Budget","✓ Within Budget")</f>
        <v>⚠ Over Budget</v>
      </c>
      <c r="CM44" s="33" t="s">
        <v>108</v>
      </c>
    </row>
    <row r="45" customFormat="false" ht="18.75" hidden="false" customHeight="true" outlineLevel="0" collapsed="false">
      <c r="A45" s="28" t="s">
        <v>100</v>
      </c>
      <c r="B45" s="28" t="n">
        <v>2025</v>
      </c>
      <c r="C45" s="28" t="n">
        <v>18</v>
      </c>
      <c r="D45" s="28" t="n">
        <v>1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1</v>
      </c>
      <c r="J45" s="28" t="n">
        <v>1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19</v>
      </c>
      <c r="T45" s="28" t="n">
        <v>6</v>
      </c>
      <c r="U45" s="28" t="n">
        <v>13</v>
      </c>
      <c r="V45" s="28" t="n">
        <v>19</v>
      </c>
      <c r="W45" s="28" t="n">
        <v>0</v>
      </c>
      <c r="X45" s="28" t="n">
        <v>2</v>
      </c>
      <c r="Y45" s="28" t="n">
        <v>6</v>
      </c>
      <c r="Z45" s="28" t="n">
        <v>7</v>
      </c>
      <c r="AA45" s="28" t="n">
        <v>3</v>
      </c>
      <c r="AB45" s="28" t="n">
        <v>1</v>
      </c>
      <c r="AC45" s="28" t="n">
        <v>1</v>
      </c>
      <c r="AD45" s="29" t="n">
        <v>0</v>
      </c>
      <c r="AE45" s="29" t="n">
        <v>0</v>
      </c>
      <c r="AF45" s="30" t="n">
        <v>58.4</v>
      </c>
      <c r="AG45" s="31" t="n">
        <v>650765</v>
      </c>
      <c r="AH45" s="31" t="n">
        <v>968399</v>
      </c>
      <c r="AI45" s="31" t="n">
        <v>1477999</v>
      </c>
      <c r="AJ45" s="31" t="n">
        <v>2240612</v>
      </c>
      <c r="AK45" s="31" t="n">
        <v>3613758</v>
      </c>
      <c r="AL45" s="31" t="n">
        <v>5801879</v>
      </c>
      <c r="AM45" s="31" t="n">
        <v>2076559.56</v>
      </c>
      <c r="AN45" s="31" t="n">
        <v>4073517.68</v>
      </c>
      <c r="AO45" s="31" t="n">
        <v>4182314.88</v>
      </c>
      <c r="AP45" s="31" t="n">
        <v>407351.77</v>
      </c>
      <c r="AQ45" s="31" t="n">
        <v>380702.59</v>
      </c>
      <c r="AR45" s="31" t="n">
        <v>14812.79</v>
      </c>
      <c r="AS45" s="31" t="n">
        <v>0</v>
      </c>
      <c r="AT45" s="31" t="n">
        <v>203675.88</v>
      </c>
      <c r="AU45" s="31" t="n">
        <v>190351.29</v>
      </c>
      <c r="AV45" s="31" t="n">
        <v>32075.7</v>
      </c>
      <c r="AW45" s="31" t="n">
        <v>25605.6</v>
      </c>
      <c r="AX45" s="31" t="n">
        <v>18265.33</v>
      </c>
      <c r="AY45" s="31" t="n">
        <v>17070.4</v>
      </c>
      <c r="AZ45" s="31" t="n">
        <v>9935.41</v>
      </c>
      <c r="BA45" s="31" t="n">
        <v>0</v>
      </c>
      <c r="BB45" s="31" t="n">
        <v>120103.72</v>
      </c>
      <c r="BC45" s="31" t="n">
        <v>694700.34</v>
      </c>
      <c r="BD45" s="31" t="n">
        <v>595.16</v>
      </c>
      <c r="BE45" s="31" t="n">
        <v>0</v>
      </c>
      <c r="BF45" s="31" t="n">
        <f aca="false">SUM(BE45,BC45,BA45,AY45,AW45,AU45,AS45,AQ45,AO45)</f>
        <v>5490745.1</v>
      </c>
      <c r="BG45" s="31" t="n">
        <v>2273.02</v>
      </c>
      <c r="BH45" s="31" t="n">
        <v>3983.09</v>
      </c>
      <c r="BI45" s="31" t="n">
        <v>16743.22</v>
      </c>
      <c r="BJ45" s="31" t="n">
        <v>15647.87</v>
      </c>
      <c r="BK45" s="31" t="n">
        <v>12176.89</v>
      </c>
      <c r="BL45" s="31" t="n">
        <v>11380.27</v>
      </c>
      <c r="BM45" s="31" t="n">
        <v>21309.55</v>
      </c>
      <c r="BN45" s="31" t="n">
        <v>19915.47</v>
      </c>
      <c r="BO45" s="31" t="n">
        <v>528335.94</v>
      </c>
      <c r="BP45" s="31" t="n">
        <v>431242.38</v>
      </c>
      <c r="BQ45" s="31" t="n">
        <v>145292.38</v>
      </c>
      <c r="BR45" s="31" t="n">
        <v>135787.27</v>
      </c>
      <c r="BS45" s="31" t="n">
        <v>8994.29</v>
      </c>
      <c r="BT45" s="31" t="n">
        <v>6789.36</v>
      </c>
      <c r="BU45" s="31" t="n">
        <v>101837.94</v>
      </c>
      <c r="BV45" s="31" t="n">
        <v>95175.65</v>
      </c>
      <c r="BW45" s="31" t="n">
        <v>5114.29</v>
      </c>
      <c r="BX45" s="31" t="n">
        <v>9957.73</v>
      </c>
      <c r="BY45" s="31" t="n">
        <v>5411.95</v>
      </c>
      <c r="BZ45" s="31" t="n">
        <v>11380.27</v>
      </c>
      <c r="CA45" s="31" t="n">
        <v>8523.82</v>
      </c>
      <c r="CB45" s="31" t="n">
        <v>7966.19</v>
      </c>
      <c r="CC45" s="31" t="n">
        <v>23330.15</v>
      </c>
      <c r="CD45" s="31" t="n">
        <v>39973.77</v>
      </c>
      <c r="CE45" s="31" t="n">
        <v>4888.22</v>
      </c>
      <c r="CF45" s="31" t="n">
        <v>4568.43</v>
      </c>
      <c r="CG45" s="31" t="n">
        <f aca="false">SUM(CF45,CD45,CB45,BZ45,BX45,BV45,BT45,BR45,BP45,BN45,BL45,BJ45,BH45)</f>
        <v>793767.75</v>
      </c>
      <c r="CH45" s="31" t="n">
        <f aca="false">CG45+BF45</f>
        <v>6284512.85</v>
      </c>
      <c r="CI45" s="31" t="n">
        <f aca="false">SUM(CE45,CC45,CA45,BY45,BW45,BU45,BS45,BQ45,BO45,BM45,BK45,BI45,BG45,BD45,BB45,AZ45,AX45,AV45,AT45,AR45,AP45,AN45)</f>
        <v>5764565.1</v>
      </c>
      <c r="CJ45" s="31" t="n">
        <f aca="false">CI45-CH45</f>
        <v>-519947.749999999</v>
      </c>
      <c r="CK45" s="31" t="str">
        <f aca="false">IF(CE45-CF45+CC45-CD45+CA45-CB45+BU45-BV45+BK45-BL45+BI45-BJ45 &gt; 0, CE45-CF45+CC45-CD45+CA45-CB45+BU45-BV45+BK45-BL45+BI45-BJ45, "-")</f>
        <v>-</v>
      </c>
      <c r="CL45" s="31" t="str">
        <f aca="false">IF(CJ45&lt;0,"⚠ Over Budget","✓ Within Budget")</f>
        <v>⚠ Over Budget</v>
      </c>
      <c r="CM45" s="33" t="s">
        <v>110</v>
      </c>
    </row>
    <row r="46" customFormat="false" ht="14.25" hidden="false" customHeight="false" outlineLevel="0" collapsed="false">
      <c r="A46" s="22" t="s">
        <v>101</v>
      </c>
      <c r="B46" s="22" t="n">
        <v>2025</v>
      </c>
      <c r="C46" s="22" t="n">
        <v>19</v>
      </c>
      <c r="D46" s="22" t="n">
        <v>1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1</v>
      </c>
      <c r="J46" s="22" t="n">
        <v>1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20</v>
      </c>
      <c r="T46" s="22" t="n">
        <v>6</v>
      </c>
      <c r="U46" s="22" t="n">
        <v>14</v>
      </c>
      <c r="V46" s="22" t="n">
        <v>20</v>
      </c>
      <c r="W46" s="22" t="n">
        <v>0</v>
      </c>
      <c r="X46" s="22" t="n">
        <v>2</v>
      </c>
      <c r="Y46" s="22" t="n">
        <v>6</v>
      </c>
      <c r="Z46" s="22" t="n">
        <v>7</v>
      </c>
      <c r="AA46" s="22" t="n">
        <v>4</v>
      </c>
      <c r="AB46" s="22" t="n">
        <v>1</v>
      </c>
      <c r="AC46" s="22" t="n">
        <v>1</v>
      </c>
      <c r="AD46" s="23" t="n">
        <v>0</v>
      </c>
      <c r="AE46" s="23" t="n">
        <v>0</v>
      </c>
      <c r="AF46" s="24" t="n">
        <v>58.8</v>
      </c>
      <c r="AG46" s="25" t="n">
        <v>650765</v>
      </c>
      <c r="AH46" s="25" t="n">
        <v>968399</v>
      </c>
      <c r="AI46" s="25" t="n">
        <v>1477999</v>
      </c>
      <c r="AJ46" s="25" t="n">
        <v>2240612</v>
      </c>
      <c r="AK46" s="25" t="n">
        <v>3613758</v>
      </c>
      <c r="AL46" s="25" t="n">
        <v>5801879</v>
      </c>
      <c r="AM46" s="25" t="n">
        <v>2076559.56</v>
      </c>
      <c r="AN46" s="25" t="n">
        <v>4258677.57</v>
      </c>
      <c r="AO46" s="25" t="n">
        <v>3980072.5</v>
      </c>
      <c r="AP46" s="25" t="n">
        <v>425867.76</v>
      </c>
      <c r="AQ46" s="25" t="n">
        <v>398007.25</v>
      </c>
      <c r="AR46" s="25" t="n">
        <v>15486.1</v>
      </c>
      <c r="AS46" s="25" t="n">
        <v>0</v>
      </c>
      <c r="AT46" s="25" t="n">
        <v>212933.88</v>
      </c>
      <c r="AU46" s="25" t="n">
        <v>199003.62</v>
      </c>
      <c r="AV46" s="25" t="n">
        <v>27944.74</v>
      </c>
      <c r="AW46" s="25" t="n">
        <v>26769.49</v>
      </c>
      <c r="AX46" s="25" t="n">
        <v>19095.57</v>
      </c>
      <c r="AY46" s="25" t="n">
        <v>17846.33</v>
      </c>
      <c r="AZ46" s="25" t="n">
        <v>10387.02</v>
      </c>
      <c r="BA46" s="25" t="n">
        <v>0</v>
      </c>
      <c r="BB46" s="25" t="n">
        <v>30025.93</v>
      </c>
      <c r="BC46" s="25" t="n">
        <v>17304.66</v>
      </c>
      <c r="BD46" s="25" t="n">
        <v>595.16</v>
      </c>
      <c r="BE46" s="25" t="n">
        <v>0</v>
      </c>
      <c r="BF46" s="25" t="n">
        <f aca="false">SUM(BE46,BC46,BA46,AY46,AW46,AU46,AS46,AQ46,AO46)</f>
        <v>4639003.85</v>
      </c>
      <c r="BG46" s="25" t="n">
        <v>12730.38</v>
      </c>
      <c r="BH46" s="25" t="n">
        <v>8923.16</v>
      </c>
      <c r="BI46" s="25" t="n">
        <v>17504.27</v>
      </c>
      <c r="BJ46" s="25" t="n">
        <v>16359.13</v>
      </c>
      <c r="BK46" s="25" t="n">
        <v>12730.38</v>
      </c>
      <c r="BL46" s="25" t="n">
        <v>11897.55</v>
      </c>
      <c r="BM46" s="25" t="n">
        <v>22278.17</v>
      </c>
      <c r="BN46" s="25" t="n">
        <v>20820.72</v>
      </c>
      <c r="BO46" s="25" t="n">
        <v>52833.59</v>
      </c>
      <c r="BP46" s="25" t="n">
        <v>45262.42</v>
      </c>
      <c r="BQ46" s="25" t="n">
        <v>154978.54</v>
      </c>
      <c r="BR46" s="25" t="n">
        <v>144839.76</v>
      </c>
      <c r="BS46" s="25" t="n">
        <v>9593.91</v>
      </c>
      <c r="BT46" s="25" t="n">
        <v>7241.99</v>
      </c>
      <c r="BU46" s="25" t="n">
        <v>106466.94</v>
      </c>
      <c r="BV46" s="25" t="n">
        <v>99501.81</v>
      </c>
      <c r="BW46" s="25" t="n">
        <v>10693.52</v>
      </c>
      <c r="BX46" s="25" t="n">
        <v>10410.36</v>
      </c>
      <c r="BY46" s="25" t="n">
        <v>15007.58</v>
      </c>
      <c r="BZ46" s="25" t="n">
        <v>26298.34</v>
      </c>
      <c r="CA46" s="25" t="n">
        <v>8911.27</v>
      </c>
      <c r="CB46" s="25" t="n">
        <v>8328.29</v>
      </c>
      <c r="CC46" s="25" t="n">
        <v>24390.61</v>
      </c>
      <c r="CD46" s="25" t="n">
        <v>41790.76</v>
      </c>
      <c r="CE46" s="25" t="n">
        <v>5110.41</v>
      </c>
      <c r="CF46" s="25" t="n">
        <v>4776.09</v>
      </c>
      <c r="CG46" s="25" t="n">
        <f aca="false">SUM(CF46,CD46,CB46,BZ46,BX46,BV46,BT46,BR46,BP46,BN46,BL46,BJ46,BH46)</f>
        <v>446450.38</v>
      </c>
      <c r="CH46" s="25" t="n">
        <f aca="false">CG46+BF46</f>
        <v>5085454.23</v>
      </c>
      <c r="CI46" s="25" t="n">
        <f aca="false">SUM(CE46,CC46,CA46,BY46,BW46,BU46,BS46,BQ46,BO46,BM46,BK46,BI46,BG46,BD46,BB46,AZ46,AX46,AV46,AT46,AR46,AP46,AN46)</f>
        <v>5454243.3</v>
      </c>
      <c r="CJ46" s="25" t="n">
        <f aca="false">CI46-CH46</f>
        <v>368789.070000001</v>
      </c>
      <c r="CK46" s="25" t="str">
        <f aca="false">IF(CE46-CF46+CC46-CD46+CA46-CB46+BU46-BV46+BK46-BL46+BI46-BJ46 &gt; 0, CE46-CF46+CC46-CD46+CA46-CB46+BU46-BV46+BK46-BL46+BI46-BJ46, "-")</f>
        <v>-</v>
      </c>
      <c r="CL46" s="25" t="str">
        <f aca="false">IF(CJ46&lt;0,"⚠ Over Budget","✓ Within Budget")</f>
        <v>✓ Within Budget</v>
      </c>
      <c r="CM46" s="27"/>
    </row>
    <row r="47" customFormat="false" ht="14.25" hidden="false" customHeight="false" outlineLevel="0" collapsed="false">
      <c r="A47" s="16" t="s">
        <v>102</v>
      </c>
      <c r="B47" s="16" t="n">
        <v>2025</v>
      </c>
      <c r="C47" s="16" t="n">
        <v>20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20</v>
      </c>
      <c r="T47" s="16" t="n">
        <v>5</v>
      </c>
      <c r="U47" s="16" t="n">
        <v>15</v>
      </c>
      <c r="V47" s="16" t="n">
        <v>20</v>
      </c>
      <c r="W47" s="16" t="n">
        <v>0</v>
      </c>
      <c r="X47" s="16" t="n">
        <v>2</v>
      </c>
      <c r="Y47" s="16" t="n">
        <v>6</v>
      </c>
      <c r="Z47" s="16" t="n">
        <v>7</v>
      </c>
      <c r="AA47" s="16" t="n">
        <v>4</v>
      </c>
      <c r="AB47" s="16" t="n">
        <v>1</v>
      </c>
      <c r="AC47" s="16" t="n">
        <v>1</v>
      </c>
      <c r="AD47" s="17" t="n">
        <v>0</v>
      </c>
      <c r="AE47" s="17" t="n">
        <v>0</v>
      </c>
      <c r="AF47" s="18" t="n">
        <v>59.1</v>
      </c>
      <c r="AG47" s="19" t="n">
        <v>650765</v>
      </c>
      <c r="AH47" s="19" t="n">
        <v>968399</v>
      </c>
      <c r="AI47" s="19" t="n">
        <v>1477999</v>
      </c>
      <c r="AJ47" s="19" t="n">
        <v>2240612</v>
      </c>
      <c r="AK47" s="19" t="n">
        <v>3613758</v>
      </c>
      <c r="AL47" s="19" t="n">
        <v>5801879</v>
      </c>
      <c r="AM47" s="19" t="n">
        <v>2076559.56</v>
      </c>
      <c r="AN47" s="19" t="n">
        <v>4073517.68</v>
      </c>
      <c r="AO47" s="19" t="n">
        <v>3807025.87</v>
      </c>
      <c r="AP47" s="19" t="n">
        <v>407351.77</v>
      </c>
      <c r="AQ47" s="19" t="n">
        <v>380702.59</v>
      </c>
      <c r="AR47" s="19" t="n">
        <v>14812.79</v>
      </c>
      <c r="AS47" s="19" t="n">
        <v>0</v>
      </c>
      <c r="AT47" s="19" t="n">
        <v>203675.88</v>
      </c>
      <c r="AU47" s="19" t="n">
        <v>190351.29</v>
      </c>
      <c r="AV47" s="19" t="n">
        <v>29402.72</v>
      </c>
      <c r="AW47" s="19" t="n">
        <v>25605.6</v>
      </c>
      <c r="AX47" s="19" t="n">
        <v>18265.33</v>
      </c>
      <c r="AY47" s="19" t="n">
        <v>17070.4</v>
      </c>
      <c r="AZ47" s="19" t="n">
        <v>19870.82</v>
      </c>
      <c r="BA47" s="19" t="n">
        <v>0</v>
      </c>
      <c r="BB47" s="19" t="n">
        <v>1801.56</v>
      </c>
      <c r="BC47" s="19" t="n">
        <v>0</v>
      </c>
      <c r="BD47" s="19" t="n">
        <v>198.39</v>
      </c>
      <c r="BE47" s="19" t="n">
        <v>0</v>
      </c>
      <c r="BF47" s="19" t="n">
        <f aca="false">SUM(BE47,BC47,BA47,AY47,AW47,AU47,AS47,AQ47,AO47)</f>
        <v>4420755.75</v>
      </c>
      <c r="BG47" s="19" t="n">
        <v>17534.72</v>
      </c>
      <c r="BH47" s="19" t="n">
        <v>10242.24</v>
      </c>
      <c r="BI47" s="19" t="n">
        <v>16743.22</v>
      </c>
      <c r="BJ47" s="19" t="n">
        <v>15647.87</v>
      </c>
      <c r="BK47" s="19" t="n">
        <v>12176.89</v>
      </c>
      <c r="BL47" s="19" t="n">
        <v>11380.27</v>
      </c>
      <c r="BM47" s="19" t="n">
        <v>21309.55</v>
      </c>
      <c r="BN47" s="19" t="n">
        <v>19915.47</v>
      </c>
      <c r="BO47" s="19" t="n">
        <v>3773.83</v>
      </c>
      <c r="BP47" s="19" t="n">
        <v>0</v>
      </c>
      <c r="BQ47" s="19" t="n">
        <v>154978.54</v>
      </c>
      <c r="BR47" s="19" t="n">
        <v>144839.76</v>
      </c>
      <c r="BS47" s="19" t="n">
        <v>8117.92</v>
      </c>
      <c r="BT47" s="19" t="n">
        <v>7241.99</v>
      </c>
      <c r="BU47" s="19" t="n">
        <v>101837.94</v>
      </c>
      <c r="BV47" s="19" t="n">
        <v>95175.65</v>
      </c>
      <c r="BW47" s="19" t="n">
        <v>20457.17</v>
      </c>
      <c r="BX47" s="19" t="n">
        <v>9957.73</v>
      </c>
      <c r="BY47" s="19" t="n">
        <v>5411.95</v>
      </c>
      <c r="BZ47" s="19" t="n">
        <v>11380.27</v>
      </c>
      <c r="CA47" s="19" t="n">
        <v>8523.82</v>
      </c>
      <c r="CB47" s="19" t="n">
        <v>7966.19</v>
      </c>
      <c r="CC47" s="19" t="n">
        <v>27996.18</v>
      </c>
      <c r="CD47" s="19" t="n">
        <v>39973.77</v>
      </c>
      <c r="CE47" s="19" t="n">
        <v>4888.22</v>
      </c>
      <c r="CF47" s="19" t="n">
        <v>4568.43</v>
      </c>
      <c r="CG47" s="19" t="n">
        <f aca="false">SUM(CF47,CD47,CB47,BZ47,BX47,BV47,BT47,BR47,BP47,BN47,BL47,BJ47,BH47)</f>
        <v>378289.64</v>
      </c>
      <c r="CH47" s="19" t="n">
        <f aca="false">CG47+BF47</f>
        <v>4799045.39</v>
      </c>
      <c r="CI47" s="19" t="n">
        <f aca="false">SUM(CE47,CC47,CA47,BY47,BW47,BU47,BS47,BQ47,BO47,BM47,BK47,BI47,BG47,BD47,BB47,AZ47,AX47,AV47,AT47,AR47,AP47,AN47)</f>
        <v>5172646.89</v>
      </c>
      <c r="CJ47" s="19" t="n">
        <f aca="false">CI47-CH47</f>
        <v>373601.500000001</v>
      </c>
      <c r="CK47" s="19" t="str">
        <f aca="false">IF(CE47-CF47+CC47-CD47+CA47-CB47+BU47-BV47+BK47-BL47+BI47-BJ47 &gt; 0, CE47-CF47+CC47-CD47+CA47-CB47+BU47-BV47+BK47-BL47+BI47-BJ47, "-")</f>
        <v>-</v>
      </c>
      <c r="CL47" s="19" t="str">
        <f aca="false">IF(CJ47&lt;0,"⚠ Over Budget","✓ Within Budget")</f>
        <v>✓ Within Budget</v>
      </c>
      <c r="CM47" s="21"/>
    </row>
    <row r="48" customFormat="false" ht="14.25" hidden="false" customHeight="false" outlineLevel="0" collapsed="false">
      <c r="A48" s="22" t="s">
        <v>103</v>
      </c>
      <c r="B48" s="22" t="n">
        <v>2025</v>
      </c>
      <c r="C48" s="22" t="n">
        <v>20</v>
      </c>
      <c r="D48" s="22" t="n">
        <v>0</v>
      </c>
      <c r="E48" s="22" t="n">
        <v>0</v>
      </c>
      <c r="F48" s="22" t="n">
        <v>0</v>
      </c>
      <c r="G48" s="22" t="n">
        <v>0</v>
      </c>
      <c r="H48" s="22" t="n">
        <v>0</v>
      </c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20</v>
      </c>
      <c r="T48" s="22" t="n">
        <v>5</v>
      </c>
      <c r="U48" s="22" t="n">
        <v>15</v>
      </c>
      <c r="V48" s="22" t="n">
        <v>20</v>
      </c>
      <c r="W48" s="22" t="n">
        <v>0</v>
      </c>
      <c r="X48" s="22" t="n">
        <v>2</v>
      </c>
      <c r="Y48" s="22" t="n">
        <v>6</v>
      </c>
      <c r="Z48" s="22" t="n">
        <v>7</v>
      </c>
      <c r="AA48" s="22" t="n">
        <v>4</v>
      </c>
      <c r="AB48" s="22" t="n">
        <v>1</v>
      </c>
      <c r="AC48" s="22" t="n">
        <v>1</v>
      </c>
      <c r="AD48" s="23" t="n">
        <v>0</v>
      </c>
      <c r="AE48" s="23" t="n">
        <v>0.0136819511949638</v>
      </c>
      <c r="AF48" s="24" t="n">
        <v>59.5</v>
      </c>
      <c r="AG48" s="25" t="n">
        <v>662325</v>
      </c>
      <c r="AH48" s="25" t="n">
        <v>984742</v>
      </c>
      <c r="AI48" s="25" t="n">
        <v>1494151</v>
      </c>
      <c r="AJ48" s="25" t="n">
        <v>2269581</v>
      </c>
      <c r="AK48" s="25" t="n">
        <v>3652642</v>
      </c>
      <c r="AL48" s="25" t="n">
        <v>5868857</v>
      </c>
      <c r="AM48" s="25" t="n">
        <v>2103110.95</v>
      </c>
      <c r="AN48" s="25" t="n">
        <v>4125602.66</v>
      </c>
      <c r="AO48" s="25" t="n">
        <v>3855703.42</v>
      </c>
      <c r="AP48" s="25" t="n">
        <v>412560.27</v>
      </c>
      <c r="AQ48" s="25" t="n">
        <v>385570.34</v>
      </c>
      <c r="AR48" s="25" t="n">
        <v>480070.13</v>
      </c>
      <c r="AS48" s="25" t="n">
        <v>154228.14</v>
      </c>
      <c r="AT48" s="25" t="n">
        <v>206280.13</v>
      </c>
      <c r="AU48" s="25" t="n">
        <v>192785.17</v>
      </c>
      <c r="AV48" s="25" t="n">
        <v>24056.77</v>
      </c>
      <c r="AW48" s="25" t="n">
        <v>25605.6</v>
      </c>
      <c r="AX48" s="25" t="n">
        <v>18265.33</v>
      </c>
      <c r="AY48" s="25" t="n">
        <v>17070.4</v>
      </c>
      <c r="AZ48" s="25" t="n">
        <v>40249.78</v>
      </c>
      <c r="BA48" s="25" t="n">
        <v>0</v>
      </c>
      <c r="BB48" s="25" t="n">
        <v>1824.59</v>
      </c>
      <c r="BC48" s="25" t="n">
        <v>0</v>
      </c>
      <c r="BD48" s="25" t="n">
        <v>200.92</v>
      </c>
      <c r="BE48" s="25" t="n">
        <v>0</v>
      </c>
      <c r="BF48" s="25" t="n">
        <f aca="false">SUM(BE48,BC48,BA48,AY48,AW48,AU48,AS48,AQ48,AO48)</f>
        <v>4630963.07</v>
      </c>
      <c r="BG48" s="25" t="n">
        <v>10607.42</v>
      </c>
      <c r="BH48" s="25" t="n">
        <v>7966.19</v>
      </c>
      <c r="BI48" s="25" t="n">
        <v>16743.22</v>
      </c>
      <c r="BJ48" s="25" t="n">
        <v>15647.87</v>
      </c>
      <c r="BK48" s="25" t="n">
        <v>12176.89</v>
      </c>
      <c r="BL48" s="25" t="n">
        <v>11380.27</v>
      </c>
      <c r="BM48" s="25" t="n">
        <v>21309.55</v>
      </c>
      <c r="BN48" s="25" t="n">
        <v>19915.47</v>
      </c>
      <c r="BO48" s="25" t="n">
        <v>3773.83</v>
      </c>
      <c r="BP48" s="25" t="n">
        <v>0</v>
      </c>
      <c r="BQ48" s="25" t="n">
        <v>154978.54</v>
      </c>
      <c r="BR48" s="25" t="n">
        <v>144839.76</v>
      </c>
      <c r="BS48" s="25" t="n">
        <v>7379.93</v>
      </c>
      <c r="BT48" s="25" t="n">
        <v>7241.99</v>
      </c>
      <c r="BU48" s="25" t="n">
        <v>103140.07</v>
      </c>
      <c r="BV48" s="25" t="n">
        <v>96392.59</v>
      </c>
      <c r="BW48" s="25" t="n">
        <v>15342.88</v>
      </c>
      <c r="BX48" s="25" t="n">
        <v>9957.73</v>
      </c>
      <c r="BY48" s="25" t="n">
        <v>211840.99</v>
      </c>
      <c r="BZ48" s="25" t="n">
        <v>69603.13</v>
      </c>
      <c r="CA48" s="25" t="n">
        <v>8523.82</v>
      </c>
      <c r="CB48" s="25" t="n">
        <v>7966.19</v>
      </c>
      <c r="CC48" s="25" t="n">
        <v>37805.52</v>
      </c>
      <c r="CD48" s="25" t="n">
        <v>40484.89</v>
      </c>
      <c r="CE48" s="25" t="n">
        <v>4950.72</v>
      </c>
      <c r="CF48" s="25" t="n">
        <v>4626.84</v>
      </c>
      <c r="CG48" s="25" t="n">
        <f aca="false">SUM(CF48,CD48,CB48,BZ48,BX48,BV48,BT48,BR48,BP48,BN48,BL48,BJ48,BH48)</f>
        <v>436022.92</v>
      </c>
      <c r="CH48" s="25" t="n">
        <f aca="false">CG48+BF48</f>
        <v>5066985.99</v>
      </c>
      <c r="CI48" s="25" t="n">
        <f aca="false">SUM(CE48,CC48,CA48,BY48,BW48,BU48,BS48,BQ48,BO48,BM48,BK48,BI48,BG48,BD48,BB48,AZ48,AX48,AV48,AT48,AR48,AP48,AN48)</f>
        <v>5917683.96</v>
      </c>
      <c r="CJ48" s="25" t="n">
        <f aca="false">CI48-CH48</f>
        <v>850697.97</v>
      </c>
      <c r="CK48" s="25" t="n">
        <f aca="false">IF(CE48-CF48+CC48-CD48+CA48-CB48+BU48-BV48+BK48-BL48+BI48-BJ48 &gt; 0, CE48-CF48+CC48-CD48+CA48-CB48+BU48-BV48+BK48-BL48+BI48-BJ48, "-")</f>
        <v>6841.59000000001</v>
      </c>
      <c r="CL48" s="25" t="str">
        <f aca="false">IF(CJ48&lt;0,"⚠ Over Budget","✓ Within Budget")</f>
        <v>✓ Within Budget</v>
      </c>
      <c r="CM48" s="27"/>
    </row>
    <row r="49" customFormat="false" ht="14.25" hidden="false" customHeight="false" outlineLevel="0" collapsed="false">
      <c r="A49" s="16" t="s">
        <v>104</v>
      </c>
      <c r="B49" s="16" t="n">
        <v>2025</v>
      </c>
      <c r="C49" s="16" t="n">
        <v>20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20</v>
      </c>
      <c r="T49" s="16" t="n">
        <v>5</v>
      </c>
      <c r="U49" s="16" t="n">
        <v>15</v>
      </c>
      <c r="V49" s="16" t="n">
        <v>20</v>
      </c>
      <c r="W49" s="16" t="n">
        <v>0</v>
      </c>
      <c r="X49" s="16" t="n">
        <v>2</v>
      </c>
      <c r="Y49" s="16" t="n">
        <v>6</v>
      </c>
      <c r="Z49" s="16" t="n">
        <v>7</v>
      </c>
      <c r="AA49" s="16" t="n">
        <v>4</v>
      </c>
      <c r="AB49" s="16" t="n">
        <v>1</v>
      </c>
      <c r="AC49" s="16" t="n">
        <v>1</v>
      </c>
      <c r="AD49" s="17" t="n">
        <v>0</v>
      </c>
      <c r="AE49" s="17" t="n">
        <v>0</v>
      </c>
      <c r="AF49" s="18" t="n">
        <v>59.8</v>
      </c>
      <c r="AG49" s="19" t="n">
        <v>662325</v>
      </c>
      <c r="AH49" s="19" t="n">
        <v>984742</v>
      </c>
      <c r="AI49" s="19" t="n">
        <v>1494151</v>
      </c>
      <c r="AJ49" s="19" t="n">
        <v>2269581</v>
      </c>
      <c r="AK49" s="19" t="n">
        <v>3652642</v>
      </c>
      <c r="AL49" s="19" t="n">
        <v>5868857</v>
      </c>
      <c r="AM49" s="19" t="n">
        <v>2103110.95</v>
      </c>
      <c r="AN49" s="19" t="n">
        <v>4125602.66</v>
      </c>
      <c r="AO49" s="19" t="n">
        <v>3855703.42</v>
      </c>
      <c r="AP49" s="19" t="n">
        <v>412560.27</v>
      </c>
      <c r="AQ49" s="19" t="n">
        <v>385570.34</v>
      </c>
      <c r="AR49" s="19" t="n">
        <v>48757.12</v>
      </c>
      <c r="AS49" s="19" t="n">
        <v>0</v>
      </c>
      <c r="AT49" s="19" t="n">
        <v>206280.13</v>
      </c>
      <c r="AU49" s="19" t="n">
        <v>192785.17</v>
      </c>
      <c r="AV49" s="19" t="n">
        <v>28511.73</v>
      </c>
      <c r="AW49" s="19" t="n">
        <v>34140.8</v>
      </c>
      <c r="AX49" s="19" t="n">
        <v>18265.33</v>
      </c>
      <c r="AY49" s="19" t="n">
        <v>17070.4</v>
      </c>
      <c r="AZ49" s="19" t="n">
        <v>20124.89</v>
      </c>
      <c r="BA49" s="19" t="n">
        <v>0</v>
      </c>
      <c r="BB49" s="19" t="n">
        <v>608.2</v>
      </c>
      <c r="BC49" s="19" t="n">
        <v>0</v>
      </c>
      <c r="BD49" s="19" t="n">
        <v>200.92</v>
      </c>
      <c r="BE49" s="19" t="n">
        <v>0</v>
      </c>
      <c r="BF49" s="19" t="n">
        <f aca="false">SUM(BE49,BC49,BA49,AY49,AW49,AU49,AS49,AQ49,AO49)</f>
        <v>4485270.13</v>
      </c>
      <c r="BG49" s="19" t="n">
        <v>13854.59</v>
      </c>
      <c r="BH49" s="19" t="n">
        <v>9104.21</v>
      </c>
      <c r="BI49" s="19" t="n">
        <v>16743.22</v>
      </c>
      <c r="BJ49" s="19" t="n">
        <v>15647.87</v>
      </c>
      <c r="BK49" s="19" t="n">
        <v>12176.89</v>
      </c>
      <c r="BL49" s="19" t="n">
        <v>11380.27</v>
      </c>
      <c r="BM49" s="19" t="n">
        <v>21309.55</v>
      </c>
      <c r="BN49" s="19" t="n">
        <v>19915.47</v>
      </c>
      <c r="BO49" s="19" t="n">
        <v>3773.83</v>
      </c>
      <c r="BP49" s="19" t="n">
        <v>0</v>
      </c>
      <c r="BQ49" s="19" t="n">
        <v>154978.54</v>
      </c>
      <c r="BR49" s="19" t="n">
        <v>144839.76</v>
      </c>
      <c r="BS49" s="19" t="n">
        <v>6641.94</v>
      </c>
      <c r="BT49" s="19" t="n">
        <v>7241.99</v>
      </c>
      <c r="BU49" s="19" t="n">
        <v>103140.07</v>
      </c>
      <c r="BV49" s="19" t="n">
        <v>96392.59</v>
      </c>
      <c r="BW49" s="19" t="n">
        <v>10228.58</v>
      </c>
      <c r="BX49" s="19" t="n">
        <v>9957.73</v>
      </c>
      <c r="BY49" s="19" t="n">
        <v>43852.68</v>
      </c>
      <c r="BZ49" s="19" t="n">
        <v>30737.86</v>
      </c>
      <c r="CA49" s="19" t="n">
        <v>8523.82</v>
      </c>
      <c r="CB49" s="19" t="n">
        <v>7966.19</v>
      </c>
      <c r="CC49" s="19" t="n">
        <v>37805.52</v>
      </c>
      <c r="CD49" s="19" t="n">
        <v>40484.89</v>
      </c>
      <c r="CE49" s="19" t="n">
        <v>4950.72</v>
      </c>
      <c r="CF49" s="19" t="n">
        <v>4626.84</v>
      </c>
      <c r="CG49" s="19" t="n">
        <f aca="false">SUM(CF49,CD49,CB49,BZ49,BX49,BV49,BT49,BR49,BP49,BN49,BL49,BJ49,BH49)</f>
        <v>398295.67</v>
      </c>
      <c r="CH49" s="19" t="n">
        <f aca="false">CG49+BF49</f>
        <v>4883565.8</v>
      </c>
      <c r="CI49" s="19" t="n">
        <f aca="false">SUM(CE49,CC49,CA49,BY49,BW49,BU49,BS49,BQ49,BO49,BM49,BK49,BI49,BG49,BD49,BB49,AZ49,AX49,AV49,AT49,AR49,AP49,AN49)</f>
        <v>5298891.2</v>
      </c>
      <c r="CJ49" s="19" t="n">
        <f aca="false">CI49-CH49</f>
        <v>415325.4</v>
      </c>
      <c r="CK49" s="19" t="n">
        <f aca="false">IF(CE49-CF49+CC49-CD49+CA49-CB49+BU49-BV49+BK49-BL49+BI49-BJ49 &gt; 0, CE49-CF49+CC49-CD49+CA49-CB49+BU49-BV49+BK49-BL49+BI49-BJ49, "-")</f>
        <v>6841.59000000001</v>
      </c>
      <c r="CL49" s="19" t="str">
        <f aca="false">IF(CJ49&lt;0,"⚠ Over Budget","✓ Within Budget")</f>
        <v>✓ Within Budget</v>
      </c>
      <c r="CM49" s="21"/>
    </row>
    <row r="50" customFormat="false" ht="14.25" hidden="false" customHeight="false" outlineLevel="0" collapsed="false">
      <c r="A50" s="22" t="s">
        <v>105</v>
      </c>
      <c r="B50" s="22" t="n">
        <v>2025</v>
      </c>
      <c r="C50" s="22" t="n">
        <v>20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20</v>
      </c>
      <c r="T50" s="22" t="n">
        <v>5</v>
      </c>
      <c r="U50" s="22" t="n">
        <v>15</v>
      </c>
      <c r="V50" s="22" t="n">
        <v>20</v>
      </c>
      <c r="W50" s="22" t="n">
        <v>0</v>
      </c>
      <c r="X50" s="22" t="n">
        <v>2</v>
      </c>
      <c r="Y50" s="22" t="n">
        <v>6</v>
      </c>
      <c r="Z50" s="22" t="n">
        <v>7</v>
      </c>
      <c r="AA50" s="22" t="n">
        <v>4</v>
      </c>
      <c r="AB50" s="22" t="n">
        <v>1</v>
      </c>
      <c r="AC50" s="22" t="n">
        <v>1</v>
      </c>
      <c r="AD50" s="23" t="n">
        <v>0</v>
      </c>
      <c r="AE50" s="23" t="n">
        <v>0</v>
      </c>
      <c r="AF50" s="24" t="n">
        <v>60.1</v>
      </c>
      <c r="AG50" s="25" t="n">
        <v>662325</v>
      </c>
      <c r="AH50" s="25" t="n">
        <v>984742</v>
      </c>
      <c r="AI50" s="25" t="n">
        <v>1494151</v>
      </c>
      <c r="AJ50" s="25" t="n">
        <v>2269581</v>
      </c>
      <c r="AK50" s="25" t="n">
        <v>3652642</v>
      </c>
      <c r="AL50" s="25" t="n">
        <v>5868857</v>
      </c>
      <c r="AM50" s="25" t="n">
        <v>2103110.95</v>
      </c>
      <c r="AN50" s="25" t="n">
        <v>4125602.66</v>
      </c>
      <c r="AO50" s="25" t="n">
        <v>3855703.42</v>
      </c>
      <c r="AP50" s="25" t="n">
        <v>412560.27</v>
      </c>
      <c r="AQ50" s="25" t="n">
        <v>385570.34</v>
      </c>
      <c r="AR50" s="25" t="n">
        <v>1800262.98</v>
      </c>
      <c r="AS50" s="25" t="n">
        <v>385570.34</v>
      </c>
      <c r="AT50" s="25" t="n">
        <v>206280.13</v>
      </c>
      <c r="AU50" s="25" t="n">
        <v>192785.17</v>
      </c>
      <c r="AV50" s="25" t="n">
        <v>24947.77</v>
      </c>
      <c r="AW50" s="25" t="n">
        <v>34140.8</v>
      </c>
      <c r="AX50" s="25" t="n">
        <v>18265.33</v>
      </c>
      <c r="AY50" s="25" t="n">
        <v>17070.4</v>
      </c>
      <c r="AZ50" s="25" t="n">
        <v>30187.34</v>
      </c>
      <c r="BA50" s="25" t="n">
        <v>0</v>
      </c>
      <c r="BB50" s="25" t="n">
        <v>608.2</v>
      </c>
      <c r="BC50" s="25" t="n">
        <v>0</v>
      </c>
      <c r="BD50" s="25" t="n">
        <v>200.92</v>
      </c>
      <c r="BE50" s="25" t="n">
        <v>0</v>
      </c>
      <c r="BF50" s="25" t="n">
        <f aca="false">SUM(BE50,BC50,BA50,AY50,AW50,AU50,AS50,AQ50,AO50)</f>
        <v>4870840.47</v>
      </c>
      <c r="BG50" s="25" t="n">
        <v>2273.02</v>
      </c>
      <c r="BH50" s="25" t="n">
        <v>3983.09</v>
      </c>
      <c r="BI50" s="25" t="n">
        <v>16743.22</v>
      </c>
      <c r="BJ50" s="25" t="n">
        <v>15647.87</v>
      </c>
      <c r="BK50" s="25" t="n">
        <v>12176.89</v>
      </c>
      <c r="BL50" s="25" t="n">
        <v>11380.27</v>
      </c>
      <c r="BM50" s="25" t="n">
        <v>21309.55</v>
      </c>
      <c r="BN50" s="25" t="n">
        <v>19915.47</v>
      </c>
      <c r="BO50" s="25" t="n">
        <v>3773.83</v>
      </c>
      <c r="BP50" s="25" t="n">
        <v>0</v>
      </c>
      <c r="BQ50" s="25" t="n">
        <v>154978.54</v>
      </c>
      <c r="BR50" s="25" t="n">
        <v>144839.76</v>
      </c>
      <c r="BS50" s="25" t="n">
        <v>5903.94</v>
      </c>
      <c r="BT50" s="25" t="n">
        <v>7241.99</v>
      </c>
      <c r="BU50" s="25" t="n">
        <v>103140.07</v>
      </c>
      <c r="BV50" s="25" t="n">
        <v>96392.59</v>
      </c>
      <c r="BW50" s="25" t="n">
        <v>5114.29</v>
      </c>
      <c r="BX50" s="25" t="n">
        <v>9957.73</v>
      </c>
      <c r="BY50" s="25" t="n">
        <v>61434.66</v>
      </c>
      <c r="BZ50" s="25" t="n">
        <v>43061.68</v>
      </c>
      <c r="CA50" s="25" t="n">
        <v>8523.82</v>
      </c>
      <c r="CB50" s="25" t="n">
        <v>7966.19</v>
      </c>
      <c r="CC50" s="25" t="n">
        <v>23628.45</v>
      </c>
      <c r="CD50" s="25" t="n">
        <v>40484.89</v>
      </c>
      <c r="CE50" s="25" t="n">
        <v>4950.72</v>
      </c>
      <c r="CF50" s="25" t="n">
        <v>4626.84</v>
      </c>
      <c r="CG50" s="25" t="n">
        <f aca="false">SUM(CF50,CD50,CB50,BZ50,BX50,BV50,BT50,BR50,BP50,BN50,BL50,BJ50,BH50)</f>
        <v>405498.37</v>
      </c>
      <c r="CH50" s="25" t="n">
        <f aca="false">CG50+BF50</f>
        <v>5276338.84</v>
      </c>
      <c r="CI50" s="25" t="n">
        <f aca="false">SUM(CE50,CC50,CA50,BY50,BW50,BU50,BS50,BQ50,BO50,BM50,BK50,BI50,BG50,BD50,BB50,AZ50,AX50,AV50,AT50,AR50,AP50,AN50)</f>
        <v>7042866.6</v>
      </c>
      <c r="CJ50" s="25" t="n">
        <f aca="false">CI50-CH50</f>
        <v>1766527.76</v>
      </c>
      <c r="CK50" s="25" t="str">
        <f aca="false">IF(CE50-CF50+CC50-CD50+CA50-CB50+BU50-BV50+BK50-BL50+BI50-BJ50 &gt; 0, CE50-CF50+CC50-CD50+CA50-CB50+BU50-BV50+BK50-BL50+BI50-BJ50, "-")</f>
        <v>-</v>
      </c>
      <c r="CL50" s="25" t="str">
        <f aca="false">IF(CJ50&lt;0,"⚠ Over Budget","✓ Within Budget")</f>
        <v>✓ Within Budget</v>
      </c>
      <c r="CM50" s="27"/>
    </row>
    <row r="51" customFormat="false" ht="14.25" hidden="false" customHeight="false" outlineLevel="0" collapsed="false">
      <c r="A51" s="16" t="s">
        <v>92</v>
      </c>
      <c r="B51" s="16" t="n">
        <v>2026</v>
      </c>
      <c r="C51" s="16" t="n">
        <v>20</v>
      </c>
      <c r="D51" s="16" t="n">
        <v>1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1</v>
      </c>
      <c r="J51" s="16" t="n">
        <v>1</v>
      </c>
      <c r="K51" s="16" t="n">
        <v>1</v>
      </c>
      <c r="L51" s="16" t="n">
        <v>0</v>
      </c>
      <c r="M51" s="16" t="n">
        <v>0</v>
      </c>
      <c r="N51" s="16" t="n">
        <v>0</v>
      </c>
      <c r="O51" s="16" t="n">
        <v>0</v>
      </c>
      <c r="P51" s="16" t="n">
        <v>1</v>
      </c>
      <c r="Q51" s="16" t="n">
        <v>1</v>
      </c>
      <c r="R51" s="16" t="n">
        <v>0</v>
      </c>
      <c r="S51" s="16" t="n">
        <v>20</v>
      </c>
      <c r="T51" s="16" t="n">
        <v>5</v>
      </c>
      <c r="U51" s="16" t="n">
        <v>15</v>
      </c>
      <c r="V51" s="16" t="n">
        <v>20</v>
      </c>
      <c r="W51" s="16" t="n">
        <v>0</v>
      </c>
      <c r="X51" s="16" t="n">
        <v>2</v>
      </c>
      <c r="Y51" s="16" t="n">
        <v>6</v>
      </c>
      <c r="Z51" s="16" t="n">
        <v>7</v>
      </c>
      <c r="AA51" s="16" t="n">
        <v>4</v>
      </c>
      <c r="AB51" s="16" t="n">
        <v>1</v>
      </c>
      <c r="AC51" s="16" t="n">
        <v>1</v>
      </c>
      <c r="AD51" s="17" t="n">
        <v>0.6</v>
      </c>
      <c r="AE51" s="17" t="n">
        <v>0</v>
      </c>
      <c r="AF51" s="18" t="n">
        <v>60.5</v>
      </c>
      <c r="AG51" s="19" t="n">
        <v>662325</v>
      </c>
      <c r="AH51" s="19" t="n">
        <v>984742</v>
      </c>
      <c r="AI51" s="19" t="n">
        <v>1494151</v>
      </c>
      <c r="AJ51" s="19" t="n">
        <v>2269581</v>
      </c>
      <c r="AK51" s="19" t="n">
        <v>3652642</v>
      </c>
      <c r="AL51" s="19" t="n">
        <v>5868857</v>
      </c>
      <c r="AM51" s="19" t="n">
        <v>2031569.82</v>
      </c>
      <c r="AN51" s="19" t="n">
        <v>3985262.8</v>
      </c>
      <c r="AO51" s="19" t="n">
        <v>3724544.68</v>
      </c>
      <c r="AP51" s="19" t="n">
        <v>398526.28</v>
      </c>
      <c r="AQ51" s="19" t="n">
        <v>372454.47</v>
      </c>
      <c r="AR51" s="19" t="n">
        <v>65213.39</v>
      </c>
      <c r="AS51" s="19" t="n">
        <v>223472.68</v>
      </c>
      <c r="AT51" s="19" t="n">
        <v>199263.14</v>
      </c>
      <c r="AU51" s="19" t="n">
        <v>186227.23</v>
      </c>
      <c r="AV51" s="19" t="n">
        <v>27541.85</v>
      </c>
      <c r="AW51" s="19" t="n">
        <v>32979.44</v>
      </c>
      <c r="AX51" s="19" t="n">
        <v>17644</v>
      </c>
      <c r="AY51" s="19" t="n">
        <v>16489.72</v>
      </c>
      <c r="AZ51" s="19" t="n">
        <v>9720.15</v>
      </c>
      <c r="BA51" s="19" t="n">
        <v>0</v>
      </c>
      <c r="BB51" s="19" t="n">
        <v>587.51</v>
      </c>
      <c r="BC51" s="19" t="n">
        <v>0</v>
      </c>
      <c r="BD51" s="19" t="n">
        <v>465.81</v>
      </c>
      <c r="BE51" s="19" t="n">
        <v>0</v>
      </c>
      <c r="BF51" s="19" t="n">
        <f aca="false">SUM(BE51,BC51,BA51,AY51,AW51,AU51,AS51,AQ51,AO51)</f>
        <v>4556168.22</v>
      </c>
      <c r="BG51" s="19" t="n">
        <v>1463.8</v>
      </c>
      <c r="BH51" s="19" t="n">
        <v>3847.6</v>
      </c>
      <c r="BI51" s="19" t="n">
        <v>16173.67</v>
      </c>
      <c r="BJ51" s="19" t="n">
        <v>15115.58</v>
      </c>
      <c r="BK51" s="19" t="n">
        <v>11762.67</v>
      </c>
      <c r="BL51" s="19" t="n">
        <v>10993.15</v>
      </c>
      <c r="BM51" s="19" t="n">
        <v>20584.67</v>
      </c>
      <c r="BN51" s="19" t="n">
        <v>19238.01</v>
      </c>
      <c r="BO51" s="19" t="n">
        <v>3645.45</v>
      </c>
      <c r="BP51" s="19" t="n">
        <v>0</v>
      </c>
      <c r="BQ51" s="19" t="n">
        <v>149706.67</v>
      </c>
      <c r="BR51" s="19" t="n">
        <v>139912.77</v>
      </c>
      <c r="BS51" s="19" t="n">
        <v>6416</v>
      </c>
      <c r="BT51" s="19" t="n">
        <v>6995.64</v>
      </c>
      <c r="BU51" s="19" t="n">
        <v>99631.57</v>
      </c>
      <c r="BV51" s="19" t="n">
        <v>93113.62</v>
      </c>
      <c r="BW51" s="19" t="n">
        <v>4940.32</v>
      </c>
      <c r="BX51" s="19" t="n">
        <v>9619</v>
      </c>
      <c r="BY51" s="19" t="n">
        <v>5227.85</v>
      </c>
      <c r="BZ51" s="19" t="n">
        <v>10993.15</v>
      </c>
      <c r="CA51" s="19" t="n">
        <v>8233.87</v>
      </c>
      <c r="CB51" s="19" t="n">
        <v>7695.2</v>
      </c>
      <c r="CC51" s="19" t="n">
        <v>22824.69</v>
      </c>
      <c r="CD51" s="19" t="n">
        <v>39107.72</v>
      </c>
      <c r="CE51" s="19" t="n">
        <v>4782.32</v>
      </c>
      <c r="CF51" s="19" t="n">
        <v>4469.45</v>
      </c>
      <c r="CG51" s="19" t="n">
        <f aca="false">SUM(CF51,CD51,CB51,BZ51,BX51,BV51,BT51,BR51,BP51,BN51,BL51,BJ51,BH51)</f>
        <v>361100.89</v>
      </c>
      <c r="CH51" s="19" t="n">
        <f aca="false">CG51+BF51</f>
        <v>4917269.11</v>
      </c>
      <c r="CI51" s="19" t="n">
        <f aca="false">SUM(CE51,CC51,CA51,BY51,BW51,BU51,BS51,BQ51,BO51,BM51,BK51,BI51,BG51,BD51,BB51,AZ51,AX51,AV51,AT51,AR51,AP51,AN51)</f>
        <v>5059618.48</v>
      </c>
      <c r="CJ51" s="19" t="n">
        <f aca="false">CI51-CH51</f>
        <v>142349.37</v>
      </c>
      <c r="CK51" s="19" t="str">
        <f aca="false">IF(CE51-CF51+CC51-CD51+CA51-CB51+BU51-BV51+BK51-BL51+BI51-BJ51 &gt; 0, CE51-CF51+CC51-CD51+CA51-CB51+BU51-BV51+BK51-BL51+BI51-BJ51, "-")</f>
        <v>-</v>
      </c>
      <c r="CL51" s="19" t="str">
        <f aca="false">IF(CJ51&lt;0,"⚠ Over Budget","✓ Within Budget")</f>
        <v>✓ Within Budget</v>
      </c>
      <c r="CM51" s="21"/>
    </row>
    <row r="52" customFormat="false" ht="14.25" hidden="false" customHeight="false" outlineLevel="0" collapsed="false">
      <c r="A52" s="22" t="s">
        <v>93</v>
      </c>
      <c r="B52" s="22" t="n">
        <v>2026</v>
      </c>
      <c r="C52" s="22" t="n">
        <v>20</v>
      </c>
      <c r="D52" s="22" t="n">
        <v>1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1</v>
      </c>
      <c r="J52" s="22" t="n">
        <v>1</v>
      </c>
      <c r="K52" s="22" t="n">
        <v>1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1</v>
      </c>
      <c r="Q52" s="22" t="n">
        <v>1</v>
      </c>
      <c r="R52" s="22" t="n">
        <v>0</v>
      </c>
      <c r="S52" s="22" t="n">
        <v>20</v>
      </c>
      <c r="T52" s="22" t="n">
        <v>6</v>
      </c>
      <c r="U52" s="22" t="n">
        <v>14</v>
      </c>
      <c r="V52" s="22" t="n">
        <v>20</v>
      </c>
      <c r="W52" s="22" t="n">
        <v>0</v>
      </c>
      <c r="X52" s="22" t="n">
        <v>2</v>
      </c>
      <c r="Y52" s="22" t="n">
        <v>6</v>
      </c>
      <c r="Z52" s="22" t="n">
        <v>7</v>
      </c>
      <c r="AA52" s="22" t="n">
        <v>4</v>
      </c>
      <c r="AB52" s="22" t="n">
        <v>1</v>
      </c>
      <c r="AC52" s="22" t="n">
        <v>1</v>
      </c>
      <c r="AD52" s="23" t="n">
        <v>0.6</v>
      </c>
      <c r="AE52" s="23" t="n">
        <v>0</v>
      </c>
      <c r="AF52" s="24" t="n">
        <v>60.8</v>
      </c>
      <c r="AG52" s="25" t="n">
        <v>662325</v>
      </c>
      <c r="AH52" s="25" t="n">
        <v>984742</v>
      </c>
      <c r="AI52" s="25" t="n">
        <v>1494151</v>
      </c>
      <c r="AJ52" s="25" t="n">
        <v>2269581</v>
      </c>
      <c r="AK52" s="25" t="n">
        <v>3652642</v>
      </c>
      <c r="AL52" s="25" t="n">
        <v>5868857</v>
      </c>
      <c r="AM52" s="25" t="n">
        <v>2031569.82</v>
      </c>
      <c r="AN52" s="25" t="n">
        <v>3804114.49</v>
      </c>
      <c r="AO52" s="25" t="n">
        <v>3555247.19</v>
      </c>
      <c r="AP52" s="25" t="n">
        <v>380411.45</v>
      </c>
      <c r="AQ52" s="25" t="n">
        <v>355524.72</v>
      </c>
      <c r="AR52" s="25" t="n">
        <v>10374.86</v>
      </c>
      <c r="AS52" s="25" t="n">
        <v>0</v>
      </c>
      <c r="AT52" s="25" t="n">
        <v>190205.72</v>
      </c>
      <c r="AU52" s="25" t="n">
        <v>177762.36</v>
      </c>
      <c r="AV52" s="25" t="n">
        <v>26289.95</v>
      </c>
      <c r="AW52" s="25" t="n">
        <v>31480.37</v>
      </c>
      <c r="AX52" s="25" t="n">
        <v>16842</v>
      </c>
      <c r="AY52" s="25" t="n">
        <v>15740.19</v>
      </c>
      <c r="AZ52" s="25" t="n">
        <v>9278.33</v>
      </c>
      <c r="BA52" s="25" t="n">
        <v>0</v>
      </c>
      <c r="BB52" s="25" t="n">
        <v>1762.52</v>
      </c>
      <c r="BC52" s="25" t="n">
        <v>0</v>
      </c>
      <c r="BD52" s="25" t="n">
        <v>582.26</v>
      </c>
      <c r="BE52" s="25" t="n">
        <v>0</v>
      </c>
      <c r="BF52" s="25" t="n">
        <f aca="false">SUM(BE52,BC52,BA52,AY52,AW52,AU52,AS52,AQ52,AO52)</f>
        <v>4135754.83</v>
      </c>
      <c r="BG52" s="25" t="n">
        <v>1397.26</v>
      </c>
      <c r="BH52" s="25" t="n">
        <v>3672.71</v>
      </c>
      <c r="BI52" s="25" t="n">
        <v>15438.5</v>
      </c>
      <c r="BJ52" s="25" t="n">
        <v>14428.5</v>
      </c>
      <c r="BK52" s="25" t="n">
        <v>11228</v>
      </c>
      <c r="BL52" s="25" t="n">
        <v>10493.46</v>
      </c>
      <c r="BM52" s="25" t="n">
        <v>19649</v>
      </c>
      <c r="BN52" s="25" t="n">
        <v>18363.55</v>
      </c>
      <c r="BO52" s="25" t="n">
        <v>3645.45</v>
      </c>
      <c r="BP52" s="25" t="n">
        <v>0</v>
      </c>
      <c r="BQ52" s="25" t="n">
        <v>140350</v>
      </c>
      <c r="BR52" s="25" t="n">
        <v>131168.22</v>
      </c>
      <c r="BS52" s="25" t="n">
        <v>6015</v>
      </c>
      <c r="BT52" s="25" t="n">
        <v>6558.41</v>
      </c>
      <c r="BU52" s="25" t="n">
        <v>95102.86</v>
      </c>
      <c r="BV52" s="25" t="n">
        <v>88881.18</v>
      </c>
      <c r="BW52" s="25" t="n">
        <v>4715.76</v>
      </c>
      <c r="BX52" s="25" t="n">
        <v>9181.78</v>
      </c>
      <c r="BY52" s="25" t="n">
        <v>4990.22</v>
      </c>
      <c r="BZ52" s="25" t="n">
        <v>10493.46</v>
      </c>
      <c r="CA52" s="25" t="n">
        <v>7859.6</v>
      </c>
      <c r="CB52" s="25" t="n">
        <v>7345.42</v>
      </c>
      <c r="CC52" s="25" t="n">
        <v>21787.2</v>
      </c>
      <c r="CD52" s="25" t="n">
        <v>37330.1</v>
      </c>
      <c r="CE52" s="25" t="n">
        <v>4564.94</v>
      </c>
      <c r="CF52" s="25" t="n">
        <v>4266.3</v>
      </c>
      <c r="CG52" s="25" t="n">
        <f aca="false">SUM(CF52,CD52,CB52,BZ52,BX52,BV52,BT52,BR52,BP52,BN52,BL52,BJ52,BH52)</f>
        <v>342183.09</v>
      </c>
      <c r="CH52" s="25" t="n">
        <f aca="false">CG52+BF52</f>
        <v>4477937.92</v>
      </c>
      <c r="CI52" s="25" t="n">
        <f aca="false">SUM(CE52,CC52,CA52,BY52,BW52,BU52,BS52,BQ52,BO52,BM52,BK52,BI52,BG52,BD52,BB52,AZ52,AX52,AV52,AT52,AR52,AP52,AN52)</f>
        <v>4776605.37</v>
      </c>
      <c r="CJ52" s="25" t="n">
        <f aca="false">CI52-CH52</f>
        <v>298667.45</v>
      </c>
      <c r="CK52" s="25" t="str">
        <f aca="false">IF(CE52-CF52+CC52-CD52+CA52-CB52+BU52-BV52+BK52-BL52+BI52-BJ52 &gt; 0, CE52-CF52+CC52-CD52+CA52-CB52+BU52-BV52+BK52-BL52+BI52-BJ52, "-")</f>
        <v>-</v>
      </c>
      <c r="CL52" s="25" t="str">
        <f aca="false">IF(CJ52&lt;0,"⚠ Over Budget","✓ Within Budget")</f>
        <v>✓ Within Budget</v>
      </c>
      <c r="CM52" s="27"/>
    </row>
    <row r="53" customFormat="false" ht="18.75" hidden="false" customHeight="true" outlineLevel="0" collapsed="false">
      <c r="A53" s="28" t="s">
        <v>94</v>
      </c>
      <c r="B53" s="28" t="n">
        <v>2026</v>
      </c>
      <c r="C53" s="28" t="n">
        <v>20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0</v>
      </c>
      <c r="L53" s="28" t="n">
        <v>0</v>
      </c>
      <c r="M53" s="28" t="n">
        <v>0</v>
      </c>
      <c r="N53" s="28" t="n">
        <v>0</v>
      </c>
      <c r="O53" s="28" t="n">
        <v>0</v>
      </c>
      <c r="P53" s="28" t="n">
        <v>0</v>
      </c>
      <c r="Q53" s="28" t="n">
        <v>0</v>
      </c>
      <c r="R53" s="28" t="n">
        <v>0</v>
      </c>
      <c r="S53" s="28" t="n">
        <v>20</v>
      </c>
      <c r="T53" s="28" t="n">
        <v>6</v>
      </c>
      <c r="U53" s="28" t="n">
        <v>14</v>
      </c>
      <c r="V53" s="28" t="n">
        <v>20</v>
      </c>
      <c r="W53" s="28" t="n">
        <v>0</v>
      </c>
      <c r="X53" s="28" t="n">
        <v>2</v>
      </c>
      <c r="Y53" s="28" t="n">
        <v>6</v>
      </c>
      <c r="Z53" s="28" t="n">
        <v>7</v>
      </c>
      <c r="AA53" s="28" t="n">
        <v>4</v>
      </c>
      <c r="AB53" s="28" t="n">
        <v>1</v>
      </c>
      <c r="AC53" s="28" t="n">
        <v>1</v>
      </c>
      <c r="AD53" s="29" t="n">
        <v>0</v>
      </c>
      <c r="AE53" s="29" t="n">
        <v>0</v>
      </c>
      <c r="AF53" s="30" t="n">
        <v>61.2</v>
      </c>
      <c r="AG53" s="31" t="n">
        <v>662325</v>
      </c>
      <c r="AH53" s="31" t="n">
        <v>984742</v>
      </c>
      <c r="AI53" s="31" t="n">
        <v>1494151</v>
      </c>
      <c r="AJ53" s="31" t="n">
        <v>2269581</v>
      </c>
      <c r="AK53" s="31" t="n">
        <v>3652642</v>
      </c>
      <c r="AL53" s="31" t="n">
        <v>5868857</v>
      </c>
      <c r="AM53" s="31" t="n">
        <v>2031569.82</v>
      </c>
      <c r="AN53" s="31" t="n">
        <v>3804114.49</v>
      </c>
      <c r="AO53" s="31" t="n">
        <v>4135410.53</v>
      </c>
      <c r="AP53" s="31" t="n">
        <v>380411.45</v>
      </c>
      <c r="AQ53" s="31" t="n">
        <v>355524.72</v>
      </c>
      <c r="AR53" s="31" t="n">
        <v>17291.43</v>
      </c>
      <c r="AS53" s="31" t="n">
        <v>580163.34</v>
      </c>
      <c r="AT53" s="31" t="n">
        <v>190205.72</v>
      </c>
      <c r="AU53" s="31" t="n">
        <v>177762.36</v>
      </c>
      <c r="AV53" s="31" t="n">
        <v>24646.83</v>
      </c>
      <c r="AW53" s="31" t="n">
        <v>23610.28</v>
      </c>
      <c r="AX53" s="31" t="n">
        <v>16842</v>
      </c>
      <c r="AY53" s="31" t="n">
        <v>15740.19</v>
      </c>
      <c r="AZ53" s="31" t="n">
        <v>29690.65</v>
      </c>
      <c r="BA53" s="31" t="n">
        <v>0</v>
      </c>
      <c r="BB53" s="31" t="n">
        <v>2937.54</v>
      </c>
      <c r="BC53" s="31" t="n">
        <v>0</v>
      </c>
      <c r="BD53" s="31" t="n">
        <v>582.26</v>
      </c>
      <c r="BE53" s="31" t="n">
        <v>0</v>
      </c>
      <c r="BF53" s="31" t="n">
        <f aca="false">SUM(BE53,BC53,BA53,AY53,AW53,AU53,AS53,AQ53,AO53)</f>
        <v>5288211.42</v>
      </c>
      <c r="BG53" s="31" t="n">
        <v>1397.26</v>
      </c>
      <c r="BH53" s="31" t="n">
        <v>3672.71</v>
      </c>
      <c r="BI53" s="31" t="n">
        <v>15438.5</v>
      </c>
      <c r="BJ53" s="31" t="n">
        <v>14428.5</v>
      </c>
      <c r="BK53" s="31" t="n">
        <v>11228</v>
      </c>
      <c r="BL53" s="31" t="n">
        <v>10493.46</v>
      </c>
      <c r="BM53" s="31" t="n">
        <v>19649</v>
      </c>
      <c r="BN53" s="31" t="n">
        <v>18363.55</v>
      </c>
      <c r="BO53" s="31" t="n">
        <v>3645.45</v>
      </c>
      <c r="BP53" s="31" t="n">
        <v>0</v>
      </c>
      <c r="BQ53" s="31" t="n">
        <v>140350</v>
      </c>
      <c r="BR53" s="31" t="n">
        <v>131168.22</v>
      </c>
      <c r="BS53" s="31" t="n">
        <v>6683.33</v>
      </c>
      <c r="BT53" s="31" t="n">
        <v>6558.41</v>
      </c>
      <c r="BU53" s="31" t="n">
        <v>95102.86</v>
      </c>
      <c r="BV53" s="31" t="n">
        <v>88881.18</v>
      </c>
      <c r="BW53" s="31" t="n">
        <v>4715.76</v>
      </c>
      <c r="BX53" s="31" t="n">
        <v>9181.78</v>
      </c>
      <c r="BY53" s="31" t="n">
        <v>27875.02</v>
      </c>
      <c r="BZ53" s="31" t="n">
        <v>24423.21</v>
      </c>
      <c r="CA53" s="31" t="n">
        <v>7859.6</v>
      </c>
      <c r="CB53" s="31" t="n">
        <v>7345.42</v>
      </c>
      <c r="CC53" s="31" t="n">
        <v>232516.09</v>
      </c>
      <c r="CD53" s="31" t="n">
        <v>853229.54</v>
      </c>
      <c r="CE53" s="31" t="n">
        <v>4564.94</v>
      </c>
      <c r="CF53" s="31" t="n">
        <v>4266.3</v>
      </c>
      <c r="CG53" s="31" t="n">
        <f aca="false">SUM(CF53,CD53,CB53,BZ53,BX53,BV53,BT53,BR53,BP53,BN53,BL53,BJ53,BH53)</f>
        <v>1172012.28</v>
      </c>
      <c r="CH53" s="31" t="n">
        <f aca="false">CG53+BF53</f>
        <v>6460223.7</v>
      </c>
      <c r="CI53" s="31" t="n">
        <f aca="false">SUM(CE53,CC53,CA53,BY53,BW53,BU53,BS53,BQ53,BO53,BM53,BK53,BI53,BG53,BD53,BB53,AZ53,AX53,AV53,AT53,AR53,AP53,AN53)</f>
        <v>5037748.18</v>
      </c>
      <c r="CJ53" s="31" t="n">
        <f aca="false">CI53-CH53</f>
        <v>-1422475.52</v>
      </c>
      <c r="CK53" s="31" t="str">
        <f aca="false">IF(CE53-CF53+CC53-CD53+CA53-CB53+BU53-BV53+BK53-BL53+BI53-BJ53 &gt; 0, CE53-CF53+CC53-CD53+CA53-CB53+BU53-BV53+BK53-BL53+BI53-BJ53, "-")</f>
        <v>-</v>
      </c>
      <c r="CL53" s="31" t="str">
        <f aca="false">IF(CJ53&lt;0,"⚠ Over Budget","✓ Within Budget")</f>
        <v>⚠ Over Budget</v>
      </c>
      <c r="CM53" s="33" t="s">
        <v>112</v>
      </c>
    </row>
    <row r="54" customFormat="false" ht="18.75" hidden="false" customHeight="true" outlineLevel="0" collapsed="false">
      <c r="A54" s="28" t="s">
        <v>96</v>
      </c>
      <c r="B54" s="28" t="n">
        <v>2026</v>
      </c>
      <c r="C54" s="28" t="n">
        <v>20</v>
      </c>
      <c r="D54" s="28" t="n">
        <v>0</v>
      </c>
      <c r="E54" s="28" t="n">
        <v>0</v>
      </c>
      <c r="F54" s="28" t="n">
        <v>0</v>
      </c>
      <c r="G54" s="28" t="n">
        <v>0</v>
      </c>
      <c r="H54" s="28" t="n">
        <v>0</v>
      </c>
      <c r="I54" s="28" t="n">
        <v>0</v>
      </c>
      <c r="J54" s="28" t="n">
        <v>0</v>
      </c>
      <c r="K54" s="28" t="n">
        <v>0</v>
      </c>
      <c r="L54" s="28" t="n">
        <v>0</v>
      </c>
      <c r="M54" s="28" t="n">
        <v>0</v>
      </c>
      <c r="N54" s="28" t="n">
        <v>0</v>
      </c>
      <c r="O54" s="28" t="n">
        <v>0</v>
      </c>
      <c r="P54" s="28" t="n">
        <v>0</v>
      </c>
      <c r="Q54" s="28" t="n">
        <v>0</v>
      </c>
      <c r="R54" s="28" t="n">
        <v>0</v>
      </c>
      <c r="S54" s="28" t="n">
        <v>20</v>
      </c>
      <c r="T54" s="28" t="n">
        <v>6</v>
      </c>
      <c r="U54" s="28" t="n">
        <v>14</v>
      </c>
      <c r="V54" s="28" t="n">
        <v>20</v>
      </c>
      <c r="W54" s="28" t="n">
        <v>0</v>
      </c>
      <c r="X54" s="28" t="n">
        <v>2</v>
      </c>
      <c r="Y54" s="28" t="n">
        <v>6</v>
      </c>
      <c r="Z54" s="28" t="n">
        <v>7</v>
      </c>
      <c r="AA54" s="28" t="n">
        <v>4</v>
      </c>
      <c r="AB54" s="28" t="n">
        <v>1</v>
      </c>
      <c r="AC54" s="28" t="n">
        <v>1</v>
      </c>
      <c r="AD54" s="29" t="n">
        <v>0</v>
      </c>
      <c r="AE54" s="29" t="n">
        <v>0.101226354903839</v>
      </c>
      <c r="AF54" s="30" t="n">
        <v>61.5</v>
      </c>
      <c r="AG54" s="31" t="n">
        <v>740686</v>
      </c>
      <c r="AH54" s="31" t="n">
        <v>1092033</v>
      </c>
      <c r="AI54" s="31" t="n">
        <v>1646205</v>
      </c>
      <c r="AJ54" s="31" t="n">
        <v>2480551</v>
      </c>
      <c r="AK54" s="31" t="n">
        <v>3909003</v>
      </c>
      <c r="AL54" s="31" t="n">
        <v>6286761</v>
      </c>
      <c r="AM54" s="31" t="n">
        <v>2224527.44</v>
      </c>
      <c r="AN54" s="31" t="n">
        <v>4165427.63</v>
      </c>
      <c r="AO54" s="31" t="n">
        <v>4938162.27</v>
      </c>
      <c r="AP54" s="31" t="n">
        <v>416542.76</v>
      </c>
      <c r="AQ54" s="31" t="n">
        <v>389292.3</v>
      </c>
      <c r="AR54" s="31" t="n">
        <v>212058.13</v>
      </c>
      <c r="AS54" s="31" t="n">
        <v>969330.78</v>
      </c>
      <c r="AT54" s="31" t="n">
        <v>208271.38</v>
      </c>
      <c r="AU54" s="31" t="n">
        <v>194646.15</v>
      </c>
      <c r="AV54" s="31" t="n">
        <v>29576.2</v>
      </c>
      <c r="AW54" s="31" t="n">
        <v>23610.28</v>
      </c>
      <c r="AX54" s="31" t="n">
        <v>16842</v>
      </c>
      <c r="AY54" s="31" t="n">
        <v>15740.19</v>
      </c>
      <c r="AZ54" s="31" t="n">
        <v>40638.32</v>
      </c>
      <c r="BA54" s="31" t="n">
        <v>0</v>
      </c>
      <c r="BB54" s="31" t="n">
        <v>3216.55</v>
      </c>
      <c r="BC54" s="31" t="n">
        <v>0</v>
      </c>
      <c r="BD54" s="31" t="n">
        <v>212.52</v>
      </c>
      <c r="BE54" s="31" t="n">
        <v>0</v>
      </c>
      <c r="BF54" s="31" t="n">
        <f aca="false">SUM(BE54,BC54,BA54,AY54,AW54,AU54,AS54,AQ54,AO54)</f>
        <v>6530781.97</v>
      </c>
      <c r="BG54" s="31" t="n">
        <v>24152.68</v>
      </c>
      <c r="BH54" s="31" t="n">
        <v>11542.8</v>
      </c>
      <c r="BI54" s="31" t="n">
        <v>15438.5</v>
      </c>
      <c r="BJ54" s="31" t="n">
        <v>14428.5</v>
      </c>
      <c r="BK54" s="31" t="n">
        <v>11228</v>
      </c>
      <c r="BL54" s="31" t="n">
        <v>10493.46</v>
      </c>
      <c r="BM54" s="31" t="n">
        <v>19649</v>
      </c>
      <c r="BN54" s="31" t="n">
        <v>18363.55</v>
      </c>
      <c r="BO54" s="31" t="n">
        <v>18227.27</v>
      </c>
      <c r="BP54" s="31" t="n">
        <v>0</v>
      </c>
      <c r="BQ54" s="31" t="n">
        <v>140350</v>
      </c>
      <c r="BR54" s="31" t="n">
        <v>131168.22</v>
      </c>
      <c r="BS54" s="31" t="n">
        <v>6683.33</v>
      </c>
      <c r="BT54" s="31" t="n">
        <v>6558.41</v>
      </c>
      <c r="BU54" s="31" t="n">
        <v>104135.69</v>
      </c>
      <c r="BV54" s="31" t="n">
        <v>97323.08</v>
      </c>
      <c r="BW54" s="31" t="n">
        <v>18863.04</v>
      </c>
      <c r="BX54" s="31" t="n">
        <v>9181.78</v>
      </c>
      <c r="BY54" s="31" t="n">
        <v>4990.22</v>
      </c>
      <c r="BZ54" s="31" t="n">
        <v>10493.46</v>
      </c>
      <c r="CA54" s="31" t="n">
        <v>7859.6</v>
      </c>
      <c r="CB54" s="31" t="n">
        <v>7345.42</v>
      </c>
      <c r="CC54" s="31" t="n">
        <v>368257.4</v>
      </c>
      <c r="CD54" s="31" t="n">
        <v>126194.12</v>
      </c>
      <c r="CE54" s="31" t="n">
        <v>4998.51</v>
      </c>
      <c r="CF54" s="31" t="n">
        <v>4671.51</v>
      </c>
      <c r="CG54" s="31" t="n">
        <f aca="false">SUM(CF54,CD54,CB54,BZ54,BX54,BV54,BT54,BR54,BP54,BN54,BL54,BJ54,BH54)</f>
        <v>447764.31</v>
      </c>
      <c r="CH54" s="31" t="n">
        <f aca="false">CG54+BF54</f>
        <v>6978546.28</v>
      </c>
      <c r="CI54" s="31" t="n">
        <f aca="false">SUM(CE54,CC54,CA54,BY54,BW54,BU54,BS54,BQ54,BO54,BM54,BK54,BI54,BG54,BD54,BB54,AZ54,AX54,AV54,AT54,AR54,AP54,AN54)</f>
        <v>5837618.73</v>
      </c>
      <c r="CJ54" s="31" t="n">
        <f aca="false">CI54-CH54</f>
        <v>-1140927.55</v>
      </c>
      <c r="CK54" s="31" t="n">
        <f aca="false">IF(CE54-CF54+CC54-CD54+CA54-CB54+BU54-BV54+BK54-BL54+BI54-BJ54 &gt; 0, CE54-CF54+CC54-CD54+CA54-CB54+BU54-BV54+BK54-BL54+BI54-BJ54, "-")</f>
        <v>251461.61</v>
      </c>
      <c r="CL54" s="31" t="str">
        <f aca="false">IF(CJ54&lt;0,"⚠ Over Budget","✓ Within Budget")</f>
        <v>⚠ Over Budget</v>
      </c>
      <c r="CM54" s="33" t="s">
        <v>107</v>
      </c>
    </row>
    <row r="55" customFormat="false" ht="14.25" hidden="false" customHeight="false" outlineLevel="0" collapsed="false">
      <c r="A55" s="16" t="s">
        <v>98</v>
      </c>
      <c r="B55" s="16" t="n">
        <v>2026</v>
      </c>
      <c r="C55" s="16" t="n">
        <v>20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20</v>
      </c>
      <c r="T55" s="16" t="n">
        <v>6</v>
      </c>
      <c r="U55" s="16" t="n">
        <v>14</v>
      </c>
      <c r="V55" s="16" t="n">
        <v>20</v>
      </c>
      <c r="W55" s="16" t="n">
        <v>0</v>
      </c>
      <c r="X55" s="16" t="n">
        <v>2</v>
      </c>
      <c r="Y55" s="16" t="n">
        <v>6</v>
      </c>
      <c r="Z55" s="16" t="n">
        <v>7</v>
      </c>
      <c r="AA55" s="16" t="n">
        <v>4</v>
      </c>
      <c r="AB55" s="16" t="n">
        <v>1</v>
      </c>
      <c r="AC55" s="16" t="n">
        <v>1</v>
      </c>
      <c r="AD55" s="17" t="n">
        <v>0</v>
      </c>
      <c r="AE55" s="17" t="n">
        <v>0</v>
      </c>
      <c r="AF55" s="18" t="n">
        <v>61.8</v>
      </c>
      <c r="AG55" s="19" t="n">
        <v>740686</v>
      </c>
      <c r="AH55" s="19" t="n">
        <v>1092033</v>
      </c>
      <c r="AI55" s="19" t="n">
        <v>1646205</v>
      </c>
      <c r="AJ55" s="19" t="n">
        <v>2480551</v>
      </c>
      <c r="AK55" s="19" t="n">
        <v>3909003</v>
      </c>
      <c r="AL55" s="19" t="n">
        <v>6286761</v>
      </c>
      <c r="AM55" s="19" t="n">
        <v>2224527.44</v>
      </c>
      <c r="AN55" s="19" t="n">
        <v>4165427.63</v>
      </c>
      <c r="AO55" s="19" t="n">
        <v>3892923.02</v>
      </c>
      <c r="AP55" s="19" t="n">
        <v>416542.76</v>
      </c>
      <c r="AQ55" s="19" t="n">
        <v>389292.3</v>
      </c>
      <c r="AR55" s="19" t="n">
        <v>15147.01</v>
      </c>
      <c r="AS55" s="19" t="n">
        <v>0</v>
      </c>
      <c r="AT55" s="19" t="n">
        <v>208271.38</v>
      </c>
      <c r="AU55" s="19" t="n">
        <v>194646.15</v>
      </c>
      <c r="AV55" s="19" t="n">
        <v>32040.88</v>
      </c>
      <c r="AW55" s="19" t="n">
        <v>23610.28</v>
      </c>
      <c r="AX55" s="19" t="n">
        <v>16842</v>
      </c>
      <c r="AY55" s="19" t="n">
        <v>15740.19</v>
      </c>
      <c r="AZ55" s="19" t="n">
        <v>12191.5</v>
      </c>
      <c r="BA55" s="19" t="n">
        <v>0</v>
      </c>
      <c r="BB55" s="19" t="n">
        <v>1286.62</v>
      </c>
      <c r="BC55" s="19" t="n">
        <v>0</v>
      </c>
      <c r="BD55" s="19" t="n">
        <v>212.52</v>
      </c>
      <c r="BE55" s="19" t="n">
        <v>0</v>
      </c>
      <c r="BF55" s="19" t="n">
        <f aca="false">SUM(BE55,BC55,BA55,AY55,AW55,AU55,AS55,AQ55,AO55)</f>
        <v>4516211.94</v>
      </c>
      <c r="BG55" s="19" t="n">
        <v>16168.32</v>
      </c>
      <c r="BH55" s="19" t="n">
        <v>9444.11</v>
      </c>
      <c r="BI55" s="19" t="n">
        <v>15438.5</v>
      </c>
      <c r="BJ55" s="19" t="n">
        <v>14428.5</v>
      </c>
      <c r="BK55" s="19" t="n">
        <v>11228</v>
      </c>
      <c r="BL55" s="19" t="n">
        <v>10493.46</v>
      </c>
      <c r="BM55" s="19" t="n">
        <v>19649</v>
      </c>
      <c r="BN55" s="19" t="n">
        <v>18363.55</v>
      </c>
      <c r="BO55" s="19" t="n">
        <v>7290.91</v>
      </c>
      <c r="BP55" s="19" t="n">
        <v>0</v>
      </c>
      <c r="BQ55" s="19" t="n">
        <v>140350</v>
      </c>
      <c r="BR55" s="19" t="n">
        <v>131168.22</v>
      </c>
      <c r="BS55" s="19" t="n">
        <v>7351.67</v>
      </c>
      <c r="BT55" s="19" t="n">
        <v>6558.41</v>
      </c>
      <c r="BU55" s="19" t="n">
        <v>104135.69</v>
      </c>
      <c r="BV55" s="19" t="n">
        <v>97323.08</v>
      </c>
      <c r="BW55" s="19" t="n">
        <v>14147.28</v>
      </c>
      <c r="BX55" s="19" t="n">
        <v>9181.78</v>
      </c>
      <c r="BY55" s="19" t="n">
        <v>4990.22</v>
      </c>
      <c r="BZ55" s="19" t="n">
        <v>10493.46</v>
      </c>
      <c r="CA55" s="19" t="n">
        <v>7859.6</v>
      </c>
      <c r="CB55" s="19" t="n">
        <v>7345.42</v>
      </c>
      <c r="CC55" s="19" t="n">
        <v>38170.46</v>
      </c>
      <c r="CD55" s="19" t="n">
        <v>40875.69</v>
      </c>
      <c r="CE55" s="19" t="n">
        <v>4998.51</v>
      </c>
      <c r="CF55" s="19" t="n">
        <v>4671.51</v>
      </c>
      <c r="CG55" s="19" t="n">
        <f aca="false">SUM(CF55,CD55,CB55,BZ55,BX55,BV55,BT55,BR55,BP55,BN55,BL55,BJ55,BH55)</f>
        <v>360347.19</v>
      </c>
      <c r="CH55" s="19" t="n">
        <f aca="false">CG55+BF55</f>
        <v>4876559.13</v>
      </c>
      <c r="CI55" s="19" t="n">
        <f aca="false">SUM(CE55,CC55,CA55,BY55,BW55,BU55,BS55,BQ55,BO55,BM55,BK55,BI55,BG55,BD55,BB55,AZ55,AX55,AV55,AT55,AR55,AP55,AN55)</f>
        <v>5259740.46</v>
      </c>
      <c r="CJ55" s="19" t="n">
        <f aca="false">CI55-CH55</f>
        <v>383181.329999999</v>
      </c>
      <c r="CK55" s="19" t="n">
        <f aca="false">IF(CE55-CF55+CC55-CD55+CA55-CB55+BU55-BV55+BK55-BL55+BI55-BJ55 &gt; 0, CE55-CF55+CC55-CD55+CA55-CB55+BU55-BV55+BK55-BL55+BI55-BJ55, "-")</f>
        <v>6693.1</v>
      </c>
      <c r="CL55" s="19" t="str">
        <f aca="false">IF(CJ55&lt;0,"⚠ Over Budget","✓ Within Budget")</f>
        <v>✓ Within Budget</v>
      </c>
      <c r="CM55" s="21"/>
    </row>
    <row r="56" customFormat="false" ht="14.25" hidden="false" customHeight="false" outlineLevel="0" collapsed="false">
      <c r="A56" s="22" t="s">
        <v>99</v>
      </c>
      <c r="B56" s="22" t="n">
        <v>2026</v>
      </c>
      <c r="C56" s="22" t="n">
        <v>20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0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20</v>
      </c>
      <c r="T56" s="22" t="n">
        <v>6</v>
      </c>
      <c r="U56" s="22" t="n">
        <v>14</v>
      </c>
      <c r="V56" s="22" t="n">
        <v>20</v>
      </c>
      <c r="W56" s="22" t="n">
        <v>0</v>
      </c>
      <c r="X56" s="22" t="n">
        <v>2</v>
      </c>
      <c r="Y56" s="22" t="n">
        <v>6</v>
      </c>
      <c r="Z56" s="22" t="n">
        <v>7</v>
      </c>
      <c r="AA56" s="22" t="n">
        <v>4</v>
      </c>
      <c r="AB56" s="22" t="n">
        <v>1</v>
      </c>
      <c r="AC56" s="22" t="n">
        <v>1</v>
      </c>
      <c r="AD56" s="23" t="n">
        <v>0</v>
      </c>
      <c r="AE56" s="23" t="n">
        <v>0</v>
      </c>
      <c r="AF56" s="24" t="n">
        <v>62.1</v>
      </c>
      <c r="AG56" s="25" t="n">
        <v>740686</v>
      </c>
      <c r="AH56" s="25" t="n">
        <v>1092033</v>
      </c>
      <c r="AI56" s="25" t="n">
        <v>1646205</v>
      </c>
      <c r="AJ56" s="25" t="n">
        <v>2480551</v>
      </c>
      <c r="AK56" s="25" t="n">
        <v>3909003</v>
      </c>
      <c r="AL56" s="25" t="n">
        <v>6286761</v>
      </c>
      <c r="AM56" s="25" t="n">
        <v>2224527.44</v>
      </c>
      <c r="AN56" s="25" t="n">
        <v>3967073.93</v>
      </c>
      <c r="AO56" s="25" t="n">
        <v>3707545.73</v>
      </c>
      <c r="AP56" s="25" t="n">
        <v>396707.39</v>
      </c>
      <c r="AQ56" s="25" t="n">
        <v>370754.57</v>
      </c>
      <c r="AR56" s="25" t="n">
        <v>14425.72</v>
      </c>
      <c r="AS56" s="25" t="n">
        <v>0</v>
      </c>
      <c r="AT56" s="25" t="n">
        <v>198353.7</v>
      </c>
      <c r="AU56" s="25" t="n">
        <v>185377.29</v>
      </c>
      <c r="AV56" s="25" t="n">
        <v>35209.76</v>
      </c>
      <c r="AW56" s="25" t="n">
        <v>22485.98</v>
      </c>
      <c r="AX56" s="25" t="n">
        <v>16040</v>
      </c>
      <c r="AY56" s="25" t="n">
        <v>14990.65</v>
      </c>
      <c r="AZ56" s="25" t="n">
        <v>11610.95</v>
      </c>
      <c r="BA56" s="25" t="n">
        <v>0</v>
      </c>
      <c r="BB56" s="25" t="n">
        <v>1929.93</v>
      </c>
      <c r="BC56" s="25" t="n">
        <v>0</v>
      </c>
      <c r="BD56" s="25" t="n">
        <v>127513.09</v>
      </c>
      <c r="BE56" s="25" t="n">
        <v>111226.37</v>
      </c>
      <c r="BF56" s="25" t="n">
        <f aca="false">SUM(BE56,BC56,BA56,AY56,AW56,AU56,AS56,AQ56,AO56)</f>
        <v>4412380.59</v>
      </c>
      <c r="BG56" s="25" t="n">
        <v>2661.45</v>
      </c>
      <c r="BH56" s="25" t="n">
        <v>3497.82</v>
      </c>
      <c r="BI56" s="25" t="n">
        <v>14703.33</v>
      </c>
      <c r="BJ56" s="25" t="n">
        <v>13741.43</v>
      </c>
      <c r="BK56" s="25" t="n">
        <v>10693.33</v>
      </c>
      <c r="BL56" s="25" t="n">
        <v>9993.77</v>
      </c>
      <c r="BM56" s="25" t="n">
        <v>18713.33</v>
      </c>
      <c r="BN56" s="25" t="n">
        <v>17489.1</v>
      </c>
      <c r="BO56" s="25" t="n">
        <v>3645.45</v>
      </c>
      <c r="BP56" s="25" t="n">
        <v>0</v>
      </c>
      <c r="BQ56" s="25" t="n">
        <v>130993.33</v>
      </c>
      <c r="BR56" s="25" t="n">
        <v>122423.68</v>
      </c>
      <c r="BS56" s="25" t="n">
        <v>8109.11</v>
      </c>
      <c r="BT56" s="25" t="n">
        <v>6121.18</v>
      </c>
      <c r="BU56" s="25" t="n">
        <v>99176.85</v>
      </c>
      <c r="BV56" s="25" t="n">
        <v>92688.64</v>
      </c>
      <c r="BW56" s="25" t="n">
        <v>8982.4</v>
      </c>
      <c r="BX56" s="25" t="n">
        <v>8744.55</v>
      </c>
      <c r="BY56" s="25" t="n">
        <v>143454.89</v>
      </c>
      <c r="BZ56" s="25" t="n">
        <v>60331.5</v>
      </c>
      <c r="CA56" s="25" t="n">
        <v>7485.33</v>
      </c>
      <c r="CB56" s="25" t="n">
        <v>6995.64</v>
      </c>
      <c r="CC56" s="25" t="n">
        <v>22720.51</v>
      </c>
      <c r="CD56" s="25" t="n">
        <v>38929.23</v>
      </c>
      <c r="CE56" s="25" t="n">
        <v>4760.49</v>
      </c>
      <c r="CF56" s="25" t="n">
        <v>4449.05</v>
      </c>
      <c r="CG56" s="25" t="n">
        <f aca="false">SUM(CF56,CD56,CB56,BZ56,BX56,BV56,BT56,BR56,BP56,BN56,BL56,BJ56,BH56)</f>
        <v>385405.59</v>
      </c>
      <c r="CH56" s="25" t="n">
        <f aca="false">CG56+BF56</f>
        <v>4797786.18</v>
      </c>
      <c r="CI56" s="25" t="n">
        <f aca="false">SUM(CE56,CC56,CA56,BY56,BW56,BU56,BS56,BQ56,BO56,BM56,BK56,BI56,BG56,BD56,BB56,AZ56,AX56,AV56,AT56,AR56,AP56,AN56)</f>
        <v>5244964.27</v>
      </c>
      <c r="CJ56" s="25" t="n">
        <f aca="false">CI56-CH56</f>
        <v>447178.090000001</v>
      </c>
      <c r="CK56" s="25" t="str">
        <f aca="false">IF(CE56-CF56+CC56-CD56+CA56-CB56+BU56-BV56+BK56-BL56+BI56-BJ56 &gt; 0, CE56-CF56+CC56-CD56+CA56-CB56+BU56-BV56+BK56-BL56+BI56-BJ56, "-")</f>
        <v>-</v>
      </c>
      <c r="CL56" s="25" t="str">
        <f aca="false">IF(CJ56&lt;0,"⚠ Over Budget","✓ Within Budget")</f>
        <v>✓ Within Budget</v>
      </c>
      <c r="CM56" s="27"/>
    </row>
    <row r="57" customFormat="false" ht="14.25" hidden="false" customHeight="false" outlineLevel="0" collapsed="false">
      <c r="A57" s="16" t="s">
        <v>100</v>
      </c>
      <c r="B57" s="16" t="n">
        <v>2026</v>
      </c>
      <c r="C57" s="16" t="n">
        <v>20</v>
      </c>
      <c r="D57" s="16" t="n">
        <v>1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1</v>
      </c>
      <c r="J57" s="16" t="n">
        <v>1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21</v>
      </c>
      <c r="T57" s="16" t="n">
        <v>6</v>
      </c>
      <c r="U57" s="16" t="n">
        <v>15</v>
      </c>
      <c r="V57" s="16" t="n">
        <v>21</v>
      </c>
      <c r="W57" s="16" t="n">
        <v>0</v>
      </c>
      <c r="X57" s="16" t="n">
        <v>2</v>
      </c>
      <c r="Y57" s="16" t="n">
        <v>7</v>
      </c>
      <c r="Z57" s="16" t="n">
        <v>7</v>
      </c>
      <c r="AA57" s="16" t="n">
        <v>4</v>
      </c>
      <c r="AB57" s="16" t="n">
        <v>1</v>
      </c>
      <c r="AC57" s="16" t="n">
        <v>1</v>
      </c>
      <c r="AD57" s="17" t="n">
        <v>0</v>
      </c>
      <c r="AE57" s="17" t="n">
        <v>0</v>
      </c>
      <c r="AF57" s="18" t="n">
        <v>62.3</v>
      </c>
      <c r="AG57" s="19" t="n">
        <v>740686</v>
      </c>
      <c r="AH57" s="19" t="n">
        <v>1092033</v>
      </c>
      <c r="AI57" s="19" t="n">
        <v>1646205</v>
      </c>
      <c r="AJ57" s="19" t="n">
        <v>2480551</v>
      </c>
      <c r="AK57" s="19" t="n">
        <v>3909003</v>
      </c>
      <c r="AL57" s="19" t="n">
        <v>6286761</v>
      </c>
      <c r="AM57" s="19" t="n">
        <v>2224527.44</v>
      </c>
      <c r="AN57" s="19" t="n">
        <v>3967073.93</v>
      </c>
      <c r="AO57" s="19" t="n">
        <v>3707545.73</v>
      </c>
      <c r="AP57" s="19" t="n">
        <v>396707.39</v>
      </c>
      <c r="AQ57" s="19" t="n">
        <v>370754.57</v>
      </c>
      <c r="AR57" s="19" t="n">
        <v>14425.72</v>
      </c>
      <c r="AS57" s="19" t="n">
        <v>0</v>
      </c>
      <c r="AT57" s="19" t="n">
        <v>198353.7</v>
      </c>
      <c r="AU57" s="19" t="n">
        <v>185377.29</v>
      </c>
      <c r="AV57" s="19" t="n">
        <v>28167.8</v>
      </c>
      <c r="AW57" s="19" t="n">
        <v>22485.98</v>
      </c>
      <c r="AX57" s="19" t="n">
        <v>16040</v>
      </c>
      <c r="AY57" s="19" t="n">
        <v>14990.65</v>
      </c>
      <c r="AZ57" s="19" t="n">
        <v>9675.79</v>
      </c>
      <c r="BA57" s="19" t="n">
        <v>0</v>
      </c>
      <c r="BB57" s="19" t="n">
        <v>3216.55</v>
      </c>
      <c r="BC57" s="19" t="n">
        <v>0</v>
      </c>
      <c r="BD57" s="19" t="n">
        <v>637.57</v>
      </c>
      <c r="BE57" s="19" t="n">
        <v>0</v>
      </c>
      <c r="BF57" s="19" t="n">
        <f aca="false">SUM(BE57,BC57,BA57,AY57,AW57,AU57,AS57,AQ57,AO57)</f>
        <v>4301154.22</v>
      </c>
      <c r="BG57" s="19" t="n">
        <v>1996.09</v>
      </c>
      <c r="BH57" s="19" t="n">
        <v>3497.82</v>
      </c>
      <c r="BI57" s="19" t="n">
        <v>14703.33</v>
      </c>
      <c r="BJ57" s="19" t="n">
        <v>13741.43</v>
      </c>
      <c r="BK57" s="19" t="n">
        <v>10693.33</v>
      </c>
      <c r="BL57" s="19" t="n">
        <v>9993.77</v>
      </c>
      <c r="BM57" s="19" t="n">
        <v>18713.33</v>
      </c>
      <c r="BN57" s="19" t="n">
        <v>17489.1</v>
      </c>
      <c r="BO57" s="19" t="n">
        <v>18227.27</v>
      </c>
      <c r="BP57" s="19" t="n">
        <v>0</v>
      </c>
      <c r="BQ57" s="19" t="n">
        <v>130993.33</v>
      </c>
      <c r="BR57" s="19" t="n">
        <v>122423.68</v>
      </c>
      <c r="BS57" s="19" t="n">
        <v>8109.11</v>
      </c>
      <c r="BT57" s="19" t="n">
        <v>6121.18</v>
      </c>
      <c r="BU57" s="19" t="n">
        <v>99176.85</v>
      </c>
      <c r="BV57" s="19" t="n">
        <v>92688.64</v>
      </c>
      <c r="BW57" s="19" t="n">
        <v>4491.2</v>
      </c>
      <c r="BX57" s="19" t="n">
        <v>8744.55</v>
      </c>
      <c r="BY57" s="19" t="n">
        <v>4752.59</v>
      </c>
      <c r="BZ57" s="19" t="n">
        <v>9993.77</v>
      </c>
      <c r="CA57" s="19" t="n">
        <v>7485.33</v>
      </c>
      <c r="CB57" s="19" t="n">
        <v>6995.64</v>
      </c>
      <c r="CC57" s="19" t="n">
        <v>22720.51</v>
      </c>
      <c r="CD57" s="19" t="n">
        <v>38929.23</v>
      </c>
      <c r="CE57" s="19" t="n">
        <v>4760.49</v>
      </c>
      <c r="CF57" s="19" t="n">
        <v>4449.05</v>
      </c>
      <c r="CG57" s="19" t="n">
        <f aca="false">SUM(CF57,CD57,CB57,BZ57,BX57,BV57,BT57,BR57,BP57,BN57,BL57,BJ57,BH57)</f>
        <v>335067.86</v>
      </c>
      <c r="CH57" s="19" t="n">
        <f aca="false">CG57+BF57</f>
        <v>4636222.08</v>
      </c>
      <c r="CI57" s="19" t="n">
        <f aca="false">SUM(CE57,CC57,CA57,BY57,BW57,BU57,BS57,BQ57,BO57,BM57,BK57,BI57,BG57,BD57,BB57,AZ57,AX57,AV57,AT57,AR57,AP57,AN57)</f>
        <v>4981121.21</v>
      </c>
      <c r="CJ57" s="19" t="n">
        <f aca="false">CI57-CH57</f>
        <v>344899.13</v>
      </c>
      <c r="CK57" s="19" t="str">
        <f aca="false">IF(CE57-CF57+CC57-CD57+CA57-CB57+BU57-BV57+BK57-BL57+BI57-BJ57 &gt; 0, CE57-CF57+CC57-CD57+CA57-CB57+BU57-BV57+BK57-BL57+BI57-BJ57, "-")</f>
        <v>-</v>
      </c>
      <c r="CL57" s="19" t="str">
        <f aca="false">IF(CJ57&lt;0,"⚠ Over Budget","✓ Within Budget")</f>
        <v>✓ Within Budget</v>
      </c>
      <c r="CM57" s="21"/>
    </row>
    <row r="58" customFormat="false" ht="14.25" hidden="false" customHeight="false" outlineLevel="0" collapsed="false">
      <c r="A58" s="22" t="s">
        <v>101</v>
      </c>
      <c r="B58" s="22" t="n">
        <v>2026</v>
      </c>
      <c r="C58" s="22" t="n">
        <v>21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21</v>
      </c>
      <c r="T58" s="22" t="n">
        <v>6</v>
      </c>
      <c r="U58" s="22" t="n">
        <v>15</v>
      </c>
      <c r="V58" s="22" t="n">
        <v>21</v>
      </c>
      <c r="W58" s="22" t="n">
        <v>0</v>
      </c>
      <c r="X58" s="22" t="n">
        <v>2</v>
      </c>
      <c r="Y58" s="22" t="n">
        <v>7</v>
      </c>
      <c r="Z58" s="22" t="n">
        <v>7</v>
      </c>
      <c r="AA58" s="22" t="n">
        <v>4</v>
      </c>
      <c r="AB58" s="22" t="n">
        <v>1</v>
      </c>
      <c r="AC58" s="22" t="n">
        <v>1</v>
      </c>
      <c r="AD58" s="23" t="n">
        <v>0</v>
      </c>
      <c r="AE58" s="23" t="n">
        <v>0</v>
      </c>
      <c r="AF58" s="24" t="n">
        <v>62.5</v>
      </c>
      <c r="AG58" s="25" t="n">
        <v>740686</v>
      </c>
      <c r="AH58" s="25" t="n">
        <v>1092033</v>
      </c>
      <c r="AI58" s="25" t="n">
        <v>1646205</v>
      </c>
      <c r="AJ58" s="25" t="n">
        <v>2480551</v>
      </c>
      <c r="AK58" s="25" t="n">
        <v>3909003</v>
      </c>
      <c r="AL58" s="25" t="n">
        <v>6286761</v>
      </c>
      <c r="AM58" s="25" t="n">
        <v>2224527.44</v>
      </c>
      <c r="AN58" s="25" t="n">
        <v>3967073.93</v>
      </c>
      <c r="AO58" s="25" t="n">
        <v>3707545.73</v>
      </c>
      <c r="AP58" s="25" t="n">
        <v>396707.39</v>
      </c>
      <c r="AQ58" s="25" t="n">
        <v>370754.57</v>
      </c>
      <c r="AR58" s="25" t="n">
        <v>14425.72</v>
      </c>
      <c r="AS58" s="25" t="n">
        <v>0</v>
      </c>
      <c r="AT58" s="25" t="n">
        <v>198353.7</v>
      </c>
      <c r="AU58" s="25" t="n">
        <v>185377.29</v>
      </c>
      <c r="AV58" s="25" t="n">
        <v>23473.17</v>
      </c>
      <c r="AW58" s="25" t="n">
        <v>22485.98</v>
      </c>
      <c r="AX58" s="25" t="n">
        <v>16040</v>
      </c>
      <c r="AY58" s="25" t="n">
        <v>14990.65</v>
      </c>
      <c r="AZ58" s="25" t="n">
        <v>9675.79</v>
      </c>
      <c r="BA58" s="25" t="n">
        <v>0</v>
      </c>
      <c r="BB58" s="25" t="n">
        <v>3216.55</v>
      </c>
      <c r="BC58" s="25" t="n">
        <v>0</v>
      </c>
      <c r="BD58" s="25" t="n">
        <v>637.57</v>
      </c>
      <c r="BE58" s="25" t="n">
        <v>0</v>
      </c>
      <c r="BF58" s="25" t="n">
        <f aca="false">SUM(BE58,BC58,BA58,AY58,AW58,AU58,AS58,AQ58,AO58)</f>
        <v>4301154.22</v>
      </c>
      <c r="BG58" s="25" t="n">
        <v>10693.33</v>
      </c>
      <c r="BH58" s="25" t="n">
        <v>7495.33</v>
      </c>
      <c r="BI58" s="25" t="n">
        <v>14703.33</v>
      </c>
      <c r="BJ58" s="25" t="n">
        <v>13741.43</v>
      </c>
      <c r="BK58" s="25" t="n">
        <v>10693.33</v>
      </c>
      <c r="BL58" s="25" t="n">
        <v>9993.77</v>
      </c>
      <c r="BM58" s="25" t="n">
        <v>18713.33</v>
      </c>
      <c r="BN58" s="25" t="n">
        <v>17489.1</v>
      </c>
      <c r="BO58" s="25" t="n">
        <v>7290.91</v>
      </c>
      <c r="BP58" s="25" t="n">
        <v>0</v>
      </c>
      <c r="BQ58" s="25" t="n">
        <v>130993.33</v>
      </c>
      <c r="BR58" s="25" t="n">
        <v>122423.68</v>
      </c>
      <c r="BS58" s="25" t="n">
        <v>8109.11</v>
      </c>
      <c r="BT58" s="25" t="n">
        <v>6121.18</v>
      </c>
      <c r="BU58" s="25" t="n">
        <v>99176.85</v>
      </c>
      <c r="BV58" s="25" t="n">
        <v>92688.64</v>
      </c>
      <c r="BW58" s="25" t="n">
        <v>8982.4</v>
      </c>
      <c r="BX58" s="25" t="n">
        <v>8744.55</v>
      </c>
      <c r="BY58" s="25" t="n">
        <v>12089.7</v>
      </c>
      <c r="BZ58" s="25" t="n">
        <v>21185.22</v>
      </c>
      <c r="CA58" s="25" t="n">
        <v>7485.33</v>
      </c>
      <c r="CB58" s="25" t="n">
        <v>6995.64</v>
      </c>
      <c r="CC58" s="25" t="n">
        <v>22720.51</v>
      </c>
      <c r="CD58" s="25" t="n">
        <v>38929.23</v>
      </c>
      <c r="CE58" s="25" t="n">
        <v>4760.49</v>
      </c>
      <c r="CF58" s="25" t="n">
        <v>4449.05</v>
      </c>
      <c r="CG58" s="25" t="n">
        <f aca="false">SUM(CF58,CD58,CB58,BZ58,BX58,BV58,BT58,BR58,BP58,BN58,BL58,BJ58,BH58)</f>
        <v>350256.82</v>
      </c>
      <c r="CH58" s="25" t="n">
        <f aca="false">CG58+BF58</f>
        <v>4651411.04</v>
      </c>
      <c r="CI58" s="25" t="n">
        <f aca="false">SUM(CE58,CC58,CA58,BY58,BW58,BU58,BS58,BQ58,BO58,BM58,BK58,BI58,BG58,BD58,BB58,AZ58,AX58,AV58,AT58,AR58,AP58,AN58)</f>
        <v>4986015.77</v>
      </c>
      <c r="CJ58" s="25" t="n">
        <f aca="false">CI58-CH58</f>
        <v>334604.73</v>
      </c>
      <c r="CK58" s="25" t="str">
        <f aca="false">IF(CE58-CF58+CC58-CD58+CA58-CB58+BU58-BV58+BK58-BL58+BI58-BJ58 &gt; 0, CE58-CF58+CC58-CD58+CA58-CB58+BU58-BV58+BK58-BL58+BI58-BJ58, "-")</f>
        <v>-</v>
      </c>
      <c r="CL58" s="25" t="str">
        <f aca="false">IF(CJ58&lt;0,"⚠ Over Budget","✓ Within Budget")</f>
        <v>✓ Within Budget</v>
      </c>
      <c r="CM58" s="27"/>
    </row>
    <row r="59" customFormat="false" ht="14.25" hidden="false" customHeight="false" outlineLevel="0" collapsed="false">
      <c r="A59" s="16" t="s">
        <v>102</v>
      </c>
      <c r="B59" s="16" t="n">
        <v>2026</v>
      </c>
      <c r="C59" s="16" t="n">
        <v>21</v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0</v>
      </c>
      <c r="Q59" s="16" t="n">
        <v>0</v>
      </c>
      <c r="R59" s="16" t="n">
        <v>1</v>
      </c>
      <c r="S59" s="16" t="n">
        <v>20</v>
      </c>
      <c r="T59" s="16" t="n">
        <v>6</v>
      </c>
      <c r="U59" s="16" t="n">
        <v>14</v>
      </c>
      <c r="V59" s="16" t="n">
        <v>20</v>
      </c>
      <c r="W59" s="16" t="n">
        <v>0</v>
      </c>
      <c r="X59" s="16" t="n">
        <v>2</v>
      </c>
      <c r="Y59" s="16" t="n">
        <v>6</v>
      </c>
      <c r="Z59" s="16" t="n">
        <v>7</v>
      </c>
      <c r="AA59" s="16" t="n">
        <v>4</v>
      </c>
      <c r="AB59" s="16" t="n">
        <v>1</v>
      </c>
      <c r="AC59" s="16" t="n">
        <v>1</v>
      </c>
      <c r="AD59" s="17" t="n">
        <v>0</v>
      </c>
      <c r="AE59" s="17" t="n">
        <v>0</v>
      </c>
      <c r="AF59" s="18" t="n">
        <v>62.7</v>
      </c>
      <c r="AG59" s="19" t="n">
        <v>740686</v>
      </c>
      <c r="AH59" s="19" t="n">
        <v>1092033</v>
      </c>
      <c r="AI59" s="19" t="n">
        <v>1646205</v>
      </c>
      <c r="AJ59" s="19" t="n">
        <v>2480551</v>
      </c>
      <c r="AK59" s="19" t="n">
        <v>3909003</v>
      </c>
      <c r="AL59" s="19" t="n">
        <v>6286761</v>
      </c>
      <c r="AM59" s="19" t="n">
        <v>2224527.44</v>
      </c>
      <c r="AN59" s="19" t="n">
        <v>3967073.93</v>
      </c>
      <c r="AO59" s="19" t="n">
        <v>3707545.73</v>
      </c>
      <c r="AP59" s="19" t="n">
        <v>396707.39</v>
      </c>
      <c r="AQ59" s="19" t="n">
        <v>370754.57</v>
      </c>
      <c r="AR59" s="19" t="n">
        <v>14425.72</v>
      </c>
      <c r="AS59" s="19" t="n">
        <v>0</v>
      </c>
      <c r="AT59" s="19" t="n">
        <v>198353.7</v>
      </c>
      <c r="AU59" s="19" t="n">
        <v>185377.29</v>
      </c>
      <c r="AV59" s="19" t="n">
        <v>25820.49</v>
      </c>
      <c r="AW59" s="19" t="n">
        <v>22485.98</v>
      </c>
      <c r="AX59" s="19" t="n">
        <v>16040</v>
      </c>
      <c r="AY59" s="19" t="n">
        <v>14990.65</v>
      </c>
      <c r="AZ59" s="19" t="n">
        <v>19351.58</v>
      </c>
      <c r="BA59" s="19" t="n">
        <v>0</v>
      </c>
      <c r="BB59" s="19" t="n">
        <v>1929.93</v>
      </c>
      <c r="BC59" s="19" t="n">
        <v>0</v>
      </c>
      <c r="BD59" s="19" t="n">
        <v>212.52</v>
      </c>
      <c r="BE59" s="19" t="n">
        <v>0</v>
      </c>
      <c r="BF59" s="19" t="n">
        <f aca="false">SUM(BE59,BC59,BA59,AY59,AW59,AU59,AS59,AQ59,AO59)</f>
        <v>4301154.22</v>
      </c>
      <c r="BG59" s="19" t="n">
        <v>15398.4</v>
      </c>
      <c r="BH59" s="19" t="n">
        <v>8994.39</v>
      </c>
      <c r="BI59" s="19" t="n">
        <v>14703.33</v>
      </c>
      <c r="BJ59" s="19" t="n">
        <v>13741.43</v>
      </c>
      <c r="BK59" s="19" t="n">
        <v>10693.33</v>
      </c>
      <c r="BL59" s="19" t="n">
        <v>9993.77</v>
      </c>
      <c r="BM59" s="19" t="n">
        <v>18713.33</v>
      </c>
      <c r="BN59" s="19" t="n">
        <v>17489.1</v>
      </c>
      <c r="BO59" s="19" t="n">
        <v>3645.45</v>
      </c>
      <c r="BP59" s="19" t="n">
        <v>0</v>
      </c>
      <c r="BQ59" s="19" t="n">
        <v>130993.33</v>
      </c>
      <c r="BR59" s="19" t="n">
        <v>122423.68</v>
      </c>
      <c r="BS59" s="19" t="n">
        <v>6861.56</v>
      </c>
      <c r="BT59" s="19" t="n">
        <v>6121.18</v>
      </c>
      <c r="BU59" s="19" t="n">
        <v>99176.85</v>
      </c>
      <c r="BV59" s="19" t="n">
        <v>92688.64</v>
      </c>
      <c r="BW59" s="19" t="n">
        <v>17964.8</v>
      </c>
      <c r="BX59" s="19" t="n">
        <v>8744.55</v>
      </c>
      <c r="BY59" s="19" t="n">
        <v>4752.59</v>
      </c>
      <c r="BZ59" s="19" t="n">
        <v>9993.77</v>
      </c>
      <c r="CA59" s="19" t="n">
        <v>7485.33</v>
      </c>
      <c r="CB59" s="19" t="n">
        <v>6995.64</v>
      </c>
      <c r="CC59" s="19" t="n">
        <v>27264.62</v>
      </c>
      <c r="CD59" s="19" t="n">
        <v>38929.23</v>
      </c>
      <c r="CE59" s="19" t="n">
        <v>4760.49</v>
      </c>
      <c r="CF59" s="19" t="n">
        <v>4449.05</v>
      </c>
      <c r="CG59" s="19" t="n">
        <f aca="false">SUM(CF59,CD59,CB59,BZ59,BX59,BV59,BT59,BR59,BP59,BN59,BL59,BJ59,BH59)</f>
        <v>340564.43</v>
      </c>
      <c r="CH59" s="19" t="n">
        <f aca="false">CG59+BF59</f>
        <v>4641718.65</v>
      </c>
      <c r="CI59" s="19" t="n">
        <f aca="false">SUM(CE59,CC59,CA59,BY59,BW59,BU59,BS59,BQ59,BO59,BM59,BK59,BI59,BG59,BD59,BB59,AZ59,AX59,AV59,AT59,AR59,AP59,AN59)</f>
        <v>5002328.67</v>
      </c>
      <c r="CJ59" s="19" t="n">
        <f aca="false">CI59-CH59</f>
        <v>360610.020000001</v>
      </c>
      <c r="CK59" s="19" t="str">
        <f aca="false">IF(CE59-CF59+CC59-CD59+CA59-CB59+BU59-BV59+BK59-BL59+BI59-BJ59 &gt; 0, CE59-CF59+CC59-CD59+CA59-CB59+BU59-BV59+BK59-BL59+BI59-BJ59, "-")</f>
        <v>-</v>
      </c>
      <c r="CL59" s="19" t="str">
        <f aca="false">IF(CJ59&lt;0,"⚠ Over Budget","✓ Within Budget")</f>
        <v>✓ Within Budget</v>
      </c>
      <c r="CM59" s="21"/>
    </row>
    <row r="60" customFormat="false" ht="14.25" hidden="false" customHeight="false" outlineLevel="0" collapsed="false">
      <c r="A60" s="22" t="s">
        <v>103</v>
      </c>
      <c r="B60" s="22" t="n">
        <v>2026</v>
      </c>
      <c r="C60" s="22" t="n">
        <v>20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20</v>
      </c>
      <c r="T60" s="22" t="n">
        <v>6</v>
      </c>
      <c r="U60" s="22" t="n">
        <v>14</v>
      </c>
      <c r="V60" s="22" t="n">
        <v>20</v>
      </c>
      <c r="W60" s="22" t="n">
        <v>0</v>
      </c>
      <c r="X60" s="22" t="n">
        <v>2</v>
      </c>
      <c r="Y60" s="22" t="n">
        <v>6</v>
      </c>
      <c r="Z60" s="22" t="n">
        <v>7</v>
      </c>
      <c r="AA60" s="22" t="n">
        <v>4</v>
      </c>
      <c r="AB60" s="22" t="n">
        <v>1</v>
      </c>
      <c r="AC60" s="22" t="n">
        <v>1</v>
      </c>
      <c r="AD60" s="23" t="n">
        <v>0</v>
      </c>
      <c r="AE60" s="23" t="n">
        <v>0.0132847337746705</v>
      </c>
      <c r="AF60" s="24" t="n">
        <v>62.9</v>
      </c>
      <c r="AG60" s="25" t="n">
        <v>753355</v>
      </c>
      <c r="AH60" s="25" t="n">
        <v>1111057</v>
      </c>
      <c r="AI60" s="25" t="n">
        <v>1663300</v>
      </c>
      <c r="AJ60" s="25" t="n">
        <v>2508478</v>
      </c>
      <c r="AK60" s="25" t="n">
        <v>3950020</v>
      </c>
      <c r="AL60" s="25" t="n">
        <v>6357487</v>
      </c>
      <c r="AM60" s="25" t="n">
        <v>2251756.22</v>
      </c>
      <c r="AN60" s="25" t="n">
        <v>4015631.93</v>
      </c>
      <c r="AO60" s="25" t="n">
        <v>3752927.04</v>
      </c>
      <c r="AP60" s="25" t="n">
        <v>401563.19</v>
      </c>
      <c r="AQ60" s="25" t="n">
        <v>375292.7</v>
      </c>
      <c r="AR60" s="25" t="n">
        <v>467273.53</v>
      </c>
      <c r="AS60" s="25" t="n">
        <v>150117.08</v>
      </c>
      <c r="AT60" s="25" t="n">
        <v>200781.6</v>
      </c>
      <c r="AU60" s="25" t="n">
        <v>187646.35</v>
      </c>
      <c r="AV60" s="25" t="n">
        <v>21125.85</v>
      </c>
      <c r="AW60" s="25" t="n">
        <v>22485.98</v>
      </c>
      <c r="AX60" s="25" t="n">
        <v>16040</v>
      </c>
      <c r="AY60" s="25" t="n">
        <v>14990.65</v>
      </c>
      <c r="AZ60" s="25" t="n">
        <v>39176.9</v>
      </c>
      <c r="BA60" s="25" t="n">
        <v>0</v>
      </c>
      <c r="BB60" s="25" t="n">
        <v>1953.55</v>
      </c>
      <c r="BC60" s="25" t="n">
        <v>0</v>
      </c>
      <c r="BD60" s="25" t="n">
        <v>215.12</v>
      </c>
      <c r="BE60" s="25" t="n">
        <v>0</v>
      </c>
      <c r="BF60" s="25" t="n">
        <f aca="false">SUM(BE60,BC60,BA60,AY60,AW60,AU60,AS60,AQ60,AO60)</f>
        <v>4503459.8</v>
      </c>
      <c r="BG60" s="25" t="n">
        <v>9315.08</v>
      </c>
      <c r="BH60" s="25" t="n">
        <v>6995.64</v>
      </c>
      <c r="BI60" s="25" t="n">
        <v>14703.33</v>
      </c>
      <c r="BJ60" s="25" t="n">
        <v>13741.43</v>
      </c>
      <c r="BK60" s="25" t="n">
        <v>10693.33</v>
      </c>
      <c r="BL60" s="25" t="n">
        <v>9993.77</v>
      </c>
      <c r="BM60" s="25" t="n">
        <v>18713.33</v>
      </c>
      <c r="BN60" s="25" t="n">
        <v>17489.1</v>
      </c>
      <c r="BO60" s="25" t="n">
        <v>3645.45</v>
      </c>
      <c r="BP60" s="25" t="n">
        <v>0</v>
      </c>
      <c r="BQ60" s="25" t="n">
        <v>130993.33</v>
      </c>
      <c r="BR60" s="25" t="n">
        <v>122423.68</v>
      </c>
      <c r="BS60" s="25" t="n">
        <v>6237.78</v>
      </c>
      <c r="BT60" s="25" t="n">
        <v>6121.18</v>
      </c>
      <c r="BU60" s="25" t="n">
        <v>100390.8</v>
      </c>
      <c r="BV60" s="25" t="n">
        <v>93823.18</v>
      </c>
      <c r="BW60" s="25" t="n">
        <v>13473.6</v>
      </c>
      <c r="BX60" s="25" t="n">
        <v>8744.55</v>
      </c>
      <c r="BY60" s="25" t="n">
        <v>182161.04</v>
      </c>
      <c r="BZ60" s="25" t="n">
        <v>59851.39</v>
      </c>
      <c r="CA60" s="25" t="n">
        <v>7485.33</v>
      </c>
      <c r="CB60" s="25" t="n">
        <v>6995.64</v>
      </c>
      <c r="CC60" s="25" t="n">
        <v>36797.79</v>
      </c>
      <c r="CD60" s="25" t="n">
        <v>39405.73</v>
      </c>
      <c r="CE60" s="25" t="n">
        <v>4818.76</v>
      </c>
      <c r="CF60" s="25" t="n">
        <v>4503.51</v>
      </c>
      <c r="CG60" s="25" t="n">
        <f aca="false">SUM(CF60,CD60,CB60,BZ60,BX60,BV60,BT60,BR60,BP60,BN60,BL60,BJ60,BH60)</f>
        <v>390088.8</v>
      </c>
      <c r="CH60" s="25" t="n">
        <f aca="false">CG60+BF60</f>
        <v>4893548.6</v>
      </c>
      <c r="CI60" s="25" t="n">
        <f aca="false">SUM(CE60,CC60,CA60,BY60,BW60,BU60,BS60,BQ60,BO60,BM60,BK60,BI60,BG60,BD60,BB60,AZ60,AX60,AV60,AT60,AR60,AP60,AN60)</f>
        <v>5703190.62</v>
      </c>
      <c r="CJ60" s="25" t="n">
        <f aca="false">CI60-CH60</f>
        <v>809642.020000001</v>
      </c>
      <c r="CK60" s="25" t="n">
        <f aca="false">IF(CE60-CF60+CC60-CD60+CA60-CB60+BU60-BV60+BK60-BL60+BI60-BJ60 &gt; 0, CE60-CF60+CC60-CD60+CA60-CB60+BU60-BV60+BK60-BL60+BI60-BJ60, "-")</f>
        <v>6426.08000000001</v>
      </c>
      <c r="CL60" s="25" t="str">
        <f aca="false">IF(CJ60&lt;0,"⚠ Over Budget","✓ Within Budget")</f>
        <v>✓ Within Budget</v>
      </c>
      <c r="CM60" s="27"/>
    </row>
    <row r="61" customFormat="false" ht="18.75" hidden="false" customHeight="true" outlineLevel="0" collapsed="false">
      <c r="A61" s="28" t="s">
        <v>104</v>
      </c>
      <c r="B61" s="28" t="n">
        <v>2026</v>
      </c>
      <c r="C61" s="28" t="n">
        <v>20</v>
      </c>
      <c r="D61" s="28" t="n">
        <v>0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8" t="n">
        <v>0</v>
      </c>
      <c r="P61" s="28" t="n">
        <v>0</v>
      </c>
      <c r="Q61" s="28" t="n">
        <v>0</v>
      </c>
      <c r="R61" s="28" t="n">
        <v>0</v>
      </c>
      <c r="S61" s="28" t="n">
        <v>20</v>
      </c>
      <c r="T61" s="28" t="n">
        <v>6</v>
      </c>
      <c r="U61" s="28" t="n">
        <v>14</v>
      </c>
      <c r="V61" s="28" t="n">
        <v>20</v>
      </c>
      <c r="W61" s="28" t="n">
        <v>0</v>
      </c>
      <c r="X61" s="28" t="n">
        <v>2</v>
      </c>
      <c r="Y61" s="28" t="n">
        <v>6</v>
      </c>
      <c r="Z61" s="28" t="n">
        <v>7</v>
      </c>
      <c r="AA61" s="28" t="n">
        <v>4</v>
      </c>
      <c r="AB61" s="28" t="n">
        <v>1</v>
      </c>
      <c r="AC61" s="28" t="n">
        <v>1</v>
      </c>
      <c r="AD61" s="29" t="n">
        <v>0</v>
      </c>
      <c r="AE61" s="29" t="n">
        <v>0</v>
      </c>
      <c r="AF61" s="30" t="n">
        <v>63.1</v>
      </c>
      <c r="AG61" s="31" t="n">
        <v>753355</v>
      </c>
      <c r="AH61" s="31" t="n">
        <v>1111057</v>
      </c>
      <c r="AI61" s="31" t="n">
        <v>1663300</v>
      </c>
      <c r="AJ61" s="31" t="n">
        <v>2508478</v>
      </c>
      <c r="AK61" s="31" t="n">
        <v>3950020</v>
      </c>
      <c r="AL61" s="31" t="n">
        <v>6357487</v>
      </c>
      <c r="AM61" s="31" t="n">
        <v>2251756.22</v>
      </c>
      <c r="AN61" s="31" t="n">
        <v>4015631.93</v>
      </c>
      <c r="AO61" s="31" t="n">
        <v>3752927.04</v>
      </c>
      <c r="AP61" s="31" t="n">
        <v>401563.19</v>
      </c>
      <c r="AQ61" s="31" t="n">
        <v>375292.7</v>
      </c>
      <c r="AR61" s="31" t="n">
        <v>47457.47</v>
      </c>
      <c r="AS61" s="31" t="n">
        <v>0</v>
      </c>
      <c r="AT61" s="31" t="n">
        <v>200781.6</v>
      </c>
      <c r="AU61" s="31" t="n">
        <v>187646.35</v>
      </c>
      <c r="AV61" s="31" t="n">
        <v>25038.05</v>
      </c>
      <c r="AW61" s="31" t="n">
        <v>29981.31</v>
      </c>
      <c r="AX61" s="31" t="n">
        <v>16040</v>
      </c>
      <c r="AY61" s="31" t="n">
        <v>14990.65</v>
      </c>
      <c r="AZ61" s="31" t="n">
        <v>19588.45</v>
      </c>
      <c r="BA61" s="31" t="n">
        <v>0</v>
      </c>
      <c r="BB61" s="31" t="n">
        <v>651.18</v>
      </c>
      <c r="BC61" s="31" t="n">
        <v>0</v>
      </c>
      <c r="BD61" s="31" t="n">
        <v>215.12</v>
      </c>
      <c r="BE61" s="31" t="n">
        <v>0</v>
      </c>
      <c r="BF61" s="31" t="n">
        <f aca="false">SUM(BE61,BC61,BA61,AY61,AW61,AU61,AS61,AQ61,AO61)</f>
        <v>4360838.05</v>
      </c>
      <c r="BG61" s="31" t="n">
        <v>12166.64</v>
      </c>
      <c r="BH61" s="31" t="n">
        <v>7995.02</v>
      </c>
      <c r="BI61" s="31" t="n">
        <v>14703.33</v>
      </c>
      <c r="BJ61" s="31" t="n">
        <v>13741.43</v>
      </c>
      <c r="BK61" s="31" t="n">
        <v>10693.33</v>
      </c>
      <c r="BL61" s="31" t="n">
        <v>9993.77</v>
      </c>
      <c r="BM61" s="31" t="n">
        <v>18713.33</v>
      </c>
      <c r="BN61" s="31" t="n">
        <v>17489.1</v>
      </c>
      <c r="BO61" s="31" t="n">
        <v>3645.45</v>
      </c>
      <c r="BP61" s="31" t="n">
        <v>0</v>
      </c>
      <c r="BQ61" s="31" t="n">
        <v>130993.33</v>
      </c>
      <c r="BR61" s="31" t="n">
        <v>122423.68</v>
      </c>
      <c r="BS61" s="31" t="n">
        <v>5614</v>
      </c>
      <c r="BT61" s="31" t="n">
        <v>6121.18</v>
      </c>
      <c r="BU61" s="31" t="n">
        <v>100390.8</v>
      </c>
      <c r="BV61" s="31" t="n">
        <v>93823.18</v>
      </c>
      <c r="BW61" s="31" t="n">
        <v>8982.4</v>
      </c>
      <c r="BX61" s="31" t="n">
        <v>8744.55</v>
      </c>
      <c r="BY61" s="31" t="n">
        <v>38902.25</v>
      </c>
      <c r="BZ61" s="31" t="n">
        <v>1210466.55</v>
      </c>
      <c r="CA61" s="31" t="n">
        <v>7485.33</v>
      </c>
      <c r="CB61" s="31" t="n">
        <v>6995.64</v>
      </c>
      <c r="CC61" s="31" t="n">
        <v>36797.79</v>
      </c>
      <c r="CD61" s="31" t="n">
        <v>39405.73</v>
      </c>
      <c r="CE61" s="31" t="n">
        <v>4818.76</v>
      </c>
      <c r="CF61" s="31" t="n">
        <v>4503.51</v>
      </c>
      <c r="CG61" s="31" t="n">
        <f aca="false">SUM(CF61,CD61,CB61,BZ61,BX61,BV61,BT61,BR61,BP61,BN61,BL61,BJ61,BH61)</f>
        <v>1541703.34</v>
      </c>
      <c r="CH61" s="31" t="n">
        <f aca="false">CG61+BF61</f>
        <v>5902541.39</v>
      </c>
      <c r="CI61" s="31" t="n">
        <f aca="false">SUM(CE61,CC61,CA61,BY61,BW61,BU61,BS61,BQ61,BO61,BM61,BK61,BI61,BG61,BD61,BB61,AZ61,AX61,AV61,AT61,AR61,AP61,AN61)</f>
        <v>5120873.73</v>
      </c>
      <c r="CJ61" s="31" t="n">
        <f aca="false">CI61-CH61</f>
        <v>-781667.659999999</v>
      </c>
      <c r="CK61" s="31" t="n">
        <f aca="false">IF(CE61-CF61+CC61-CD61+CA61-CB61+BU61-BV61+BK61-BL61+BI61-BJ61 &gt; 0, CE61-CF61+CC61-CD61+CA61-CB61+BU61-BV61+BK61-BL61+BI61-BJ61, "-")</f>
        <v>6426.08000000001</v>
      </c>
      <c r="CL61" s="31" t="str">
        <f aca="false">IF(CJ61&lt;0,"⚠ Over Budget","✓ Within Budget")</f>
        <v>⚠ Over Budget</v>
      </c>
      <c r="CM61" s="33" t="s">
        <v>109</v>
      </c>
    </row>
    <row r="62" customFormat="false" ht="14.25" hidden="false" customHeight="false" outlineLevel="0" collapsed="false">
      <c r="A62" s="22" t="s">
        <v>105</v>
      </c>
      <c r="B62" s="22" t="n">
        <v>2026</v>
      </c>
      <c r="C62" s="22" t="n">
        <v>20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1</v>
      </c>
      <c r="S62" s="22" t="n">
        <v>19</v>
      </c>
      <c r="T62" s="22" t="n">
        <v>5</v>
      </c>
      <c r="U62" s="22" t="n">
        <v>14</v>
      </c>
      <c r="V62" s="22" t="n">
        <v>19</v>
      </c>
      <c r="W62" s="22" t="n">
        <v>0</v>
      </c>
      <c r="X62" s="22" t="n">
        <v>2</v>
      </c>
      <c r="Y62" s="22" t="n">
        <v>6</v>
      </c>
      <c r="Z62" s="22" t="n">
        <v>7</v>
      </c>
      <c r="AA62" s="22" t="n">
        <v>3</v>
      </c>
      <c r="AB62" s="22" t="n">
        <v>1</v>
      </c>
      <c r="AC62" s="22" t="n">
        <v>1</v>
      </c>
      <c r="AD62" s="23" t="n">
        <v>0</v>
      </c>
      <c r="AE62" s="23" t="n">
        <v>0</v>
      </c>
      <c r="AF62" s="24" t="n">
        <v>63.3</v>
      </c>
      <c r="AG62" s="25" t="n">
        <v>753355</v>
      </c>
      <c r="AH62" s="25" t="n">
        <v>1111057</v>
      </c>
      <c r="AI62" s="25" t="n">
        <v>1663300</v>
      </c>
      <c r="AJ62" s="25" t="n">
        <v>2508478</v>
      </c>
      <c r="AK62" s="25" t="n">
        <v>3950020</v>
      </c>
      <c r="AL62" s="25" t="n">
        <v>6357487</v>
      </c>
      <c r="AM62" s="25" t="n">
        <v>2251756.22</v>
      </c>
      <c r="AN62" s="25" t="n">
        <v>3814850.34</v>
      </c>
      <c r="AO62" s="25" t="n">
        <v>3565280.69</v>
      </c>
      <c r="AP62" s="25" t="n">
        <v>381485.03</v>
      </c>
      <c r="AQ62" s="25" t="n">
        <v>356528.07</v>
      </c>
      <c r="AR62" s="25" t="n">
        <v>1664661.97</v>
      </c>
      <c r="AS62" s="25" t="n">
        <v>356528.07</v>
      </c>
      <c r="AT62" s="25" t="n">
        <v>190742.52</v>
      </c>
      <c r="AU62" s="25" t="n">
        <v>178264.03</v>
      </c>
      <c r="AV62" s="25" t="n">
        <v>20812.88</v>
      </c>
      <c r="AW62" s="25" t="n">
        <v>28482.24</v>
      </c>
      <c r="AX62" s="25" t="n">
        <v>15238</v>
      </c>
      <c r="AY62" s="25" t="n">
        <v>14241.12</v>
      </c>
      <c r="AZ62" s="25" t="n">
        <v>27913.54</v>
      </c>
      <c r="BA62" s="25" t="n">
        <v>0</v>
      </c>
      <c r="BB62" s="25" t="n">
        <v>651.18</v>
      </c>
      <c r="BC62" s="25" t="n">
        <v>0</v>
      </c>
      <c r="BD62" s="25" t="n">
        <v>64536.94</v>
      </c>
      <c r="BE62" s="25" t="n">
        <v>112587.81</v>
      </c>
      <c r="BF62" s="25" t="n">
        <f aca="false">SUM(BE62,BC62,BA62,AY62,AW62,AU62,AS62,AQ62,AO62)</f>
        <v>4611912.03</v>
      </c>
      <c r="BG62" s="25" t="n">
        <v>1896.28</v>
      </c>
      <c r="BH62" s="25" t="n">
        <v>3322.93</v>
      </c>
      <c r="BI62" s="25" t="n">
        <v>13968.17</v>
      </c>
      <c r="BJ62" s="25" t="n">
        <v>13054.36</v>
      </c>
      <c r="BK62" s="25" t="n">
        <v>10158.67</v>
      </c>
      <c r="BL62" s="25" t="n">
        <v>9494.08</v>
      </c>
      <c r="BM62" s="25" t="n">
        <v>17777.67</v>
      </c>
      <c r="BN62" s="25" t="n">
        <v>16614.64</v>
      </c>
      <c r="BO62" s="25" t="n">
        <v>3645.45</v>
      </c>
      <c r="BP62" s="25" t="n">
        <v>0</v>
      </c>
      <c r="BQ62" s="25" t="n">
        <v>130993.33</v>
      </c>
      <c r="BR62" s="25" t="n">
        <v>122423.68</v>
      </c>
      <c r="BS62" s="25" t="n">
        <v>4990.22</v>
      </c>
      <c r="BT62" s="25" t="n">
        <v>6121.18</v>
      </c>
      <c r="BU62" s="25" t="n">
        <v>95371.26</v>
      </c>
      <c r="BV62" s="25" t="n">
        <v>89132.02</v>
      </c>
      <c r="BW62" s="25" t="n">
        <v>4266.64</v>
      </c>
      <c r="BX62" s="25" t="n">
        <v>8307.32</v>
      </c>
      <c r="BY62" s="25" t="n">
        <v>52034.23</v>
      </c>
      <c r="BZ62" s="25" t="n">
        <v>36472.59</v>
      </c>
      <c r="CA62" s="25" t="n">
        <v>7111.07</v>
      </c>
      <c r="CB62" s="25" t="n">
        <v>6645.86</v>
      </c>
      <c r="CC62" s="25" t="n">
        <v>21848.69</v>
      </c>
      <c r="CD62" s="25" t="n">
        <v>37435.45</v>
      </c>
      <c r="CE62" s="25" t="n">
        <v>4577.82</v>
      </c>
      <c r="CF62" s="25" t="n">
        <v>4278.34</v>
      </c>
      <c r="CG62" s="25" t="n">
        <f aca="false">SUM(CF62,CD62,CB62,BZ62,BX62,BV62,BT62,BR62,BP62,BN62,BL62,BJ62,BH62)</f>
        <v>353302.45</v>
      </c>
      <c r="CH62" s="25" t="n">
        <f aca="false">CG62+BF62</f>
        <v>4965214.48</v>
      </c>
      <c r="CI62" s="25" t="n">
        <f aca="false">SUM(CE62,CC62,CA62,BY62,BW62,BU62,BS62,BQ62,BO62,BM62,BK62,BI62,BG62,BD62,BB62,AZ62,AX62,AV62,AT62,AR62,AP62,AN62)</f>
        <v>6549531.9</v>
      </c>
      <c r="CJ62" s="25" t="n">
        <f aca="false">CI62-CH62</f>
        <v>1584317.42</v>
      </c>
      <c r="CK62" s="25" t="str">
        <f aca="false">IF(CE62-CF62+CC62-CD62+CA62-CB62+BU62-BV62+BK62-BL62+BI62-BJ62 &gt; 0, CE62-CF62+CC62-CD62+CA62-CB62+BU62-BV62+BK62-BL62+BI62-BJ62, "-")</f>
        <v>-</v>
      </c>
      <c r="CL62" s="25" t="str">
        <f aca="false">IF(CJ62&lt;0,"⚠ Over Budget","✓ Within Budget")</f>
        <v>✓ Within Budget</v>
      </c>
      <c r="CM62" s="27"/>
    </row>
    <row r="63" customFormat="false" ht="14.25" hidden="false" customHeight="false" outlineLevel="0" collapsed="false">
      <c r="A63" s="34" t="s">
        <v>113</v>
      </c>
      <c r="AN63" s="35" t="n">
        <f aca="false">SUM(AN3:AN62)</f>
        <v>213310995.7</v>
      </c>
      <c r="AO63" s="35" t="n">
        <f aca="false">SUM(AO3:AO62)</f>
        <v>203709737.94</v>
      </c>
      <c r="AP63" s="35" t="n">
        <f aca="false">SUM(AP3:AP62)</f>
        <v>21331099.61</v>
      </c>
      <c r="AQ63" s="35" t="n">
        <f aca="false">SUM(AQ3:AQ62)</f>
        <v>19935607.04</v>
      </c>
      <c r="AR63" s="35" t="n">
        <f aca="false">SUM(AR3:AR62)</f>
        <v>12231940.07</v>
      </c>
      <c r="AS63" s="35" t="n">
        <f aca="false">SUM(AS3:AS62)</f>
        <v>9202864.68</v>
      </c>
      <c r="AT63" s="35" t="n">
        <f aca="false">SUM(AT3:AT62)</f>
        <v>10665549.76</v>
      </c>
      <c r="AU63" s="35" t="n">
        <f aca="false">SUM(AU3:AU62)</f>
        <v>9967803.53</v>
      </c>
      <c r="AV63" s="35" t="n">
        <f aca="false">SUM(AV3:AV62)</f>
        <v>1733287.17</v>
      </c>
      <c r="AW63" s="35" t="n">
        <f aca="false">SUM(AW3:AW62)</f>
        <v>1668653.08</v>
      </c>
      <c r="AX63" s="35" t="n">
        <f aca="false">SUM(AX3:AX62)</f>
        <v>1070789.25</v>
      </c>
      <c r="AY63" s="35" t="n">
        <f aca="false">SUM(AY3:AY62)</f>
        <v>1000737.58</v>
      </c>
      <c r="AZ63" s="35" t="n">
        <f aca="false">SUM(AZ3:AZ62)</f>
        <v>1070243.65</v>
      </c>
      <c r="BA63" s="35" t="n">
        <f aca="false">SUM(BA3:BA62)</f>
        <v>489060.17</v>
      </c>
      <c r="BB63" s="35" t="n">
        <f aca="false">SUM(BB3:BB62)</f>
        <v>639964.95</v>
      </c>
      <c r="BC63" s="35" t="n">
        <f aca="false">SUM(BC3:BC62)</f>
        <v>2070061.23</v>
      </c>
      <c r="BD63" s="35" t="n">
        <f aca="false">SUM(BD3:BD62)</f>
        <v>876414.9</v>
      </c>
      <c r="BE63" s="35" t="n">
        <f aca="false">SUM(BE3:BE62)</f>
        <v>673067.64</v>
      </c>
      <c r="BF63" s="35" t="n">
        <f aca="false">SUM(BF3:BF62)</f>
        <v>248717592.89</v>
      </c>
      <c r="BG63" s="35" t="n">
        <f aca="false">SUM(BG3:BG62)</f>
        <v>538658.72</v>
      </c>
      <c r="BH63" s="35" t="n">
        <f aca="false">SUM(BH3:BH62)</f>
        <v>404271.59</v>
      </c>
      <c r="BI63" s="35" t="n">
        <f aca="false">SUM(BI3:BI62)</f>
        <v>981556.83</v>
      </c>
      <c r="BJ63" s="35" t="n">
        <f aca="false">SUM(BJ3:BJ62)</f>
        <v>917342.79</v>
      </c>
      <c r="BK63" s="35" t="n">
        <f aca="false">SUM(BK3:BK62)</f>
        <v>713859.55</v>
      </c>
      <c r="BL63" s="35" t="n">
        <f aca="false">SUM(BL3:BL62)</f>
        <v>667158.43</v>
      </c>
      <c r="BM63" s="35" t="n">
        <f aca="false">SUM(BM3:BM62)</f>
        <v>1249254.09</v>
      </c>
      <c r="BN63" s="35" t="n">
        <f aca="false">SUM(BN3:BN62)</f>
        <v>1428287.29</v>
      </c>
      <c r="BO63" s="35" t="n">
        <f aca="false">SUM(BO3:BO62)</f>
        <v>2410279.85</v>
      </c>
      <c r="BP63" s="35" t="n">
        <f aca="false">SUM(BP3:BP62)</f>
        <v>2433889.78</v>
      </c>
      <c r="BQ63" s="35" t="n">
        <f aca="false">SUM(BQ3:BQ62)</f>
        <v>8799990.36</v>
      </c>
      <c r="BR63" s="35" t="n">
        <f aca="false">SUM(BR3:BR62)</f>
        <v>8714143.03</v>
      </c>
      <c r="BS63" s="35" t="n">
        <f aca="false">SUM(BS3:BS62)</f>
        <v>439900.49</v>
      </c>
      <c r="BT63" s="35" t="n">
        <f aca="false">SUM(BT3:BT62)</f>
        <v>621151.48</v>
      </c>
      <c r="BU63" s="35" t="n">
        <f aca="false">SUM(BU3:BU62)</f>
        <v>5332774.89</v>
      </c>
      <c r="BV63" s="35" t="n">
        <f aca="false">SUM(BV3:BV62)</f>
        <v>4983901.81</v>
      </c>
      <c r="BW63" s="35" t="n">
        <f aca="false">SUM(BW3:BW62)</f>
        <v>624655.07</v>
      </c>
      <c r="BX63" s="35" t="n">
        <f aca="false">SUM(BX3:BX62)</f>
        <v>583763.61</v>
      </c>
      <c r="BY63" s="35" t="n">
        <f aca="false">SUM(BY3:BY62)</f>
        <v>2797196.69</v>
      </c>
      <c r="BZ63" s="35" t="n">
        <f aca="false">SUM(BZ3:BZ62)</f>
        <v>6947021.4</v>
      </c>
      <c r="CA63" s="35" t="n">
        <f aca="false">SUM(CA3:CA62)</f>
        <v>499701.64</v>
      </c>
      <c r="CB63" s="35" t="n">
        <f aca="false">SUM(CB3:CB62)</f>
        <v>467010.93</v>
      </c>
      <c r="CC63" s="35" t="n">
        <f aca="false">SUM(CC3:CC62)</f>
        <v>3785062.9</v>
      </c>
      <c r="CD63" s="35" t="n">
        <f aca="false">SUM(CD3:CD62)</f>
        <v>4387769.81</v>
      </c>
      <c r="CE63" s="35" t="n">
        <f aca="false">SUM(CE3:CE62)</f>
        <v>255973.2</v>
      </c>
      <c r="CF63" s="35" t="n">
        <f aca="false">SUM(CF3:CF62)</f>
        <v>239227.28</v>
      </c>
      <c r="CG63" s="35" t="n">
        <f aca="false">SUM(CG3:CG62)</f>
        <v>32794939.23</v>
      </c>
      <c r="CH63" s="35" t="n">
        <f aca="false">SUM(CH3:CH62)</f>
        <v>281512532.12</v>
      </c>
      <c r="CI63" s="35" t="n">
        <f aca="false">SUM(CI3:CI62)</f>
        <v>291359149.34</v>
      </c>
      <c r="CJ63" s="35" t="n">
        <f aca="false">SUM(CJ3:CJ62)</f>
        <v>9846617.22000001</v>
      </c>
      <c r="CK63" s="35"/>
      <c r="CL63" s="35"/>
    </row>
  </sheetData>
  <mergeCells count="1">
    <mergeCell ref="A1:C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6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E3" activePane="bottomRight" state="frozen"/>
      <selection pane="topLeft" activeCell="A1" activeCellId="0" sqref="A1"/>
      <selection pane="topRight" activeCell="CE1" activeCellId="0" sqref="CE1"/>
      <selection pane="bottomLeft" activeCell="A3" activeCellId="0" sqref="A3"/>
      <selection pane="bottomRight" activeCell="CL3" activeCellId="0" sqref="CL3"/>
    </sheetView>
  </sheetViews>
  <sheetFormatPr defaultColWidth="8.70703125" defaultRowHeight="14.25" zeroHeight="false" outlineLevelRow="0" outlineLevelCol="0"/>
  <cols>
    <col collapsed="false" customWidth="true" hidden="false" outlineLevel="0" max="2" min="1" style="0" width="7"/>
    <col collapsed="false" customWidth="true" hidden="false" outlineLevel="0" max="30" min="3" style="0" width="10"/>
    <col collapsed="false" customWidth="true" hidden="false" outlineLevel="0" max="31" min="31" style="0" width="19"/>
    <col collapsed="false" customWidth="true" hidden="false" outlineLevel="0" max="32" min="32" style="0" width="10"/>
    <col collapsed="false" customWidth="true" hidden="false" outlineLevel="0" max="41" min="33" style="0" width="19"/>
    <col collapsed="false" customWidth="true" hidden="false" outlineLevel="0" max="89" min="42" style="0" width="18"/>
    <col collapsed="false" customWidth="true" hidden="false" outlineLevel="0" max="90" min="90" style="0" width="10"/>
    <col collapsed="false" customWidth="true" hidden="false" outlineLevel="0" max="91" min="91" style="0" width="24"/>
  </cols>
  <sheetData>
    <row r="1" customFormat="false" ht="23.25" hidden="false" customHeight="true" outlineLevel="0" collapsed="false">
      <c r="A1" s="38" t="s">
        <v>121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customFormat="false" ht="4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7" t="s">
        <v>115</v>
      </c>
      <c r="CF2" s="8" t="s">
        <v>116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customFormat="false" ht="14.25" hidden="false" customHeight="false" outlineLevel="0" collapsed="false">
      <c r="A3" s="16" t="s">
        <v>92</v>
      </c>
      <c r="B3" s="16" t="n">
        <v>2022</v>
      </c>
      <c r="C3" s="16" t="n">
        <v>34</v>
      </c>
      <c r="D3" s="16" t="n">
        <v>1</v>
      </c>
      <c r="E3" s="16" t="n">
        <v>0</v>
      </c>
      <c r="F3" s="16" t="n">
        <v>0</v>
      </c>
      <c r="G3" s="16" t="n">
        <v>0</v>
      </c>
      <c r="H3" s="16" t="n">
        <v>0</v>
      </c>
      <c r="I3" s="16" t="n">
        <v>1</v>
      </c>
      <c r="J3" s="16" t="n">
        <v>1</v>
      </c>
      <c r="K3" s="16" t="n">
        <v>1</v>
      </c>
      <c r="L3" s="16" t="n">
        <v>1</v>
      </c>
      <c r="M3" s="16" t="n">
        <v>0</v>
      </c>
      <c r="N3" s="16" t="n">
        <v>0</v>
      </c>
      <c r="O3" s="16" t="n">
        <v>0</v>
      </c>
      <c r="P3" s="16" t="n">
        <v>1</v>
      </c>
      <c r="Q3" s="16" t="n">
        <v>2</v>
      </c>
      <c r="R3" s="16" t="n">
        <v>0</v>
      </c>
      <c r="S3" s="16" t="n">
        <v>33</v>
      </c>
      <c r="T3" s="16" t="n">
        <v>6</v>
      </c>
      <c r="U3" s="16" t="n">
        <v>27</v>
      </c>
      <c r="V3" s="16" t="n">
        <v>31</v>
      </c>
      <c r="W3" s="16" t="n">
        <v>2</v>
      </c>
      <c r="X3" s="16" t="n">
        <v>4</v>
      </c>
      <c r="Y3" s="16" t="n">
        <v>9</v>
      </c>
      <c r="Z3" s="16" t="n">
        <v>11</v>
      </c>
      <c r="AA3" s="16" t="n">
        <v>7</v>
      </c>
      <c r="AB3" s="16" t="n">
        <v>2</v>
      </c>
      <c r="AC3" s="16" t="n">
        <v>1</v>
      </c>
      <c r="AD3" s="17" t="n">
        <v>0.705882</v>
      </c>
      <c r="AE3" s="17" t="n">
        <v>0</v>
      </c>
      <c r="AF3" s="18" t="n">
        <v>58.5</v>
      </c>
      <c r="AG3" s="19" t="n">
        <v>380000</v>
      </c>
      <c r="AH3" s="19" t="n">
        <v>600000</v>
      </c>
      <c r="AI3" s="19" t="n">
        <v>980000</v>
      </c>
      <c r="AJ3" s="19" t="n">
        <v>1650000</v>
      </c>
      <c r="AK3" s="19" t="n">
        <v>2800000</v>
      </c>
      <c r="AL3" s="19" t="n">
        <v>4800000</v>
      </c>
      <c r="AM3" s="19" t="n">
        <v>1701508.1</v>
      </c>
      <c r="AN3" s="19" t="n">
        <v>4854969.77</v>
      </c>
      <c r="AO3" s="19" t="n">
        <v>4537354.93</v>
      </c>
      <c r="AP3" s="19" t="n">
        <v>485496.98</v>
      </c>
      <c r="AQ3" s="19" t="n">
        <v>453735.49</v>
      </c>
      <c r="AR3" s="19" t="n">
        <v>79444.96</v>
      </c>
      <c r="AS3" s="19" t="n">
        <v>272241.3</v>
      </c>
      <c r="AT3" s="19" t="n">
        <v>242748.49</v>
      </c>
      <c r="AU3" s="19" t="n">
        <v>226867.75</v>
      </c>
      <c r="AV3" s="19" t="n">
        <v>47572.03</v>
      </c>
      <c r="AW3" s="19" t="n">
        <v>56964.18</v>
      </c>
      <c r="AX3" s="19" t="n">
        <v>30475.83</v>
      </c>
      <c r="AY3" s="19" t="n">
        <v>28482.09</v>
      </c>
      <c r="AZ3" s="19" t="n">
        <v>11841.39</v>
      </c>
      <c r="BA3" s="19" t="n">
        <v>0</v>
      </c>
      <c r="BB3" s="19" t="n">
        <v>492.06</v>
      </c>
      <c r="BC3" s="19" t="n">
        <v>0</v>
      </c>
      <c r="BD3" s="19" t="n">
        <v>390.13</v>
      </c>
      <c r="BE3" s="19" t="n">
        <v>0</v>
      </c>
      <c r="BF3" s="19" t="n">
        <f aca="false">SUM(BE3,BC3,BA3,AY3,AW3,AU3,AS3,AQ3,AO3)</f>
        <v>5575645.74</v>
      </c>
      <c r="BG3" s="19" t="n">
        <v>4045.38</v>
      </c>
      <c r="BH3" s="19" t="n">
        <v>10633.31</v>
      </c>
      <c r="BI3" s="19" t="n">
        <v>27936.18</v>
      </c>
      <c r="BJ3" s="19" t="n">
        <v>26108.58</v>
      </c>
      <c r="BK3" s="19" t="n">
        <v>20317.22</v>
      </c>
      <c r="BL3" s="19" t="n">
        <v>18988.06</v>
      </c>
      <c r="BM3" s="19" t="n">
        <v>56888.22</v>
      </c>
      <c r="BN3" s="19" t="n">
        <v>53166.57</v>
      </c>
      <c r="BO3" s="19" t="n">
        <v>4328.95</v>
      </c>
      <c r="BP3" s="19" t="n">
        <v>0</v>
      </c>
      <c r="BQ3" s="19" t="n">
        <v>309520.2</v>
      </c>
      <c r="BR3" s="19" t="n">
        <v>289271.21</v>
      </c>
      <c r="BS3" s="19" t="n">
        <v>12380.81</v>
      </c>
      <c r="BT3" s="19" t="n">
        <v>13499.32</v>
      </c>
      <c r="BU3" s="19" t="n">
        <v>121374.24</v>
      </c>
      <c r="BV3" s="19" t="n">
        <v>113433.87</v>
      </c>
      <c r="BW3" s="19" t="n">
        <v>8533.23</v>
      </c>
      <c r="BX3" s="19" t="n">
        <v>16614.55</v>
      </c>
      <c r="BY3" s="19" t="n">
        <v>9029.88</v>
      </c>
      <c r="BZ3" s="19" t="n">
        <v>18988.06</v>
      </c>
      <c r="CA3" s="19" t="n">
        <v>17777.57</v>
      </c>
      <c r="CB3" s="19" t="n">
        <v>16614.55</v>
      </c>
      <c r="CC3" s="19" t="n">
        <v>39722.48</v>
      </c>
      <c r="CD3" s="19" t="n">
        <v>68060.32</v>
      </c>
      <c r="CE3" s="19" t="n">
        <v>7767.95</v>
      </c>
      <c r="CF3" s="19" t="n">
        <v>7259.77</v>
      </c>
      <c r="CG3" s="19" t="n">
        <f aca="false">SUM(CF3,CD3,CB3,BZ3,BX3,BV3,BT3,BR3,BP3,BN3,BL3,BJ3,BH3)</f>
        <v>652638.17</v>
      </c>
      <c r="CH3" s="19" t="n">
        <f aca="false">CG3+BF3</f>
        <v>6228283.91</v>
      </c>
      <c r="CI3" s="19" t="n">
        <f aca="false">SUM(CE3,CC3,CA3,BY3,BW3,BU3,BS3,BQ3,BO3,BM3,BK3,BI3,BG3,BD3,BB3,AZ3,AX3,AV3,AT3,AR3,AP3,AN3)</f>
        <v>6393053.95</v>
      </c>
      <c r="CJ3" s="19" t="n">
        <f aca="false">CI3-CH3</f>
        <v>164770.04</v>
      </c>
      <c r="CK3" s="19" t="str">
        <f aca="false">IF(CE3-CF3+CC3-CD3+CA3-CB3+BU3-BV3+BK3-BL3+BI3-BJ3 &gt; 0, CE3-CF3+CC3-CD3+CA3-CB3+BU3-BV3+BK3-BL3+BI3-BJ3, "-")</f>
        <v>-</v>
      </c>
      <c r="CL3" s="19" t="str">
        <f aca="false">IF(CJ3&lt;0,"⚠ Over Budget","✓ Within Budget")</f>
        <v>✓ Within Budget</v>
      </c>
      <c r="CM3" s="21"/>
    </row>
    <row r="4" customFormat="false" ht="14.25" hidden="false" customHeight="false" outlineLevel="0" collapsed="false">
      <c r="A4" s="22" t="s">
        <v>93</v>
      </c>
      <c r="B4" s="22" t="n">
        <v>2022</v>
      </c>
      <c r="C4" s="22" t="n">
        <v>33</v>
      </c>
      <c r="D4" s="22" t="n">
        <v>0</v>
      </c>
      <c r="E4" s="22" t="n">
        <v>1</v>
      </c>
      <c r="F4" s="22" t="n">
        <v>1</v>
      </c>
      <c r="G4" s="22" t="n">
        <v>0</v>
      </c>
      <c r="H4" s="22" t="n">
        <v>0</v>
      </c>
      <c r="I4" s="22" t="n">
        <v>0</v>
      </c>
      <c r="J4" s="22" t="n">
        <v>2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35</v>
      </c>
      <c r="T4" s="22" t="n">
        <v>7</v>
      </c>
      <c r="U4" s="22" t="n">
        <v>28</v>
      </c>
      <c r="V4" s="22" t="n">
        <v>33</v>
      </c>
      <c r="W4" s="22" t="n">
        <v>2</v>
      </c>
      <c r="X4" s="22" t="n">
        <v>4</v>
      </c>
      <c r="Y4" s="22" t="n">
        <v>9</v>
      </c>
      <c r="Z4" s="22" t="n">
        <v>12</v>
      </c>
      <c r="AA4" s="22" t="n">
        <v>7</v>
      </c>
      <c r="AB4" s="22" t="n">
        <v>2</v>
      </c>
      <c r="AC4" s="22" t="n">
        <v>1</v>
      </c>
      <c r="AD4" s="23" t="n">
        <v>0</v>
      </c>
      <c r="AE4" s="23" t="n">
        <v>0</v>
      </c>
      <c r="AF4" s="24" t="n">
        <v>59.1</v>
      </c>
      <c r="AG4" s="25" t="n">
        <v>380000</v>
      </c>
      <c r="AH4" s="25" t="n">
        <v>600000</v>
      </c>
      <c r="AI4" s="25" t="n">
        <v>980000</v>
      </c>
      <c r="AJ4" s="25" t="n">
        <v>1650000</v>
      </c>
      <c r="AK4" s="25" t="n">
        <v>2800000</v>
      </c>
      <c r="AL4" s="25" t="n">
        <v>4800000</v>
      </c>
      <c r="AM4" s="25" t="n">
        <v>1701508.1</v>
      </c>
      <c r="AN4" s="25" t="n">
        <v>5158405.38</v>
      </c>
      <c r="AO4" s="25" t="n">
        <v>4820939.61</v>
      </c>
      <c r="AP4" s="25" t="n">
        <v>515840.54</v>
      </c>
      <c r="AQ4" s="25" t="n">
        <v>482093.96</v>
      </c>
      <c r="AR4" s="25" t="n">
        <v>14068.38</v>
      </c>
      <c r="AS4" s="25" t="n">
        <v>0</v>
      </c>
      <c r="AT4" s="25" t="n">
        <v>257920.27</v>
      </c>
      <c r="AU4" s="25" t="n">
        <v>241046.98</v>
      </c>
      <c r="AV4" s="25" t="n">
        <v>50545.29</v>
      </c>
      <c r="AW4" s="25" t="n">
        <v>60524.44</v>
      </c>
      <c r="AX4" s="25" t="n">
        <v>32380.57</v>
      </c>
      <c r="AY4" s="25" t="n">
        <v>30262.22</v>
      </c>
      <c r="AZ4" s="25" t="n">
        <v>12581.48</v>
      </c>
      <c r="BA4" s="25" t="n">
        <v>0</v>
      </c>
      <c r="BB4" s="25" t="n">
        <v>29523.46</v>
      </c>
      <c r="BC4" s="25" t="n">
        <v>28358.47</v>
      </c>
      <c r="BD4" s="25" t="n">
        <v>487.66</v>
      </c>
      <c r="BE4" s="25" t="n">
        <v>0</v>
      </c>
      <c r="BF4" s="25" t="n">
        <f aca="false">SUM(BE4,BC4,BA4,AY4,AW4,AU4,AS4,AQ4,AO4)</f>
        <v>5663225.68</v>
      </c>
      <c r="BG4" s="25" t="n">
        <v>4298.22</v>
      </c>
      <c r="BH4" s="25" t="n">
        <v>11297.9</v>
      </c>
      <c r="BI4" s="25" t="n">
        <v>29682.19</v>
      </c>
      <c r="BJ4" s="25" t="n">
        <v>27740.37</v>
      </c>
      <c r="BK4" s="25" t="n">
        <v>21587.05</v>
      </c>
      <c r="BL4" s="25" t="n">
        <v>20174.81</v>
      </c>
      <c r="BM4" s="25" t="n">
        <v>60443.74</v>
      </c>
      <c r="BN4" s="25" t="n">
        <v>56489.48</v>
      </c>
      <c r="BO4" s="25" t="n">
        <v>60605.35</v>
      </c>
      <c r="BP4" s="25" t="n">
        <v>103840.95</v>
      </c>
      <c r="BQ4" s="25" t="n">
        <v>321424.82</v>
      </c>
      <c r="BR4" s="25" t="n">
        <v>300397.03</v>
      </c>
      <c r="BS4" s="25" t="n">
        <v>12856.99</v>
      </c>
      <c r="BT4" s="25" t="n">
        <v>14018.53</v>
      </c>
      <c r="BU4" s="25" t="n">
        <v>128960.13</v>
      </c>
      <c r="BV4" s="25" t="n">
        <v>120523.49</v>
      </c>
      <c r="BW4" s="25" t="n">
        <v>9066.56</v>
      </c>
      <c r="BX4" s="25" t="n">
        <v>17652.96</v>
      </c>
      <c r="BY4" s="25" t="n">
        <v>9594.24</v>
      </c>
      <c r="BZ4" s="25" t="n">
        <v>20174.81</v>
      </c>
      <c r="CA4" s="25" t="n">
        <v>18888.67</v>
      </c>
      <c r="CB4" s="25" t="n">
        <v>17652.96</v>
      </c>
      <c r="CC4" s="25" t="n">
        <v>42205.13</v>
      </c>
      <c r="CD4" s="25" t="n">
        <v>72314.09</v>
      </c>
      <c r="CE4" s="25" t="n">
        <v>8253.45</v>
      </c>
      <c r="CF4" s="25" t="n">
        <v>7713.5</v>
      </c>
      <c r="CG4" s="25" t="n">
        <f aca="false">SUM(CF4,CD4,CB4,BZ4,BX4,BV4,BT4,BR4,BP4,BN4,BL4,BJ4,BH4)</f>
        <v>789990.88</v>
      </c>
      <c r="CH4" s="25" t="n">
        <f aca="false">CG4+BF4</f>
        <v>6453216.56</v>
      </c>
      <c r="CI4" s="25" t="n">
        <f aca="false">SUM(CE4,CC4,CA4,BY4,BW4,BU4,BS4,BQ4,BO4,BM4,BK4,BI4,BG4,BD4,BB4,AZ4,AX4,AV4,AT4,AR4,AP4,AN4)</f>
        <v>6799619.57</v>
      </c>
      <c r="CJ4" s="25" t="n">
        <f aca="false">CI4-CH4</f>
        <v>346403.01</v>
      </c>
      <c r="CK4" s="25" t="str">
        <f aca="false">IF(CE4-CF4+CC4-CD4+CA4-CB4+BU4-BV4+BK4-BL4+BI4-BJ4 &gt; 0, CE4-CF4+CC4-CD4+CA4-CB4+BU4-BV4+BK4-BL4+BI4-BJ4, "-")</f>
        <v>-</v>
      </c>
      <c r="CL4" s="25" t="str">
        <f aca="false">IF(CJ4&lt;0,"⚠ Over Budget","✓ Within Budget")</f>
        <v>✓ Within Budget</v>
      </c>
      <c r="CM4" s="27"/>
    </row>
    <row r="5" customFormat="false" ht="18.75" hidden="false" customHeight="true" outlineLevel="0" collapsed="false">
      <c r="A5" s="28" t="s">
        <v>94</v>
      </c>
      <c r="B5" s="28" t="n">
        <v>2022</v>
      </c>
      <c r="C5" s="28" t="n">
        <v>35</v>
      </c>
      <c r="D5" s="28" t="n">
        <v>0</v>
      </c>
      <c r="E5" s="28" t="n">
        <v>1</v>
      </c>
      <c r="F5" s="28" t="n">
        <v>1</v>
      </c>
      <c r="G5" s="28" t="n">
        <v>0</v>
      </c>
      <c r="H5" s="28" t="n">
        <v>0</v>
      </c>
      <c r="I5" s="28" t="n">
        <v>0</v>
      </c>
      <c r="J5" s="28" t="n">
        <v>2</v>
      </c>
      <c r="K5" s="28" t="n">
        <v>1</v>
      </c>
      <c r="L5" s="28" t="n">
        <v>0</v>
      </c>
      <c r="M5" s="28" t="n">
        <v>0</v>
      </c>
      <c r="N5" s="28" t="n">
        <v>0</v>
      </c>
      <c r="O5" s="28" t="n">
        <v>0</v>
      </c>
      <c r="P5" s="28" t="n">
        <v>1</v>
      </c>
      <c r="Q5" s="28" t="n">
        <v>1</v>
      </c>
      <c r="R5" s="28" t="n">
        <v>0</v>
      </c>
      <c r="S5" s="28" t="n">
        <v>36</v>
      </c>
      <c r="T5" s="28" t="n">
        <v>7</v>
      </c>
      <c r="U5" s="28" t="n">
        <v>29</v>
      </c>
      <c r="V5" s="28" t="n">
        <v>34</v>
      </c>
      <c r="W5" s="28" t="n">
        <v>2</v>
      </c>
      <c r="X5" s="28" t="n">
        <v>4</v>
      </c>
      <c r="Y5" s="28" t="n">
        <v>9</v>
      </c>
      <c r="Z5" s="28" t="n">
        <v>12</v>
      </c>
      <c r="AA5" s="28" t="n">
        <v>7</v>
      </c>
      <c r="AB5" s="28" t="n">
        <v>3</v>
      </c>
      <c r="AC5" s="28" t="n">
        <v>1</v>
      </c>
      <c r="AD5" s="29" t="n">
        <v>0.342857</v>
      </c>
      <c r="AE5" s="29" t="n">
        <v>0</v>
      </c>
      <c r="AF5" s="30" t="n">
        <v>60.2</v>
      </c>
      <c r="AG5" s="31" t="n">
        <v>380000</v>
      </c>
      <c r="AH5" s="31" t="n">
        <v>600000</v>
      </c>
      <c r="AI5" s="31" t="n">
        <v>980000</v>
      </c>
      <c r="AJ5" s="31" t="n">
        <v>1650000</v>
      </c>
      <c r="AK5" s="31" t="n">
        <v>2800000</v>
      </c>
      <c r="AL5" s="31" t="n">
        <v>4800000</v>
      </c>
      <c r="AM5" s="31" t="n">
        <v>1701508.1</v>
      </c>
      <c r="AN5" s="31" t="n">
        <v>4703251.97</v>
      </c>
      <c r="AO5" s="31" t="n">
        <v>4395562.59</v>
      </c>
      <c r="AP5" s="31" t="n">
        <v>470325.2</v>
      </c>
      <c r="AQ5" s="31" t="n">
        <v>439556.26</v>
      </c>
      <c r="AR5" s="31" t="n">
        <v>21378.42</v>
      </c>
      <c r="AS5" s="31" t="n">
        <v>0</v>
      </c>
      <c r="AT5" s="31" t="n">
        <v>235162.6</v>
      </c>
      <c r="AU5" s="31" t="n">
        <v>219778.13</v>
      </c>
      <c r="AV5" s="31" t="n">
        <v>43205.07</v>
      </c>
      <c r="AW5" s="31" t="n">
        <v>41388.03</v>
      </c>
      <c r="AX5" s="31" t="n">
        <v>29523.46</v>
      </c>
      <c r="AY5" s="31" t="n">
        <v>27592.02</v>
      </c>
      <c r="AZ5" s="31" t="n">
        <v>36708.31</v>
      </c>
      <c r="BA5" s="31" t="n">
        <v>0</v>
      </c>
      <c r="BB5" s="31" t="n">
        <v>2460.29</v>
      </c>
      <c r="BC5" s="31" t="n">
        <v>0</v>
      </c>
      <c r="BD5" s="31" t="n">
        <v>487.66</v>
      </c>
      <c r="BE5" s="31" t="n">
        <v>0</v>
      </c>
      <c r="BF5" s="31" t="n">
        <f aca="false">SUM(BE5,BC5,BA5,AY5,AW5,AU5,AS5,AQ5,AO5)</f>
        <v>5123877.03</v>
      </c>
      <c r="BG5" s="31" t="n">
        <v>3918.97</v>
      </c>
      <c r="BH5" s="31" t="n">
        <v>10301.02</v>
      </c>
      <c r="BI5" s="31" t="n">
        <v>27063.18</v>
      </c>
      <c r="BJ5" s="31" t="n">
        <v>25292.69</v>
      </c>
      <c r="BK5" s="31" t="n">
        <v>19682.31</v>
      </c>
      <c r="BL5" s="31" t="n">
        <v>257614.91</v>
      </c>
      <c r="BM5" s="31" t="n">
        <v>55110.47</v>
      </c>
      <c r="BN5" s="31" t="n">
        <v>51505.11</v>
      </c>
      <c r="BO5" s="31" t="n">
        <v>4328.95</v>
      </c>
      <c r="BP5" s="31" t="n">
        <v>0</v>
      </c>
      <c r="BQ5" s="31" t="n">
        <v>297615.57</v>
      </c>
      <c r="BR5" s="31" t="n">
        <v>278145.4</v>
      </c>
      <c r="BS5" s="31" t="n">
        <v>13227.36</v>
      </c>
      <c r="BT5" s="31" t="n">
        <v>12980.12</v>
      </c>
      <c r="BU5" s="31" t="n">
        <v>117581.3</v>
      </c>
      <c r="BV5" s="31" t="n">
        <v>109889.06</v>
      </c>
      <c r="BW5" s="31" t="n">
        <v>8266.57</v>
      </c>
      <c r="BX5" s="31" t="n">
        <v>16095.35</v>
      </c>
      <c r="BY5" s="31" t="n">
        <v>50538.64</v>
      </c>
      <c r="BZ5" s="31" t="n">
        <v>44280.35</v>
      </c>
      <c r="CA5" s="31" t="n">
        <v>17222.02</v>
      </c>
      <c r="CB5" s="31" t="n">
        <v>16095.35</v>
      </c>
      <c r="CC5" s="31" t="n">
        <v>615030.46</v>
      </c>
      <c r="CD5" s="31" t="n">
        <v>1167639.03</v>
      </c>
      <c r="CE5" s="31" t="n">
        <v>7525.2</v>
      </c>
      <c r="CF5" s="31" t="n">
        <v>7032.9</v>
      </c>
      <c r="CG5" s="31" t="n">
        <f aca="false">SUM(CF5,CD5,CB5,BZ5,BX5,BV5,BT5,BR5,BP5,BN5,BL5,BJ5,BH5)</f>
        <v>1996871.29</v>
      </c>
      <c r="CH5" s="31" t="n">
        <f aca="false">CG5+BF5</f>
        <v>7120748.32</v>
      </c>
      <c r="CI5" s="31" t="n">
        <f aca="false">SUM(CE5,CC5,CA5,BY5,BW5,BU5,BS5,BQ5,BO5,BM5,BK5,BI5,BG5,BD5,BB5,AZ5,AX5,AV5,AT5,AR5,AP5,AN5)</f>
        <v>6779613.98</v>
      </c>
      <c r="CJ5" s="31" t="n">
        <f aca="false">CI5-CH5</f>
        <v>-341134.340000001</v>
      </c>
      <c r="CK5" s="31" t="str">
        <f aca="false">IF(CE5-CF5+CC5-CD5+CA5-CB5+BU5-BV5+BK5-BL5+BI5-BJ5 &gt; 0, CE5-CF5+CC5-CD5+CA5-CB5+BU5-BV5+BK5-BL5+BI5-BJ5, "-")</f>
        <v>-</v>
      </c>
      <c r="CL5" s="31" t="str">
        <f aca="false">IF(CJ5&lt;0,"⚠ Over Budget","✓ Within Budget")</f>
        <v>⚠ Over Budget</v>
      </c>
      <c r="CM5" s="33" t="s">
        <v>95</v>
      </c>
    </row>
    <row r="6" customFormat="false" ht="14.25" hidden="false" customHeight="false" outlineLevel="0" collapsed="false">
      <c r="A6" s="22" t="s">
        <v>96</v>
      </c>
      <c r="B6" s="22" t="n">
        <v>2022</v>
      </c>
      <c r="C6" s="22" t="n">
        <v>36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36</v>
      </c>
      <c r="T6" s="22" t="n">
        <v>7</v>
      </c>
      <c r="U6" s="22" t="n">
        <v>29</v>
      </c>
      <c r="V6" s="22" t="n">
        <v>34</v>
      </c>
      <c r="W6" s="22" t="n">
        <v>2</v>
      </c>
      <c r="X6" s="22" t="n">
        <v>4</v>
      </c>
      <c r="Y6" s="22" t="n">
        <v>9</v>
      </c>
      <c r="Z6" s="22" t="n">
        <v>12</v>
      </c>
      <c r="AA6" s="22" t="n">
        <v>7</v>
      </c>
      <c r="AB6" s="22" t="n">
        <v>3</v>
      </c>
      <c r="AC6" s="22" t="n">
        <v>1</v>
      </c>
      <c r="AD6" s="23" t="n">
        <v>0</v>
      </c>
      <c r="AE6" s="23" t="n">
        <v>0.100196093475977</v>
      </c>
      <c r="AF6" s="24" t="n">
        <v>60.8</v>
      </c>
      <c r="AG6" s="25" t="n">
        <v>426538</v>
      </c>
      <c r="AH6" s="25" t="n">
        <v>660622</v>
      </c>
      <c r="AI6" s="25" t="n">
        <v>1080662</v>
      </c>
      <c r="AJ6" s="25" t="n">
        <v>1801677</v>
      </c>
      <c r="AK6" s="25" t="n">
        <v>3024265</v>
      </c>
      <c r="AL6" s="25" t="n">
        <v>5122020</v>
      </c>
      <c r="AM6" s="25" t="n">
        <v>1860294.39</v>
      </c>
      <c r="AN6" s="25" t="n">
        <v>5142163.75</v>
      </c>
      <c r="AO6" s="25" t="n">
        <v>4805760.51</v>
      </c>
      <c r="AP6" s="25" t="n">
        <v>514216.37</v>
      </c>
      <c r="AQ6" s="25" t="n">
        <v>480576.05</v>
      </c>
      <c r="AR6" s="25" t="n">
        <v>261782.88</v>
      </c>
      <c r="AS6" s="25" t="n">
        <v>336403.24</v>
      </c>
      <c r="AT6" s="25" t="n">
        <v>257108.19</v>
      </c>
      <c r="AU6" s="25" t="n">
        <v>240288.03</v>
      </c>
      <c r="AV6" s="25" t="n">
        <v>51846.08</v>
      </c>
      <c r="AW6" s="25" t="n">
        <v>41388.03</v>
      </c>
      <c r="AX6" s="25" t="n">
        <v>29523.46</v>
      </c>
      <c r="AY6" s="25" t="n">
        <v>27592.02</v>
      </c>
      <c r="AZ6" s="25" t="n">
        <v>50167.45</v>
      </c>
      <c r="BA6" s="25" t="n">
        <v>0</v>
      </c>
      <c r="BB6" s="25" t="n">
        <v>2689.89</v>
      </c>
      <c r="BC6" s="25" t="n">
        <v>0</v>
      </c>
      <c r="BD6" s="25" t="n">
        <v>177.72</v>
      </c>
      <c r="BE6" s="25" t="n">
        <v>0</v>
      </c>
      <c r="BF6" s="25" t="n">
        <f aca="false">SUM(BE6,BC6,BA6,AY6,AW6,AU6,AS6,AQ6,AO6)</f>
        <v>5932007.88</v>
      </c>
      <c r="BG6" s="25" t="n">
        <v>67742.14</v>
      </c>
      <c r="BH6" s="25" t="n">
        <v>32374.64</v>
      </c>
      <c r="BI6" s="25" t="n">
        <v>27063.18</v>
      </c>
      <c r="BJ6" s="25" t="n">
        <v>25292.69</v>
      </c>
      <c r="BK6" s="25" t="n">
        <v>19682.31</v>
      </c>
      <c r="BL6" s="25" t="n">
        <v>18394.68</v>
      </c>
      <c r="BM6" s="25" t="n">
        <v>55110.47</v>
      </c>
      <c r="BN6" s="25" t="n">
        <v>51505.11</v>
      </c>
      <c r="BO6" s="25" t="n">
        <v>21644.77</v>
      </c>
      <c r="BP6" s="25" t="n">
        <v>0</v>
      </c>
      <c r="BQ6" s="25" t="n">
        <v>297615.57</v>
      </c>
      <c r="BR6" s="25" t="n">
        <v>278145.4</v>
      </c>
      <c r="BS6" s="25" t="n">
        <v>13227.36</v>
      </c>
      <c r="BT6" s="25" t="n">
        <v>12980.12</v>
      </c>
      <c r="BU6" s="25" t="n">
        <v>128554.09</v>
      </c>
      <c r="BV6" s="25" t="n">
        <v>120144.01</v>
      </c>
      <c r="BW6" s="25" t="n">
        <v>33066.28</v>
      </c>
      <c r="BX6" s="25" t="n">
        <v>16095.35</v>
      </c>
      <c r="BY6" s="25" t="n">
        <v>8747.69</v>
      </c>
      <c r="BZ6" s="25" t="n">
        <v>18394.68</v>
      </c>
      <c r="CA6" s="25" t="n">
        <v>17222.02</v>
      </c>
      <c r="CB6" s="25" t="n">
        <v>16095.35</v>
      </c>
      <c r="CC6" s="25" t="n">
        <v>469361.13</v>
      </c>
      <c r="CD6" s="25" t="n">
        <v>160840.26</v>
      </c>
      <c r="CE6" s="25" t="n">
        <v>8227.46</v>
      </c>
      <c r="CF6" s="25" t="n">
        <v>7689.22</v>
      </c>
      <c r="CG6" s="25" t="n">
        <f aca="false">SUM(CF6,CD6,CB6,BZ6,BX6,BV6,BT6,BR6,BP6,BN6,BL6,BJ6,BH6)</f>
        <v>757951.51</v>
      </c>
      <c r="CH6" s="25" t="n">
        <f aca="false">CG6+BF6</f>
        <v>6689959.39</v>
      </c>
      <c r="CI6" s="25" t="n">
        <f aca="false">SUM(CE6,CC6,CA6,BY6,BW6,BU6,BS6,BQ6,BO6,BM6,BK6,BI6,BG6,BD6,BB6,AZ6,AX6,AV6,AT6,AR6,AP6,AN6)</f>
        <v>7476940.26</v>
      </c>
      <c r="CJ6" s="25" t="n">
        <f aca="false">CI6-CH6</f>
        <v>786980.87</v>
      </c>
      <c r="CK6" s="25" t="n">
        <f aca="false">IF(CE6-CF6+CC6-CD6+CA6-CB6+BU6-BV6+BK6-BL6+BI6-BJ6 &gt; 0, CE6-CF6+CC6-CD6+CA6-CB6+BU6-BV6+BK6-BL6+BI6-BJ6, "-")</f>
        <v>321653.98</v>
      </c>
      <c r="CL6" s="25" t="str">
        <f aca="false">IF(CJ6&lt;0,"⚠ Over Budget","✓ Within Budget")</f>
        <v>✓ Within Budget</v>
      </c>
      <c r="CM6" s="27"/>
    </row>
    <row r="7" customFormat="false" ht="14.25" hidden="false" customHeight="false" outlineLevel="0" collapsed="false">
      <c r="A7" s="16" t="s">
        <v>98</v>
      </c>
      <c r="B7" s="16" t="n">
        <v>2022</v>
      </c>
      <c r="C7" s="16" t="n">
        <v>36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1</v>
      </c>
      <c r="S7" s="16" t="n">
        <v>35</v>
      </c>
      <c r="T7" s="16" t="n">
        <v>7</v>
      </c>
      <c r="U7" s="16" t="n">
        <v>28</v>
      </c>
      <c r="V7" s="16" t="n">
        <v>33</v>
      </c>
      <c r="W7" s="16" t="n">
        <v>2</v>
      </c>
      <c r="X7" s="16" t="n">
        <v>4</v>
      </c>
      <c r="Y7" s="16" t="n">
        <v>9</v>
      </c>
      <c r="Z7" s="16" t="n">
        <v>12</v>
      </c>
      <c r="AA7" s="16" t="n">
        <v>7</v>
      </c>
      <c r="AB7" s="16" t="n">
        <v>2</v>
      </c>
      <c r="AC7" s="16" t="n">
        <v>1</v>
      </c>
      <c r="AD7" s="17" t="n">
        <v>0</v>
      </c>
      <c r="AE7" s="17" t="n">
        <v>0</v>
      </c>
      <c r="AF7" s="18" t="n">
        <v>61.4</v>
      </c>
      <c r="AG7" s="19" t="n">
        <v>426538</v>
      </c>
      <c r="AH7" s="19" t="n">
        <v>660622</v>
      </c>
      <c r="AI7" s="19" t="n">
        <v>1080662</v>
      </c>
      <c r="AJ7" s="19" t="n">
        <v>1801677</v>
      </c>
      <c r="AK7" s="19" t="n">
        <v>3024265</v>
      </c>
      <c r="AL7" s="19" t="n">
        <v>5122020</v>
      </c>
      <c r="AM7" s="19" t="n">
        <v>1860294.39</v>
      </c>
      <c r="AN7" s="19" t="n">
        <v>5142163.75</v>
      </c>
      <c r="AO7" s="19" t="n">
        <v>4805760.51</v>
      </c>
      <c r="AP7" s="19" t="n">
        <v>514216.37</v>
      </c>
      <c r="AQ7" s="19" t="n">
        <v>480576.05</v>
      </c>
      <c r="AR7" s="19" t="n">
        <v>18698.78</v>
      </c>
      <c r="AS7" s="19" t="n">
        <v>0</v>
      </c>
      <c r="AT7" s="19" t="n">
        <v>257108.19</v>
      </c>
      <c r="AU7" s="19" t="n">
        <v>240288.03</v>
      </c>
      <c r="AV7" s="19" t="n">
        <v>56166.59</v>
      </c>
      <c r="AW7" s="19" t="n">
        <v>41388.03</v>
      </c>
      <c r="AX7" s="19" t="n">
        <v>29523.46</v>
      </c>
      <c r="AY7" s="19" t="n">
        <v>27592.02</v>
      </c>
      <c r="AZ7" s="19" t="n">
        <v>15050.24</v>
      </c>
      <c r="BA7" s="19" t="n">
        <v>0</v>
      </c>
      <c r="BB7" s="19" t="n">
        <v>1075.95</v>
      </c>
      <c r="BC7" s="19" t="n">
        <v>0</v>
      </c>
      <c r="BD7" s="19" t="n">
        <v>177.72</v>
      </c>
      <c r="BE7" s="19" t="n">
        <v>0</v>
      </c>
      <c r="BF7" s="19" t="n">
        <f aca="false">SUM(BE7,BC7,BA7,AY7,AW7,AU7,AS7,AQ7,AO7)</f>
        <v>5595604.64</v>
      </c>
      <c r="BG7" s="19" t="n">
        <v>45348.04</v>
      </c>
      <c r="BH7" s="19" t="n">
        <v>26488.34</v>
      </c>
      <c r="BI7" s="19" t="n">
        <v>27063.18</v>
      </c>
      <c r="BJ7" s="19" t="n">
        <v>25292.69</v>
      </c>
      <c r="BK7" s="19" t="n">
        <v>19682.31</v>
      </c>
      <c r="BL7" s="19" t="n">
        <v>18394.68</v>
      </c>
      <c r="BM7" s="19" t="n">
        <v>55110.47</v>
      </c>
      <c r="BN7" s="19" t="n">
        <v>51505.11</v>
      </c>
      <c r="BO7" s="19" t="n">
        <v>8657.91</v>
      </c>
      <c r="BP7" s="19" t="n">
        <v>0</v>
      </c>
      <c r="BQ7" s="19" t="n">
        <v>297615.57</v>
      </c>
      <c r="BR7" s="19" t="n">
        <v>278145.4</v>
      </c>
      <c r="BS7" s="19" t="n">
        <v>14550.09</v>
      </c>
      <c r="BT7" s="19" t="n">
        <v>12980.12</v>
      </c>
      <c r="BU7" s="19" t="n">
        <v>128554.09</v>
      </c>
      <c r="BV7" s="19" t="n">
        <v>120144.01</v>
      </c>
      <c r="BW7" s="19" t="n">
        <v>24799.71</v>
      </c>
      <c r="BX7" s="19" t="n">
        <v>16095.35</v>
      </c>
      <c r="BY7" s="19" t="n">
        <v>8747.69</v>
      </c>
      <c r="BZ7" s="19" t="n">
        <v>18394.68</v>
      </c>
      <c r="CA7" s="19" t="n">
        <v>17222.02</v>
      </c>
      <c r="CB7" s="19" t="n">
        <v>16095.35</v>
      </c>
      <c r="CC7" s="19" t="n">
        <v>67315.6</v>
      </c>
      <c r="CD7" s="19" t="n">
        <v>72086.41</v>
      </c>
      <c r="CE7" s="19" t="n">
        <v>8227.46</v>
      </c>
      <c r="CF7" s="19" t="n">
        <v>7689.22</v>
      </c>
      <c r="CG7" s="19" t="n">
        <f aca="false">SUM(CF7,CD7,CB7,BZ7,BX7,BV7,BT7,BR7,BP7,BN7,BL7,BJ7,BH7)</f>
        <v>663311.36</v>
      </c>
      <c r="CH7" s="19" t="n">
        <f aca="false">CG7+BF7</f>
        <v>6258916</v>
      </c>
      <c r="CI7" s="19" t="n">
        <f aca="false">SUM(CE7,CC7,CA7,BY7,BW7,BU7,BS7,BQ7,BO7,BM7,BK7,BI7,BG7,BD7,BB7,AZ7,AX7,AV7,AT7,AR7,AP7,AN7)</f>
        <v>6757075.19</v>
      </c>
      <c r="CJ7" s="19" t="n">
        <f aca="false">CI7-CH7</f>
        <v>498159.19</v>
      </c>
      <c r="CK7" s="19" t="n">
        <f aca="false">IF(CE7-CF7+CC7-CD7+CA7-CB7+BU7-BV7+BK7-BL7+BI7-BJ7 &gt; 0, CE7-CF7+CC7-CD7+CA7-CB7+BU7-BV7+BK7-BL7+BI7-BJ7, "-")</f>
        <v>8362.30000000001</v>
      </c>
      <c r="CL7" s="19" t="str">
        <f aca="false">IF(CJ7&lt;0,"⚠ Over Budget","✓ Within Budget")</f>
        <v>✓ Within Budget</v>
      </c>
      <c r="CM7" s="21"/>
    </row>
    <row r="8" customFormat="false" ht="14.25" hidden="false" customHeight="false" outlineLevel="0" collapsed="false">
      <c r="A8" s="22" t="s">
        <v>99</v>
      </c>
      <c r="B8" s="22" t="n">
        <v>2022</v>
      </c>
      <c r="C8" s="22" t="n">
        <v>35</v>
      </c>
      <c r="D8" s="22" t="n">
        <v>1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1</v>
      </c>
      <c r="J8" s="22" t="n">
        <v>1</v>
      </c>
      <c r="K8" s="22" t="n">
        <v>1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1</v>
      </c>
      <c r="Q8" s="22" t="n">
        <v>1</v>
      </c>
      <c r="R8" s="22" t="n">
        <v>0</v>
      </c>
      <c r="S8" s="22" t="n">
        <v>35</v>
      </c>
      <c r="T8" s="22" t="n">
        <v>7</v>
      </c>
      <c r="U8" s="22" t="n">
        <v>28</v>
      </c>
      <c r="V8" s="22" t="n">
        <v>33</v>
      </c>
      <c r="W8" s="22" t="n">
        <v>2</v>
      </c>
      <c r="X8" s="22" t="n">
        <v>4</v>
      </c>
      <c r="Y8" s="22" t="n">
        <v>9</v>
      </c>
      <c r="Z8" s="22" t="n">
        <v>12</v>
      </c>
      <c r="AA8" s="22" t="n">
        <v>7</v>
      </c>
      <c r="AB8" s="22" t="n">
        <v>2</v>
      </c>
      <c r="AC8" s="22" t="n">
        <v>1</v>
      </c>
      <c r="AD8" s="23" t="n">
        <v>0.342857</v>
      </c>
      <c r="AE8" s="23" t="n">
        <v>0</v>
      </c>
      <c r="AF8" s="24" t="n">
        <v>60.9</v>
      </c>
      <c r="AG8" s="25" t="n">
        <v>426538</v>
      </c>
      <c r="AH8" s="25" t="n">
        <v>660622</v>
      </c>
      <c r="AI8" s="25" t="n">
        <v>1080662</v>
      </c>
      <c r="AJ8" s="25" t="n">
        <v>1801677</v>
      </c>
      <c r="AK8" s="25" t="n">
        <v>3024265</v>
      </c>
      <c r="AL8" s="25" t="n">
        <v>5122020</v>
      </c>
      <c r="AM8" s="25" t="n">
        <v>1860294.39</v>
      </c>
      <c r="AN8" s="25" t="n">
        <v>5142163.75</v>
      </c>
      <c r="AO8" s="25" t="n">
        <v>4805760.51</v>
      </c>
      <c r="AP8" s="25" t="n">
        <v>514216.37</v>
      </c>
      <c r="AQ8" s="25" t="n">
        <v>480576.05</v>
      </c>
      <c r="AR8" s="25" t="n">
        <v>18698.78</v>
      </c>
      <c r="AS8" s="25" t="n">
        <v>0</v>
      </c>
      <c r="AT8" s="25" t="n">
        <v>257108.19</v>
      </c>
      <c r="AU8" s="25" t="n">
        <v>240288.03</v>
      </c>
      <c r="AV8" s="25" t="n">
        <v>64807.61</v>
      </c>
      <c r="AW8" s="25" t="n">
        <v>41388.03</v>
      </c>
      <c r="AX8" s="25" t="n">
        <v>29523.46</v>
      </c>
      <c r="AY8" s="25" t="n">
        <v>27592.02</v>
      </c>
      <c r="AZ8" s="25" t="n">
        <v>15050.24</v>
      </c>
      <c r="BA8" s="25" t="n">
        <v>0</v>
      </c>
      <c r="BB8" s="25" t="n">
        <v>32278.62</v>
      </c>
      <c r="BC8" s="25" t="n">
        <v>31004.91</v>
      </c>
      <c r="BD8" s="25" t="n">
        <v>355.45</v>
      </c>
      <c r="BE8" s="25" t="n">
        <v>0</v>
      </c>
      <c r="BF8" s="25" t="n">
        <f aca="false">SUM(BE8,BC8,BA8,AY8,AW8,AU8,AS8,AQ8,AO8)</f>
        <v>5626609.55</v>
      </c>
      <c r="BG8" s="25" t="n">
        <v>7837.93</v>
      </c>
      <c r="BH8" s="25" t="n">
        <v>10301.02</v>
      </c>
      <c r="BI8" s="25" t="n">
        <v>27063.18</v>
      </c>
      <c r="BJ8" s="25" t="n">
        <v>25292.69</v>
      </c>
      <c r="BK8" s="25" t="n">
        <v>19682.31</v>
      </c>
      <c r="BL8" s="25" t="n">
        <v>18394.68</v>
      </c>
      <c r="BM8" s="25" t="n">
        <v>55110.47</v>
      </c>
      <c r="BN8" s="25" t="n">
        <v>51505.11</v>
      </c>
      <c r="BO8" s="25" t="n">
        <v>60605.35</v>
      </c>
      <c r="BP8" s="25" t="n">
        <v>103840.95</v>
      </c>
      <c r="BQ8" s="25" t="n">
        <v>297615.57</v>
      </c>
      <c r="BR8" s="25" t="n">
        <v>278145.4</v>
      </c>
      <c r="BS8" s="25" t="n">
        <v>17195.57</v>
      </c>
      <c r="BT8" s="25" t="n">
        <v>12980.12</v>
      </c>
      <c r="BU8" s="25" t="n">
        <v>128554.09</v>
      </c>
      <c r="BV8" s="25" t="n">
        <v>120144.01</v>
      </c>
      <c r="BW8" s="25" t="n">
        <v>16533.14</v>
      </c>
      <c r="BX8" s="25" t="n">
        <v>16095.35</v>
      </c>
      <c r="BY8" s="25" t="n">
        <v>268052.3</v>
      </c>
      <c r="BZ8" s="25" t="n">
        <v>112732.27</v>
      </c>
      <c r="CA8" s="25" t="n">
        <v>17222.02</v>
      </c>
      <c r="CB8" s="25" t="n">
        <v>16095.35</v>
      </c>
      <c r="CC8" s="25" t="n">
        <v>42072.25</v>
      </c>
      <c r="CD8" s="25" t="n">
        <v>72086.41</v>
      </c>
      <c r="CE8" s="25" t="n">
        <v>8227.46</v>
      </c>
      <c r="CF8" s="25" t="n">
        <v>7689.22</v>
      </c>
      <c r="CG8" s="25" t="n">
        <f aca="false">SUM(CF8,CD8,CB8,BZ8,BX8,BV8,BT8,BR8,BP8,BN8,BL8,BJ8,BH8)</f>
        <v>845302.58</v>
      </c>
      <c r="CH8" s="25" t="n">
        <f aca="false">CG8+BF8</f>
        <v>6471912.13</v>
      </c>
      <c r="CI8" s="25" t="n">
        <f aca="false">SUM(CE8,CC8,CA8,BY8,BW8,BU8,BS8,BQ8,BO8,BM8,BK8,BI8,BG8,BD8,BB8,AZ8,AX8,AV8,AT8,AR8,AP8,AN8)</f>
        <v>7039974.11</v>
      </c>
      <c r="CJ8" s="25" t="n">
        <f aca="false">CI8-CH8</f>
        <v>568061.98</v>
      </c>
      <c r="CK8" s="25" t="str">
        <f aca="false">IF(CE8-CF8+CC8-CD8+CA8-CB8+BU8-BV8+BK8-BL8+BI8-BJ8 &gt; 0, CE8-CF8+CC8-CD8+CA8-CB8+BU8-BV8+BK8-BL8+BI8-BJ8, "-")</f>
        <v>-</v>
      </c>
      <c r="CL8" s="25" t="str">
        <f aca="false">IF(CJ8&lt;0,"⚠ Over Budget","✓ Within Budget")</f>
        <v>✓ Within Budget</v>
      </c>
      <c r="CM8" s="27"/>
    </row>
    <row r="9" customFormat="false" ht="14.25" hidden="false" customHeight="false" outlineLevel="0" collapsed="false">
      <c r="A9" s="16" t="s">
        <v>100</v>
      </c>
      <c r="B9" s="16" t="n">
        <v>2022</v>
      </c>
      <c r="C9" s="16" t="n">
        <v>35</v>
      </c>
      <c r="D9" s="16" t="n">
        <v>0</v>
      </c>
      <c r="E9" s="16" t="n">
        <v>1</v>
      </c>
      <c r="F9" s="16" t="n">
        <v>1</v>
      </c>
      <c r="G9" s="16" t="n">
        <v>0</v>
      </c>
      <c r="H9" s="16" t="n">
        <v>0</v>
      </c>
      <c r="I9" s="16" t="n">
        <v>0</v>
      </c>
      <c r="J9" s="16" t="n">
        <v>2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37</v>
      </c>
      <c r="T9" s="16" t="n">
        <v>8</v>
      </c>
      <c r="U9" s="16" t="n">
        <v>29</v>
      </c>
      <c r="V9" s="16" t="n">
        <v>35</v>
      </c>
      <c r="W9" s="16" t="n">
        <v>2</v>
      </c>
      <c r="X9" s="16" t="n">
        <v>4</v>
      </c>
      <c r="Y9" s="16" t="n">
        <v>10</v>
      </c>
      <c r="Z9" s="16" t="n">
        <v>12</v>
      </c>
      <c r="AA9" s="16" t="n">
        <v>7</v>
      </c>
      <c r="AB9" s="16" t="n">
        <v>3</v>
      </c>
      <c r="AC9" s="16" t="n">
        <v>1</v>
      </c>
      <c r="AD9" s="17" t="n">
        <v>0</v>
      </c>
      <c r="AE9" s="17" t="n">
        <v>0</v>
      </c>
      <c r="AF9" s="18" t="n">
        <v>59.8</v>
      </c>
      <c r="AG9" s="19" t="n">
        <v>426538</v>
      </c>
      <c r="AH9" s="19" t="n">
        <v>660622</v>
      </c>
      <c r="AI9" s="19" t="n">
        <v>1080662</v>
      </c>
      <c r="AJ9" s="19" t="n">
        <v>1801677</v>
      </c>
      <c r="AK9" s="19" t="n">
        <v>3024265</v>
      </c>
      <c r="AL9" s="19" t="n">
        <v>5122020</v>
      </c>
      <c r="AM9" s="19" t="n">
        <v>1860294.39</v>
      </c>
      <c r="AN9" s="19" t="n">
        <v>5473916.25</v>
      </c>
      <c r="AO9" s="19" t="n">
        <v>5115809.58</v>
      </c>
      <c r="AP9" s="19" t="n">
        <v>547391.62</v>
      </c>
      <c r="AQ9" s="19" t="n">
        <v>511580.96</v>
      </c>
      <c r="AR9" s="19" t="n">
        <v>19905.15</v>
      </c>
      <c r="AS9" s="19" t="n">
        <v>0</v>
      </c>
      <c r="AT9" s="19" t="n">
        <v>273695.81</v>
      </c>
      <c r="AU9" s="19" t="n">
        <v>255790.48</v>
      </c>
      <c r="AV9" s="19" t="n">
        <v>55190.99</v>
      </c>
      <c r="AW9" s="19" t="n">
        <v>44058.23</v>
      </c>
      <c r="AX9" s="19" t="n">
        <v>31428.2</v>
      </c>
      <c r="AY9" s="19" t="n">
        <v>29372.15</v>
      </c>
      <c r="AZ9" s="19" t="n">
        <v>13351.02</v>
      </c>
      <c r="BA9" s="19" t="n">
        <v>0</v>
      </c>
      <c r="BB9" s="19" t="n">
        <v>53797.7</v>
      </c>
      <c r="BC9" s="19" t="n">
        <v>31004.91</v>
      </c>
      <c r="BD9" s="19" t="n">
        <v>533.17</v>
      </c>
      <c r="BE9" s="19" t="n">
        <v>0</v>
      </c>
      <c r="BF9" s="19" t="n">
        <f aca="false">SUM(BE9,BC9,BA9,AY9,AW9,AU9,AS9,AQ9,AO9)</f>
        <v>5987616.31</v>
      </c>
      <c r="BG9" s="19" t="n">
        <v>6257.7</v>
      </c>
      <c r="BH9" s="19" t="n">
        <v>10965.6</v>
      </c>
      <c r="BI9" s="19" t="n">
        <v>28809.19</v>
      </c>
      <c r="BJ9" s="19" t="n">
        <v>26924.47</v>
      </c>
      <c r="BK9" s="19" t="n">
        <v>20952.14</v>
      </c>
      <c r="BL9" s="19" t="n">
        <v>19581.44</v>
      </c>
      <c r="BM9" s="19" t="n">
        <v>58665.98</v>
      </c>
      <c r="BN9" s="19" t="n">
        <v>54828.02</v>
      </c>
      <c r="BO9" s="19" t="n">
        <v>303026.77</v>
      </c>
      <c r="BP9" s="19" t="n">
        <v>103840.95</v>
      </c>
      <c r="BQ9" s="19" t="n">
        <v>309520.2</v>
      </c>
      <c r="BR9" s="19" t="n">
        <v>289271.21</v>
      </c>
      <c r="BS9" s="19" t="n">
        <v>17883.39</v>
      </c>
      <c r="BT9" s="19" t="n">
        <v>13499.32</v>
      </c>
      <c r="BU9" s="19" t="n">
        <v>136847.91</v>
      </c>
      <c r="BV9" s="19" t="n">
        <v>127895.24</v>
      </c>
      <c r="BW9" s="19" t="n">
        <v>8799.9</v>
      </c>
      <c r="BX9" s="19" t="n">
        <v>17133.76</v>
      </c>
      <c r="BY9" s="19" t="n">
        <v>9312.06</v>
      </c>
      <c r="BZ9" s="19" t="n">
        <v>19581.44</v>
      </c>
      <c r="CA9" s="19" t="n">
        <v>18333.12</v>
      </c>
      <c r="CB9" s="19" t="n">
        <v>17133.76</v>
      </c>
      <c r="CC9" s="19" t="n">
        <v>44786.59</v>
      </c>
      <c r="CD9" s="19" t="n">
        <v>76737.14</v>
      </c>
      <c r="CE9" s="19" t="n">
        <v>8758.27</v>
      </c>
      <c r="CF9" s="19" t="n">
        <v>8185.3</v>
      </c>
      <c r="CG9" s="19" t="n">
        <f aca="false">SUM(CF9,CD9,CB9,BZ9,BX9,BV9,BT9,BR9,BP9,BN9,BL9,BJ9,BH9)</f>
        <v>785577.65</v>
      </c>
      <c r="CH9" s="19" t="n">
        <f aca="false">CG9+BF9</f>
        <v>6773193.96</v>
      </c>
      <c r="CI9" s="19" t="n">
        <f aca="false">SUM(CE9,CC9,CA9,BY9,BW9,BU9,BS9,BQ9,BO9,BM9,BK9,BI9,BG9,BD9,BB9,AZ9,AX9,AV9,AT9,AR9,AP9,AN9)</f>
        <v>7441163.13</v>
      </c>
      <c r="CJ9" s="19" t="n">
        <f aca="false">CI9-CH9</f>
        <v>667969.169999999</v>
      </c>
      <c r="CK9" s="19" t="str">
        <f aca="false">IF(CE9-CF9+CC9-CD9+CA9-CB9+BU9-BV9+BK9-BL9+BI9-BJ9 &gt; 0, CE9-CF9+CC9-CD9+CA9-CB9+BU9-BV9+BK9-BL9+BI9-BJ9, "-")</f>
        <v>-</v>
      </c>
      <c r="CL9" s="19" t="str">
        <f aca="false">IF(CJ9&lt;0,"⚠ Over Budget","✓ Within Budget")</f>
        <v>✓ Within Budget</v>
      </c>
      <c r="CM9" s="21"/>
    </row>
    <row r="10" customFormat="false" ht="14.25" hidden="false" customHeight="false" outlineLevel="0" collapsed="false">
      <c r="A10" s="22" t="s">
        <v>101</v>
      </c>
      <c r="B10" s="22" t="n">
        <v>2022</v>
      </c>
      <c r="C10" s="22" t="n">
        <v>37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37</v>
      </c>
      <c r="T10" s="22" t="n">
        <v>8</v>
      </c>
      <c r="U10" s="22" t="n">
        <v>29</v>
      </c>
      <c r="V10" s="22" t="n">
        <v>35</v>
      </c>
      <c r="W10" s="22" t="n">
        <v>2</v>
      </c>
      <c r="X10" s="22" t="n">
        <v>4</v>
      </c>
      <c r="Y10" s="22" t="n">
        <v>10</v>
      </c>
      <c r="Z10" s="22" t="n">
        <v>12</v>
      </c>
      <c r="AA10" s="22" t="n">
        <v>7</v>
      </c>
      <c r="AB10" s="22" t="n">
        <v>3</v>
      </c>
      <c r="AC10" s="22" t="n">
        <v>1</v>
      </c>
      <c r="AD10" s="23" t="n">
        <v>0</v>
      </c>
      <c r="AE10" s="23" t="n">
        <v>0</v>
      </c>
      <c r="AF10" s="24" t="n">
        <v>59.2</v>
      </c>
      <c r="AG10" s="25" t="n">
        <v>426538</v>
      </c>
      <c r="AH10" s="25" t="n">
        <v>660622</v>
      </c>
      <c r="AI10" s="25" t="n">
        <v>1080662</v>
      </c>
      <c r="AJ10" s="25" t="n">
        <v>1801677</v>
      </c>
      <c r="AK10" s="25" t="n">
        <v>3024265</v>
      </c>
      <c r="AL10" s="25" t="n">
        <v>5122020</v>
      </c>
      <c r="AM10" s="25" t="n">
        <v>1860294.39</v>
      </c>
      <c r="AN10" s="25" t="n">
        <v>5473916.25</v>
      </c>
      <c r="AO10" s="25" t="n">
        <v>5115809.58</v>
      </c>
      <c r="AP10" s="25" t="n">
        <v>547391.62</v>
      </c>
      <c r="AQ10" s="25" t="n">
        <v>511580.96</v>
      </c>
      <c r="AR10" s="25" t="n">
        <v>19905.15</v>
      </c>
      <c r="AS10" s="25" t="n">
        <v>0</v>
      </c>
      <c r="AT10" s="25" t="n">
        <v>273695.81</v>
      </c>
      <c r="AU10" s="25" t="n">
        <v>255790.48</v>
      </c>
      <c r="AV10" s="25" t="n">
        <v>45992.49</v>
      </c>
      <c r="AW10" s="25" t="n">
        <v>44058.23</v>
      </c>
      <c r="AX10" s="25" t="n">
        <v>31428.2</v>
      </c>
      <c r="AY10" s="25" t="n">
        <v>29372.15</v>
      </c>
      <c r="AZ10" s="25" t="n">
        <v>13351.02</v>
      </c>
      <c r="BA10" s="25" t="n">
        <v>0</v>
      </c>
      <c r="BB10" s="25" t="n">
        <v>2689.89</v>
      </c>
      <c r="BC10" s="25" t="n">
        <v>0</v>
      </c>
      <c r="BD10" s="25" t="n">
        <v>533.17</v>
      </c>
      <c r="BE10" s="25" t="n">
        <v>0</v>
      </c>
      <c r="BF10" s="25" t="n">
        <f aca="false">SUM(BE10,BC10,BA10,AY10,AW10,AU10,AS10,AQ10,AO10)</f>
        <v>5956611.4</v>
      </c>
      <c r="BG10" s="25" t="n">
        <v>33523.42</v>
      </c>
      <c r="BH10" s="25" t="n">
        <v>23497.72</v>
      </c>
      <c r="BI10" s="25" t="n">
        <v>28809.19</v>
      </c>
      <c r="BJ10" s="25" t="n">
        <v>26924.47</v>
      </c>
      <c r="BK10" s="25" t="n">
        <v>20952.14</v>
      </c>
      <c r="BL10" s="25" t="n">
        <v>19581.44</v>
      </c>
      <c r="BM10" s="25" t="n">
        <v>58665.98</v>
      </c>
      <c r="BN10" s="25" t="n">
        <v>54828.02</v>
      </c>
      <c r="BO10" s="25" t="n">
        <v>8657.91</v>
      </c>
      <c r="BP10" s="25" t="n">
        <v>0</v>
      </c>
      <c r="BQ10" s="25" t="n">
        <v>309520.2</v>
      </c>
      <c r="BR10" s="25" t="n">
        <v>289271.21</v>
      </c>
      <c r="BS10" s="25" t="n">
        <v>17883.39</v>
      </c>
      <c r="BT10" s="25" t="n">
        <v>13499.32</v>
      </c>
      <c r="BU10" s="25" t="n">
        <v>136847.91</v>
      </c>
      <c r="BV10" s="25" t="n">
        <v>127895.24</v>
      </c>
      <c r="BW10" s="25" t="n">
        <v>17599.79</v>
      </c>
      <c r="BX10" s="25" t="n">
        <v>17133.76</v>
      </c>
      <c r="BY10" s="25" t="n">
        <v>21407.76</v>
      </c>
      <c r="BZ10" s="25" t="n">
        <v>37513.6</v>
      </c>
      <c r="CA10" s="25" t="n">
        <v>18333.12</v>
      </c>
      <c r="CB10" s="25" t="n">
        <v>17133.76</v>
      </c>
      <c r="CC10" s="25" t="n">
        <v>44786.59</v>
      </c>
      <c r="CD10" s="25" t="n">
        <v>76737.14</v>
      </c>
      <c r="CE10" s="25" t="n">
        <v>8758.27</v>
      </c>
      <c r="CF10" s="25" t="n">
        <v>8185.3</v>
      </c>
      <c r="CG10" s="25" t="n">
        <f aca="false">SUM(CF10,CD10,CB10,BZ10,BX10,BV10,BT10,BR10,BP10,BN10,BL10,BJ10,BH10)</f>
        <v>712200.98</v>
      </c>
      <c r="CH10" s="25" t="n">
        <f aca="false">CG10+BF10</f>
        <v>6668812.38</v>
      </c>
      <c r="CI10" s="25" t="n">
        <f aca="false">SUM(CE10,CC10,CA10,BY10,BW10,BU10,BS10,BQ10,BO10,BM10,BK10,BI10,BG10,BD10,BB10,AZ10,AX10,AV10,AT10,AR10,AP10,AN10)</f>
        <v>7134649.27</v>
      </c>
      <c r="CJ10" s="25" t="n">
        <f aca="false">CI10-CH10</f>
        <v>465836.889999999</v>
      </c>
      <c r="CK10" s="25" t="str">
        <f aca="false">IF(CE10-CF10+CC10-CD10+CA10-CB10+BU10-BV10+BK10-BL10+BI10-BJ10 &gt; 0, CE10-CF10+CC10-CD10+CA10-CB10+BU10-BV10+BK10-BL10+BI10-BJ10, "-")</f>
        <v>-</v>
      </c>
      <c r="CL10" s="25" t="str">
        <f aca="false">IF(CJ10&lt;0,"⚠ Over Budget","✓ Within Budget")</f>
        <v>✓ Within Budget</v>
      </c>
      <c r="CM10" s="27"/>
    </row>
    <row r="11" customFormat="false" ht="14.25" hidden="false" customHeight="false" outlineLevel="0" collapsed="false">
      <c r="A11" s="16" t="s">
        <v>102</v>
      </c>
      <c r="B11" s="16" t="n">
        <v>2022</v>
      </c>
      <c r="C11" s="16" t="n">
        <v>37</v>
      </c>
      <c r="D11" s="16" t="n">
        <v>0</v>
      </c>
      <c r="E11" s="16" t="n">
        <v>1</v>
      </c>
      <c r="F11" s="16" t="n">
        <v>1</v>
      </c>
      <c r="G11" s="16" t="n">
        <v>0</v>
      </c>
      <c r="H11" s="16" t="n">
        <v>0</v>
      </c>
      <c r="I11" s="16" t="n">
        <v>0</v>
      </c>
      <c r="J11" s="16" t="n">
        <v>2</v>
      </c>
      <c r="K11" s="16" t="n">
        <v>1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1</v>
      </c>
      <c r="Q11" s="16" t="n">
        <v>1</v>
      </c>
      <c r="R11" s="16" t="n">
        <v>0</v>
      </c>
      <c r="S11" s="16" t="n">
        <v>38</v>
      </c>
      <c r="T11" s="16" t="n">
        <v>8</v>
      </c>
      <c r="U11" s="16" t="n">
        <v>30</v>
      </c>
      <c r="V11" s="16" t="n">
        <v>36</v>
      </c>
      <c r="W11" s="16" t="n">
        <v>2</v>
      </c>
      <c r="X11" s="16" t="n">
        <v>5</v>
      </c>
      <c r="Y11" s="16" t="n">
        <v>10</v>
      </c>
      <c r="Z11" s="16" t="n">
        <v>13</v>
      </c>
      <c r="AA11" s="16" t="n">
        <v>8</v>
      </c>
      <c r="AB11" s="16" t="n">
        <v>3</v>
      </c>
      <c r="AC11" s="16" t="n">
        <v>1</v>
      </c>
      <c r="AD11" s="17" t="n">
        <v>0.324324</v>
      </c>
      <c r="AE11" s="17" t="n">
        <v>0</v>
      </c>
      <c r="AF11" s="18" t="n">
        <v>57.3</v>
      </c>
      <c r="AG11" s="19" t="n">
        <v>426538</v>
      </c>
      <c r="AH11" s="19" t="n">
        <v>660622</v>
      </c>
      <c r="AI11" s="19" t="n">
        <v>1080662</v>
      </c>
      <c r="AJ11" s="19" t="n">
        <v>1801677</v>
      </c>
      <c r="AK11" s="19" t="n">
        <v>3024265</v>
      </c>
      <c r="AL11" s="19" t="n">
        <v>5122020</v>
      </c>
      <c r="AM11" s="19" t="n">
        <v>1860294.39</v>
      </c>
      <c r="AN11" s="19" t="n">
        <v>4976287.5</v>
      </c>
      <c r="AO11" s="19" t="n">
        <v>4650735.98</v>
      </c>
      <c r="AP11" s="19" t="n">
        <v>497628.75</v>
      </c>
      <c r="AQ11" s="19" t="n">
        <v>465073.6</v>
      </c>
      <c r="AR11" s="19" t="n">
        <v>18095.59</v>
      </c>
      <c r="AS11" s="19" t="n">
        <v>0</v>
      </c>
      <c r="AT11" s="19" t="n">
        <v>248814.37</v>
      </c>
      <c r="AU11" s="19" t="n">
        <v>232536.8</v>
      </c>
      <c r="AV11" s="19" t="n">
        <v>45992.49</v>
      </c>
      <c r="AW11" s="19" t="n">
        <v>40052.94</v>
      </c>
      <c r="AX11" s="19" t="n">
        <v>28571.09</v>
      </c>
      <c r="AY11" s="19" t="n">
        <v>26701.96</v>
      </c>
      <c r="AZ11" s="19" t="n">
        <v>24274.57</v>
      </c>
      <c r="BA11" s="19" t="n">
        <v>0</v>
      </c>
      <c r="BB11" s="19" t="n">
        <v>1613.93</v>
      </c>
      <c r="BC11" s="19" t="n">
        <v>0</v>
      </c>
      <c r="BD11" s="19" t="n">
        <v>53317.37</v>
      </c>
      <c r="BE11" s="19" t="n">
        <v>93014.72</v>
      </c>
      <c r="BF11" s="19" t="n">
        <f aca="false">SUM(BE11,BC11,BA11,AY11,AW11,AU11,AS11,AQ11,AO11)</f>
        <v>5508116</v>
      </c>
      <c r="BG11" s="19" t="n">
        <v>43885.2</v>
      </c>
      <c r="BH11" s="19" t="n">
        <v>25633.88</v>
      </c>
      <c r="BI11" s="19" t="n">
        <v>26190.17</v>
      </c>
      <c r="BJ11" s="19" t="n">
        <v>24476.79</v>
      </c>
      <c r="BK11" s="19" t="n">
        <v>19047.4</v>
      </c>
      <c r="BL11" s="19" t="n">
        <v>17801.31</v>
      </c>
      <c r="BM11" s="19" t="n">
        <v>53332.71</v>
      </c>
      <c r="BN11" s="19" t="n">
        <v>49843.65</v>
      </c>
      <c r="BO11" s="19" t="n">
        <v>4328.95</v>
      </c>
      <c r="BP11" s="19" t="n">
        <v>0</v>
      </c>
      <c r="BQ11" s="19" t="n">
        <v>285710.95</v>
      </c>
      <c r="BR11" s="19" t="n">
        <v>267019.58</v>
      </c>
      <c r="BS11" s="19" t="n">
        <v>13968.09</v>
      </c>
      <c r="BT11" s="19" t="n">
        <v>12460.91</v>
      </c>
      <c r="BU11" s="19" t="n">
        <v>124407.19</v>
      </c>
      <c r="BV11" s="19" t="n">
        <v>116268.4</v>
      </c>
      <c r="BW11" s="19" t="n">
        <v>31999.63</v>
      </c>
      <c r="BX11" s="19" t="n">
        <v>15576.14</v>
      </c>
      <c r="BY11" s="19" t="n">
        <v>8465.51</v>
      </c>
      <c r="BZ11" s="19" t="n">
        <v>17801.31</v>
      </c>
      <c r="CA11" s="19" t="n">
        <v>16666.47</v>
      </c>
      <c r="CB11" s="19" t="n">
        <v>15576.14</v>
      </c>
      <c r="CC11" s="19" t="n">
        <v>48858.1</v>
      </c>
      <c r="CD11" s="19" t="n">
        <v>69761.04</v>
      </c>
      <c r="CE11" s="19" t="n">
        <v>7962.06</v>
      </c>
      <c r="CF11" s="19" t="n">
        <v>7441.18</v>
      </c>
      <c r="CG11" s="19" t="n">
        <f aca="false">SUM(CF11,CD11,CB11,BZ11,BX11,BV11,BT11,BR11,BP11,BN11,BL11,BJ11,BH11)</f>
        <v>639660.33</v>
      </c>
      <c r="CH11" s="19" t="n">
        <f aca="false">CG11+BF11</f>
        <v>6147776.33</v>
      </c>
      <c r="CI11" s="19" t="n">
        <f aca="false">SUM(CE11,CC11,CA11,BY11,BW11,BU11,BS11,BQ11,BO11,BM11,BK11,BI11,BG11,BD11,BB11,AZ11,AX11,AV11,AT11,AR11,AP11,AN11)</f>
        <v>6579418.09</v>
      </c>
      <c r="CJ11" s="19" t="n">
        <f aca="false">CI11-CH11</f>
        <v>431641.76</v>
      </c>
      <c r="CK11" s="19" t="str">
        <f aca="false">IF(CE11-CF11+CC11-CD11+CA11-CB11+BU11-BV11+BK11-BL11+BI11-BJ11 &gt; 0, CE11-CF11+CC11-CD11+CA11-CB11+BU11-BV11+BK11-BL11+BI11-BJ11, "-")</f>
        <v>-</v>
      </c>
      <c r="CL11" s="19" t="str">
        <f aca="false">IF(CJ11&lt;0,"⚠ Over Budget","✓ Within Budget")</f>
        <v>✓ Within Budget</v>
      </c>
      <c r="CM11" s="21"/>
    </row>
    <row r="12" customFormat="false" ht="14.25" hidden="false" customHeight="false" outlineLevel="0" collapsed="false">
      <c r="A12" s="22" t="s">
        <v>103</v>
      </c>
      <c r="B12" s="22" t="n">
        <v>2022</v>
      </c>
      <c r="C12" s="22" t="n">
        <v>38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1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1</v>
      </c>
      <c r="Q12" s="22" t="n">
        <v>1</v>
      </c>
      <c r="R12" s="22" t="n">
        <v>0</v>
      </c>
      <c r="S12" s="22" t="n">
        <v>37</v>
      </c>
      <c r="T12" s="22" t="n">
        <v>7</v>
      </c>
      <c r="U12" s="22" t="n">
        <v>30</v>
      </c>
      <c r="V12" s="22" t="n">
        <v>35</v>
      </c>
      <c r="W12" s="22" t="n">
        <v>2</v>
      </c>
      <c r="X12" s="22" t="n">
        <v>4</v>
      </c>
      <c r="Y12" s="22" t="n">
        <v>10</v>
      </c>
      <c r="Z12" s="22" t="n">
        <v>12</v>
      </c>
      <c r="AA12" s="22" t="n">
        <v>7</v>
      </c>
      <c r="AB12" s="22" t="n">
        <v>3</v>
      </c>
      <c r="AC12" s="22" t="n">
        <v>1</v>
      </c>
      <c r="AD12" s="23" t="n">
        <v>0.315789</v>
      </c>
      <c r="AE12" s="23" t="n">
        <v>0.0136668135930459</v>
      </c>
      <c r="AF12" s="24" t="n">
        <v>56.8</v>
      </c>
      <c r="AG12" s="25" t="n">
        <v>434942</v>
      </c>
      <c r="AH12" s="25" t="n">
        <v>670999</v>
      </c>
      <c r="AI12" s="25" t="n">
        <v>1093153</v>
      </c>
      <c r="AJ12" s="25" t="n">
        <v>1823795</v>
      </c>
      <c r="AK12" s="25" t="n">
        <v>3055758</v>
      </c>
      <c r="AL12" s="25" t="n">
        <v>5178187</v>
      </c>
      <c r="AM12" s="25" t="n">
        <v>1883406.39</v>
      </c>
      <c r="AN12" s="25" t="n">
        <v>5373986.23</v>
      </c>
      <c r="AO12" s="25" t="n">
        <v>5022417.04</v>
      </c>
      <c r="AP12" s="25" t="n">
        <v>537398.62</v>
      </c>
      <c r="AQ12" s="25" t="n">
        <v>502241.7</v>
      </c>
      <c r="AR12" s="25" t="n">
        <v>625336.58</v>
      </c>
      <c r="AS12" s="25" t="n">
        <v>200896.68</v>
      </c>
      <c r="AT12" s="25" t="n">
        <v>268699.31</v>
      </c>
      <c r="AU12" s="25" t="n">
        <v>251120.85</v>
      </c>
      <c r="AV12" s="25" t="n">
        <v>40138.9</v>
      </c>
      <c r="AW12" s="25" t="n">
        <v>42723.13</v>
      </c>
      <c r="AX12" s="25" t="n">
        <v>30475.83</v>
      </c>
      <c r="AY12" s="25" t="n">
        <v>28482.09</v>
      </c>
      <c r="AZ12" s="25" t="n">
        <v>52429.13</v>
      </c>
      <c r="BA12" s="25" t="n">
        <v>0</v>
      </c>
      <c r="BB12" s="25" t="n">
        <v>49019.47</v>
      </c>
      <c r="BC12" s="25" t="n">
        <v>47085.16</v>
      </c>
      <c r="BD12" s="25" t="n">
        <v>179.93</v>
      </c>
      <c r="BE12" s="25" t="n">
        <v>0</v>
      </c>
      <c r="BF12" s="25" t="n">
        <f aca="false">SUM(BE12,BC12,BA12,AY12,AW12,AU12,AS12,AQ12,AO12)</f>
        <v>6094966.65</v>
      </c>
      <c r="BG12" s="25" t="n">
        <v>28317.69</v>
      </c>
      <c r="BH12" s="25" t="n">
        <v>21266.63</v>
      </c>
      <c r="BI12" s="25" t="n">
        <v>27936.18</v>
      </c>
      <c r="BJ12" s="25" t="n">
        <v>26108.58</v>
      </c>
      <c r="BK12" s="25" t="n">
        <v>20317.22</v>
      </c>
      <c r="BL12" s="25" t="n">
        <v>18988.06</v>
      </c>
      <c r="BM12" s="25" t="n">
        <v>56888.22</v>
      </c>
      <c r="BN12" s="25" t="n">
        <v>53166.57</v>
      </c>
      <c r="BO12" s="25" t="n">
        <v>90908.03</v>
      </c>
      <c r="BP12" s="25" t="n">
        <v>155761.42</v>
      </c>
      <c r="BQ12" s="25" t="n">
        <v>309520.2</v>
      </c>
      <c r="BR12" s="25" t="n">
        <v>289271.21</v>
      </c>
      <c r="BS12" s="25" t="n">
        <v>13756.45</v>
      </c>
      <c r="BT12" s="25" t="n">
        <v>13499.32</v>
      </c>
      <c r="BU12" s="25" t="n">
        <v>134349.66</v>
      </c>
      <c r="BV12" s="25" t="n">
        <v>125560.43</v>
      </c>
      <c r="BW12" s="25" t="n">
        <v>25599.7</v>
      </c>
      <c r="BX12" s="25" t="n">
        <v>16614.55</v>
      </c>
      <c r="BY12" s="25" t="n">
        <v>456328.46</v>
      </c>
      <c r="BZ12" s="25" t="n">
        <v>149932.69</v>
      </c>
      <c r="CA12" s="25" t="n">
        <v>17777.57</v>
      </c>
      <c r="CB12" s="25" t="n">
        <v>16614.55</v>
      </c>
      <c r="CC12" s="25" t="n">
        <v>70350.37</v>
      </c>
      <c r="CD12" s="25" t="n">
        <v>75336.26</v>
      </c>
      <c r="CE12" s="25" t="n">
        <v>8598.38</v>
      </c>
      <c r="CF12" s="25" t="n">
        <v>8035.87</v>
      </c>
      <c r="CG12" s="25" t="n">
        <f aca="false">SUM(CF12,CD12,CB12,BZ12,BX12,BV12,BT12,BR12,BP12,BN12,BL12,BJ12,BH12)</f>
        <v>970156.14</v>
      </c>
      <c r="CH12" s="25" t="n">
        <f aca="false">CG12+BF12</f>
        <v>7065122.79</v>
      </c>
      <c r="CI12" s="25" t="n">
        <f aca="false">SUM(CE12,CC12,CA12,BY12,BW12,BU12,BS12,BQ12,BO12,BM12,BK12,BI12,BG12,BD12,BB12,AZ12,AX12,AV12,AT12,AR12,AP12,AN12)</f>
        <v>8238312.13</v>
      </c>
      <c r="CJ12" s="25" t="n">
        <f aca="false">CI12-CH12</f>
        <v>1173189.34</v>
      </c>
      <c r="CK12" s="25" t="n">
        <f aca="false">IF(CE12-CF12+CC12-CD12+CA12-CB12+BU12-BV12+BK12-BL12+BI12-BJ12 &gt; 0, CE12-CF12+CC12-CD12+CA12-CB12+BU12-BV12+BK12-BL12+BI12-BJ12, "-")</f>
        <v>8685.62999999999</v>
      </c>
      <c r="CL12" s="25" t="str">
        <f aca="false">IF(CJ12&lt;0,"⚠ Over Budget","✓ Within Budget")</f>
        <v>✓ Within Budget</v>
      </c>
      <c r="CM12" s="27"/>
    </row>
    <row r="13" customFormat="false" ht="18.75" hidden="false" customHeight="true" outlineLevel="0" collapsed="false">
      <c r="A13" s="28" t="s">
        <v>104</v>
      </c>
      <c r="B13" s="28" t="n">
        <v>2022</v>
      </c>
      <c r="C13" s="28" t="n">
        <v>37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37</v>
      </c>
      <c r="T13" s="28" t="n">
        <v>7</v>
      </c>
      <c r="U13" s="28" t="n">
        <v>30</v>
      </c>
      <c r="V13" s="28" t="n">
        <v>35</v>
      </c>
      <c r="W13" s="28" t="n">
        <v>2</v>
      </c>
      <c r="X13" s="28" t="n">
        <v>4</v>
      </c>
      <c r="Y13" s="28" t="n">
        <v>10</v>
      </c>
      <c r="Z13" s="28" t="n">
        <v>12</v>
      </c>
      <c r="AA13" s="28" t="n">
        <v>7</v>
      </c>
      <c r="AB13" s="28" t="n">
        <v>3</v>
      </c>
      <c r="AC13" s="28" t="n">
        <v>1</v>
      </c>
      <c r="AD13" s="29" t="n">
        <v>0</v>
      </c>
      <c r="AE13" s="29" t="n">
        <v>0</v>
      </c>
      <c r="AF13" s="30" t="n">
        <v>56.2</v>
      </c>
      <c r="AG13" s="31" t="n">
        <v>434942</v>
      </c>
      <c r="AH13" s="31" t="n">
        <v>670999</v>
      </c>
      <c r="AI13" s="31" t="n">
        <v>1093153</v>
      </c>
      <c r="AJ13" s="31" t="n">
        <v>1823795</v>
      </c>
      <c r="AK13" s="31" t="n">
        <v>3055758</v>
      </c>
      <c r="AL13" s="31" t="n">
        <v>5178187</v>
      </c>
      <c r="AM13" s="31" t="n">
        <v>1883406.39</v>
      </c>
      <c r="AN13" s="31" t="n">
        <v>5373986.23</v>
      </c>
      <c r="AO13" s="31" t="n">
        <v>5022417.04</v>
      </c>
      <c r="AP13" s="31" t="n">
        <v>537398.62</v>
      </c>
      <c r="AQ13" s="31" t="n">
        <v>502241.7</v>
      </c>
      <c r="AR13" s="31" t="n">
        <v>63510.75</v>
      </c>
      <c r="AS13" s="31" t="n">
        <v>0</v>
      </c>
      <c r="AT13" s="31" t="n">
        <v>268699.31</v>
      </c>
      <c r="AU13" s="31" t="n">
        <v>251120.85</v>
      </c>
      <c r="AV13" s="31" t="n">
        <v>47572.03</v>
      </c>
      <c r="AW13" s="31" t="n">
        <v>56964.18</v>
      </c>
      <c r="AX13" s="31" t="n">
        <v>30475.83</v>
      </c>
      <c r="AY13" s="31" t="n">
        <v>28482.09</v>
      </c>
      <c r="AZ13" s="31" t="n">
        <v>26214.57</v>
      </c>
      <c r="BA13" s="31" t="n">
        <v>0</v>
      </c>
      <c r="BB13" s="31" t="n">
        <v>544.66</v>
      </c>
      <c r="BC13" s="31" t="n">
        <v>0</v>
      </c>
      <c r="BD13" s="31" t="n">
        <v>179.93</v>
      </c>
      <c r="BE13" s="31" t="n">
        <v>0</v>
      </c>
      <c r="BF13" s="31" t="n">
        <f aca="false">SUM(BE13,BC13,BA13,AY13,AW13,AU13,AS13,AQ13,AO13)</f>
        <v>5861225.86</v>
      </c>
      <c r="BG13" s="31" t="n">
        <v>36986.38</v>
      </c>
      <c r="BH13" s="31" t="n">
        <v>24304.72</v>
      </c>
      <c r="BI13" s="31" t="n">
        <v>27936.18</v>
      </c>
      <c r="BJ13" s="31" t="n">
        <v>26108.58</v>
      </c>
      <c r="BK13" s="31" t="n">
        <v>20317.22</v>
      </c>
      <c r="BL13" s="31" t="n">
        <v>18988.06</v>
      </c>
      <c r="BM13" s="31" t="n">
        <v>56888.22</v>
      </c>
      <c r="BN13" s="31" t="n">
        <v>53166.57</v>
      </c>
      <c r="BO13" s="31" t="n">
        <v>4328.95</v>
      </c>
      <c r="BP13" s="31" t="n">
        <v>0</v>
      </c>
      <c r="BQ13" s="31" t="n">
        <v>309520.2</v>
      </c>
      <c r="BR13" s="31" t="n">
        <v>289271.21</v>
      </c>
      <c r="BS13" s="31" t="n">
        <v>12380.81</v>
      </c>
      <c r="BT13" s="31" t="n">
        <v>13499.32</v>
      </c>
      <c r="BU13" s="31" t="n">
        <v>134349.66</v>
      </c>
      <c r="BV13" s="31" t="n">
        <v>125560.43</v>
      </c>
      <c r="BW13" s="31" t="n">
        <v>17066.47</v>
      </c>
      <c r="BX13" s="31" t="n">
        <v>16614.55</v>
      </c>
      <c r="BY13" s="31" t="n">
        <v>71471.62</v>
      </c>
      <c r="BZ13" s="31" t="n">
        <v>1462410.73</v>
      </c>
      <c r="CA13" s="31" t="n">
        <v>17777.57</v>
      </c>
      <c r="CB13" s="31" t="n">
        <v>16614.55</v>
      </c>
      <c r="CC13" s="31" t="n">
        <v>70350.37</v>
      </c>
      <c r="CD13" s="31" t="n">
        <v>75336.26</v>
      </c>
      <c r="CE13" s="31" t="n">
        <v>8598.38</v>
      </c>
      <c r="CF13" s="31" t="n">
        <v>8035.87</v>
      </c>
      <c r="CG13" s="31" t="n">
        <f aca="false">SUM(CF13,CD13,CB13,BZ13,BX13,BV13,BT13,BR13,BP13,BN13,BL13,BJ13,BH13)</f>
        <v>2129910.85</v>
      </c>
      <c r="CH13" s="31" t="n">
        <f aca="false">CG13+BF13</f>
        <v>7991136.71</v>
      </c>
      <c r="CI13" s="31" t="n">
        <f aca="false">SUM(CE13,CC13,CA13,BY13,BW13,BU13,BS13,BQ13,BO13,BM13,BK13,BI13,BG13,BD13,BB13,AZ13,AX13,AV13,AT13,AR13,AP13,AN13)</f>
        <v>7136553.96</v>
      </c>
      <c r="CJ13" s="31" t="n">
        <f aca="false">CI13-CH13</f>
        <v>-854582.75</v>
      </c>
      <c r="CK13" s="31" t="n">
        <f aca="false">IF(CE13-CF13+CC13-CD13+CA13-CB13+BU13-BV13+BK13-BL13+BI13-BJ13 &gt; 0, CE13-CF13+CC13-CD13+CA13-CB13+BU13-BV13+BK13-BL13+BI13-BJ13, "-")</f>
        <v>8685.62999999999</v>
      </c>
      <c r="CL13" s="31" t="str">
        <f aca="false">IF(CJ13&lt;0,"⚠ Over Budget","✓ Within Budget")</f>
        <v>⚠ Over Budget</v>
      </c>
      <c r="CM13" s="33" t="s">
        <v>109</v>
      </c>
    </row>
    <row r="14" customFormat="false" ht="14.25" hidden="false" customHeight="false" outlineLevel="0" collapsed="false">
      <c r="A14" s="22" t="s">
        <v>105</v>
      </c>
      <c r="B14" s="22" t="n">
        <v>2022</v>
      </c>
      <c r="C14" s="22" t="n">
        <v>37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37</v>
      </c>
      <c r="T14" s="22" t="n">
        <v>7</v>
      </c>
      <c r="U14" s="22" t="n">
        <v>30</v>
      </c>
      <c r="V14" s="22" t="n">
        <v>35</v>
      </c>
      <c r="W14" s="22" t="n">
        <v>2</v>
      </c>
      <c r="X14" s="22" t="n">
        <v>4</v>
      </c>
      <c r="Y14" s="22" t="n">
        <v>10</v>
      </c>
      <c r="Z14" s="22" t="n">
        <v>12</v>
      </c>
      <c r="AA14" s="22" t="n">
        <v>7</v>
      </c>
      <c r="AB14" s="22" t="n">
        <v>3</v>
      </c>
      <c r="AC14" s="22" t="n">
        <v>1</v>
      </c>
      <c r="AD14" s="23" t="n">
        <v>0</v>
      </c>
      <c r="AE14" s="23" t="n">
        <v>0</v>
      </c>
      <c r="AF14" s="24" t="n">
        <v>55.9</v>
      </c>
      <c r="AG14" s="25" t="n">
        <v>434942</v>
      </c>
      <c r="AH14" s="25" t="n">
        <v>670999</v>
      </c>
      <c r="AI14" s="25" t="n">
        <v>1093153</v>
      </c>
      <c r="AJ14" s="25" t="n">
        <v>1823795</v>
      </c>
      <c r="AK14" s="25" t="n">
        <v>3055758</v>
      </c>
      <c r="AL14" s="25" t="n">
        <v>5178187</v>
      </c>
      <c r="AM14" s="25" t="n">
        <v>1883406.39</v>
      </c>
      <c r="AN14" s="25" t="n">
        <v>5373986.23</v>
      </c>
      <c r="AO14" s="25" t="n">
        <v>5022417.04</v>
      </c>
      <c r="AP14" s="25" t="n">
        <v>537398.62</v>
      </c>
      <c r="AQ14" s="25" t="n">
        <v>502241.7</v>
      </c>
      <c r="AR14" s="25" t="n">
        <v>2345012.17</v>
      </c>
      <c r="AS14" s="25" t="n">
        <v>502241.7</v>
      </c>
      <c r="AT14" s="25" t="n">
        <v>268699.31</v>
      </c>
      <c r="AU14" s="25" t="n">
        <v>251120.85</v>
      </c>
      <c r="AV14" s="25" t="n">
        <v>41625.53</v>
      </c>
      <c r="AW14" s="25" t="n">
        <v>56964.18</v>
      </c>
      <c r="AX14" s="25" t="n">
        <v>30475.83</v>
      </c>
      <c r="AY14" s="25" t="n">
        <v>28482.09</v>
      </c>
      <c r="AZ14" s="25" t="n">
        <v>39321.85</v>
      </c>
      <c r="BA14" s="25" t="n">
        <v>0</v>
      </c>
      <c r="BB14" s="25" t="n">
        <v>544.66</v>
      </c>
      <c r="BC14" s="25" t="n">
        <v>0</v>
      </c>
      <c r="BD14" s="25" t="n">
        <v>179.93</v>
      </c>
      <c r="BE14" s="25" t="n">
        <v>0</v>
      </c>
      <c r="BF14" s="25" t="n">
        <f aca="false">SUM(BE14,BC14,BA14,AY14,AW14,AU14,AS14,AQ14,AO14)</f>
        <v>6363467.56</v>
      </c>
      <c r="BG14" s="25" t="n">
        <v>6068.08</v>
      </c>
      <c r="BH14" s="25" t="n">
        <v>10633.31</v>
      </c>
      <c r="BI14" s="25" t="n">
        <v>27936.18</v>
      </c>
      <c r="BJ14" s="25" t="n">
        <v>26108.58</v>
      </c>
      <c r="BK14" s="25" t="n">
        <v>20317.22</v>
      </c>
      <c r="BL14" s="25" t="n">
        <v>18988.06</v>
      </c>
      <c r="BM14" s="25" t="n">
        <v>56888.22</v>
      </c>
      <c r="BN14" s="25" t="n">
        <v>53166.57</v>
      </c>
      <c r="BO14" s="25" t="n">
        <v>4328.95</v>
      </c>
      <c r="BP14" s="25" t="n">
        <v>0</v>
      </c>
      <c r="BQ14" s="25" t="n">
        <v>309520.2</v>
      </c>
      <c r="BR14" s="25" t="n">
        <v>289271.21</v>
      </c>
      <c r="BS14" s="25" t="n">
        <v>11005.16</v>
      </c>
      <c r="BT14" s="25" t="n">
        <v>13499.32</v>
      </c>
      <c r="BU14" s="25" t="n">
        <v>134349.66</v>
      </c>
      <c r="BV14" s="25" t="n">
        <v>125560.43</v>
      </c>
      <c r="BW14" s="25" t="n">
        <v>8533.23</v>
      </c>
      <c r="BX14" s="25" t="n">
        <v>16614.55</v>
      </c>
      <c r="BY14" s="25" t="n">
        <v>82059.7</v>
      </c>
      <c r="BZ14" s="25" t="n">
        <v>57518.48</v>
      </c>
      <c r="CA14" s="25" t="n">
        <v>17777.57</v>
      </c>
      <c r="CB14" s="25" t="n">
        <v>16614.55</v>
      </c>
      <c r="CC14" s="25" t="n">
        <v>43968.98</v>
      </c>
      <c r="CD14" s="25" t="n">
        <v>75336.26</v>
      </c>
      <c r="CE14" s="25" t="n">
        <v>8598.38</v>
      </c>
      <c r="CF14" s="25" t="n">
        <v>8035.87</v>
      </c>
      <c r="CG14" s="25" t="n">
        <f aca="false">SUM(CF14,CD14,CB14,BZ14,BX14,BV14,BT14,BR14,BP14,BN14,BL14,BJ14,BH14)</f>
        <v>711347.19</v>
      </c>
      <c r="CH14" s="25" t="n">
        <f aca="false">CG14+BF14</f>
        <v>7074814.75</v>
      </c>
      <c r="CI14" s="25" t="n">
        <f aca="false">SUM(CE14,CC14,CA14,BY14,BW14,BU14,BS14,BQ14,BO14,BM14,BK14,BI14,BG14,BD14,BB14,AZ14,AX14,AV14,AT14,AR14,AP14,AN14)</f>
        <v>9368595.66</v>
      </c>
      <c r="CJ14" s="25" t="n">
        <f aca="false">CI14-CH14</f>
        <v>2293780.91</v>
      </c>
      <c r="CK14" s="25" t="str">
        <f aca="false">IF(CE14-CF14+CC14-CD14+CA14-CB14+BU14-BV14+BK14-BL14+BI14-BJ14 &gt; 0, CE14-CF14+CC14-CD14+CA14-CB14+BU14-BV14+BK14-BL14+BI14-BJ14, "-")</f>
        <v>-</v>
      </c>
      <c r="CL14" s="25" t="str">
        <f aca="false">IF(CJ14&lt;0,"⚠ Over Budget","✓ Within Budget")</f>
        <v>✓ Within Budget</v>
      </c>
      <c r="CM14" s="27"/>
    </row>
    <row r="15" customFormat="false" ht="14.25" hidden="false" customHeight="false" outlineLevel="0" collapsed="false">
      <c r="A15" s="16" t="s">
        <v>92</v>
      </c>
      <c r="B15" s="16" t="n">
        <v>2023</v>
      </c>
      <c r="C15" s="16" t="n">
        <v>37</v>
      </c>
      <c r="D15" s="16" t="n">
        <v>1</v>
      </c>
      <c r="E15" s="16" t="n">
        <v>1</v>
      </c>
      <c r="F15" s="16" t="n">
        <v>1</v>
      </c>
      <c r="G15" s="16" t="n">
        <v>0</v>
      </c>
      <c r="H15" s="16" t="n">
        <v>0</v>
      </c>
      <c r="I15" s="16" t="n">
        <v>0</v>
      </c>
      <c r="J15" s="16" t="n">
        <v>3</v>
      </c>
      <c r="K15" s="16" t="n">
        <v>1</v>
      </c>
      <c r="L15" s="16" t="n">
        <v>1</v>
      </c>
      <c r="M15" s="16" t="n">
        <v>0</v>
      </c>
      <c r="N15" s="16" t="n">
        <v>0</v>
      </c>
      <c r="O15" s="16" t="n">
        <v>0</v>
      </c>
      <c r="P15" s="16" t="n">
        <v>1</v>
      </c>
      <c r="Q15" s="16" t="n">
        <v>2</v>
      </c>
      <c r="R15" s="16" t="n">
        <v>0</v>
      </c>
      <c r="S15" s="16" t="n">
        <v>38</v>
      </c>
      <c r="T15" s="16" t="n">
        <v>8</v>
      </c>
      <c r="U15" s="16" t="n">
        <v>30</v>
      </c>
      <c r="V15" s="16" t="n">
        <v>36</v>
      </c>
      <c r="W15" s="16" t="n">
        <v>2</v>
      </c>
      <c r="X15" s="16" t="n">
        <v>5</v>
      </c>
      <c r="Y15" s="16" t="n">
        <v>10</v>
      </c>
      <c r="Z15" s="16" t="n">
        <v>13</v>
      </c>
      <c r="AA15" s="16" t="n">
        <v>8</v>
      </c>
      <c r="AB15" s="16" t="n">
        <v>3</v>
      </c>
      <c r="AC15" s="16" t="n">
        <v>1</v>
      </c>
      <c r="AD15" s="17" t="n">
        <v>0.648649</v>
      </c>
      <c r="AE15" s="17" t="n">
        <v>0</v>
      </c>
      <c r="AF15" s="18" t="n">
        <v>56.8</v>
      </c>
      <c r="AG15" s="19" t="n">
        <v>434942</v>
      </c>
      <c r="AH15" s="19" t="n">
        <v>670999</v>
      </c>
      <c r="AI15" s="19" t="n">
        <v>1093153</v>
      </c>
      <c r="AJ15" s="19" t="n">
        <v>1823795</v>
      </c>
      <c r="AK15" s="19" t="n">
        <v>3055758</v>
      </c>
      <c r="AL15" s="19" t="n">
        <v>5178187</v>
      </c>
      <c r="AM15" s="19" t="n">
        <v>1787408.25</v>
      </c>
      <c r="AN15" s="19" t="n">
        <v>5418826.01</v>
      </c>
      <c r="AO15" s="19" t="n">
        <v>5064323.38</v>
      </c>
      <c r="AP15" s="19" t="n">
        <v>541882.6</v>
      </c>
      <c r="AQ15" s="19" t="n">
        <v>506432.34</v>
      </c>
      <c r="AR15" s="19" t="n">
        <v>88671.7</v>
      </c>
      <c r="AS15" s="19" t="n">
        <v>303859.4</v>
      </c>
      <c r="AT15" s="19" t="n">
        <v>270941.3</v>
      </c>
      <c r="AU15" s="19" t="n">
        <v>253216.17</v>
      </c>
      <c r="AV15" s="19" t="n">
        <v>47968.97</v>
      </c>
      <c r="AW15" s="19" t="n">
        <v>57439.48</v>
      </c>
      <c r="AX15" s="19" t="n">
        <v>30730.12</v>
      </c>
      <c r="AY15" s="19" t="n">
        <v>28719.74</v>
      </c>
      <c r="AZ15" s="19" t="n">
        <v>13216.65</v>
      </c>
      <c r="BA15" s="19" t="n">
        <v>0</v>
      </c>
      <c r="BB15" s="19" t="n">
        <v>15506.97</v>
      </c>
      <c r="BC15" s="19" t="n">
        <v>44685.21</v>
      </c>
      <c r="BD15" s="19" t="n">
        <v>122948.15</v>
      </c>
      <c r="BE15" s="19" t="n">
        <v>89370.41</v>
      </c>
      <c r="BF15" s="19" t="n">
        <f aca="false">SUM(BE15,BC15,BA15,AY15,AW15,AU15,AS15,AQ15,AO15)</f>
        <v>6348046.13</v>
      </c>
      <c r="BG15" s="19" t="n">
        <v>4079.14</v>
      </c>
      <c r="BH15" s="19" t="n">
        <v>10722.04</v>
      </c>
      <c r="BI15" s="19" t="n">
        <v>28169.28</v>
      </c>
      <c r="BJ15" s="19" t="n">
        <v>26326.43</v>
      </c>
      <c r="BK15" s="19" t="n">
        <v>20486.75</v>
      </c>
      <c r="BL15" s="19" t="n">
        <v>19146.49</v>
      </c>
      <c r="BM15" s="19" t="n">
        <v>57362.89</v>
      </c>
      <c r="BN15" s="19" t="n">
        <v>53610.18</v>
      </c>
      <c r="BO15" s="19" t="n">
        <v>86274.4</v>
      </c>
      <c r="BP15" s="19" t="n">
        <v>147822.19</v>
      </c>
      <c r="BQ15" s="19" t="n">
        <v>305041.64</v>
      </c>
      <c r="BR15" s="19" t="n">
        <v>285085.64</v>
      </c>
      <c r="BS15" s="19" t="n">
        <v>12201.67</v>
      </c>
      <c r="BT15" s="19" t="n">
        <v>13304</v>
      </c>
      <c r="BU15" s="19" t="n">
        <v>135470.65</v>
      </c>
      <c r="BV15" s="19" t="n">
        <v>126608.08</v>
      </c>
      <c r="BW15" s="19" t="n">
        <v>8604.43</v>
      </c>
      <c r="BX15" s="19" t="n">
        <v>16753.18</v>
      </c>
      <c r="BY15" s="19" t="n">
        <v>9105.22</v>
      </c>
      <c r="BZ15" s="19" t="n">
        <v>19146.49</v>
      </c>
      <c r="CA15" s="19" t="n">
        <v>17925.9</v>
      </c>
      <c r="CB15" s="19" t="n">
        <v>16753.18</v>
      </c>
      <c r="CC15" s="19" t="n">
        <v>44335.85</v>
      </c>
      <c r="CD15" s="19" t="n">
        <v>75964.85</v>
      </c>
      <c r="CE15" s="19" t="n">
        <v>8670.12</v>
      </c>
      <c r="CF15" s="19" t="n">
        <v>8102.92</v>
      </c>
      <c r="CG15" s="19" t="n">
        <f aca="false">SUM(CF15,CD15,CB15,BZ15,BX15,BV15,BT15,BR15,BP15,BN15,BL15,BJ15,BH15)</f>
        <v>819345.67</v>
      </c>
      <c r="CH15" s="19" t="n">
        <f aca="false">CG15+BF15</f>
        <v>7167391.8</v>
      </c>
      <c r="CI15" s="19" t="n">
        <f aca="false">SUM(CE15,CC15,CA15,BY15,BW15,BU15,BS15,BQ15,BO15,BM15,BK15,BI15,BG15,BD15,BB15,AZ15,AX15,AV15,AT15,AR15,AP15,AN15)</f>
        <v>7288420.41</v>
      </c>
      <c r="CJ15" s="19" t="n">
        <f aca="false">CI15-CH15</f>
        <v>121028.61</v>
      </c>
      <c r="CK15" s="19" t="str">
        <f aca="false">IF(CE15-CF15+CC15-CD15+CA15-CB15+BU15-BV15+BK15-BL15+BI15-BJ15 &gt; 0, CE15-CF15+CC15-CD15+CA15-CB15+BU15-BV15+BK15-BL15+BI15-BJ15, "-")</f>
        <v>-</v>
      </c>
      <c r="CL15" s="19" t="str">
        <f aca="false">IF(CJ15&lt;0,"⚠ Over Budget","✓ Within Budget")</f>
        <v>✓ Within Budget</v>
      </c>
      <c r="CM15" s="21"/>
    </row>
    <row r="16" customFormat="false" ht="14.25" hidden="false" customHeight="false" outlineLevel="0" collapsed="false">
      <c r="A16" s="22" t="s">
        <v>93</v>
      </c>
      <c r="B16" s="22" t="n">
        <v>2023</v>
      </c>
      <c r="C16" s="22" t="n">
        <v>38</v>
      </c>
      <c r="D16" s="22" t="n">
        <v>0</v>
      </c>
      <c r="E16" s="22" t="n">
        <v>1</v>
      </c>
      <c r="F16" s="22" t="n">
        <v>1</v>
      </c>
      <c r="G16" s="22" t="n">
        <v>0</v>
      </c>
      <c r="H16" s="22" t="n">
        <v>0</v>
      </c>
      <c r="I16" s="22" t="n">
        <v>0</v>
      </c>
      <c r="J16" s="22" t="n">
        <v>2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40</v>
      </c>
      <c r="T16" s="22" t="n">
        <v>8</v>
      </c>
      <c r="U16" s="22" t="n">
        <v>32</v>
      </c>
      <c r="V16" s="22" t="n">
        <v>38</v>
      </c>
      <c r="W16" s="22" t="n">
        <v>2</v>
      </c>
      <c r="X16" s="22" t="n">
        <v>5</v>
      </c>
      <c r="Y16" s="22" t="n">
        <v>10</v>
      </c>
      <c r="Z16" s="22" t="n">
        <v>13</v>
      </c>
      <c r="AA16" s="22" t="n">
        <v>8</v>
      </c>
      <c r="AB16" s="22" t="n">
        <v>3</v>
      </c>
      <c r="AC16" s="22" t="n">
        <v>1</v>
      </c>
      <c r="AD16" s="23" t="n">
        <v>0</v>
      </c>
      <c r="AE16" s="23" t="n">
        <v>0</v>
      </c>
      <c r="AF16" s="24" t="n">
        <v>56.3</v>
      </c>
      <c r="AG16" s="25" t="n">
        <v>434942</v>
      </c>
      <c r="AH16" s="25" t="n">
        <v>670999</v>
      </c>
      <c r="AI16" s="25" t="n">
        <v>1093153</v>
      </c>
      <c r="AJ16" s="25" t="n">
        <v>1823795</v>
      </c>
      <c r="AK16" s="25" t="n">
        <v>3055758</v>
      </c>
      <c r="AL16" s="25" t="n">
        <v>5178187</v>
      </c>
      <c r="AM16" s="25" t="n">
        <v>1787408.25</v>
      </c>
      <c r="AN16" s="25" t="n">
        <v>5418826.01</v>
      </c>
      <c r="AO16" s="25" t="n">
        <v>5064323.38</v>
      </c>
      <c r="AP16" s="25" t="n">
        <v>541882.6</v>
      </c>
      <c r="AQ16" s="25" t="n">
        <v>506432.34</v>
      </c>
      <c r="AR16" s="25" t="n">
        <v>14778.62</v>
      </c>
      <c r="AS16" s="25" t="n">
        <v>0</v>
      </c>
      <c r="AT16" s="25" t="n">
        <v>270941.3</v>
      </c>
      <c r="AU16" s="25" t="n">
        <v>253216.17</v>
      </c>
      <c r="AV16" s="25" t="n">
        <v>47968.97</v>
      </c>
      <c r="AW16" s="25" t="n">
        <v>57439.48</v>
      </c>
      <c r="AX16" s="25" t="n">
        <v>30730.12</v>
      </c>
      <c r="AY16" s="25" t="n">
        <v>28719.74</v>
      </c>
      <c r="AZ16" s="25" t="n">
        <v>13216.65</v>
      </c>
      <c r="BA16" s="25" t="n">
        <v>0</v>
      </c>
      <c r="BB16" s="25" t="n">
        <v>1550.7</v>
      </c>
      <c r="BC16" s="25" t="n">
        <v>0</v>
      </c>
      <c r="BD16" s="25" t="n">
        <v>512.28</v>
      </c>
      <c r="BE16" s="25" t="n">
        <v>0</v>
      </c>
      <c r="BF16" s="25" t="n">
        <f aca="false">SUM(BE16,BC16,BA16,AY16,AW16,AU16,AS16,AQ16,AO16)</f>
        <v>5910131.11</v>
      </c>
      <c r="BG16" s="25" t="n">
        <v>4079.14</v>
      </c>
      <c r="BH16" s="25" t="n">
        <v>10722.04</v>
      </c>
      <c r="BI16" s="25" t="n">
        <v>28169.28</v>
      </c>
      <c r="BJ16" s="25" t="n">
        <v>26326.43</v>
      </c>
      <c r="BK16" s="25" t="n">
        <v>20486.75</v>
      </c>
      <c r="BL16" s="25" t="n">
        <v>19146.49</v>
      </c>
      <c r="BM16" s="25" t="n">
        <v>57362.89</v>
      </c>
      <c r="BN16" s="25" t="n">
        <v>53610.18</v>
      </c>
      <c r="BO16" s="25" t="n">
        <v>4108.3</v>
      </c>
      <c r="BP16" s="25" t="n">
        <v>0</v>
      </c>
      <c r="BQ16" s="25" t="n">
        <v>305041.64</v>
      </c>
      <c r="BR16" s="25" t="n">
        <v>285085.64</v>
      </c>
      <c r="BS16" s="25" t="n">
        <v>12201.67</v>
      </c>
      <c r="BT16" s="25" t="n">
        <v>13304</v>
      </c>
      <c r="BU16" s="25" t="n">
        <v>135470.65</v>
      </c>
      <c r="BV16" s="25" t="n">
        <v>126608.08</v>
      </c>
      <c r="BW16" s="25" t="n">
        <v>8604.43</v>
      </c>
      <c r="BX16" s="25" t="n">
        <v>16753.18</v>
      </c>
      <c r="BY16" s="25" t="n">
        <v>9105.22</v>
      </c>
      <c r="BZ16" s="25" t="n">
        <v>19146.49</v>
      </c>
      <c r="CA16" s="25" t="n">
        <v>17925.9</v>
      </c>
      <c r="CB16" s="25" t="n">
        <v>16753.18</v>
      </c>
      <c r="CC16" s="25" t="n">
        <v>44335.85</v>
      </c>
      <c r="CD16" s="25" t="n">
        <v>75964.85</v>
      </c>
      <c r="CE16" s="25" t="n">
        <v>8670.12</v>
      </c>
      <c r="CF16" s="25" t="n">
        <v>8102.92</v>
      </c>
      <c r="CG16" s="25" t="n">
        <f aca="false">SUM(CF16,CD16,CB16,BZ16,BX16,BV16,BT16,BR16,BP16,BN16,BL16,BJ16,BH16)</f>
        <v>671523.48</v>
      </c>
      <c r="CH16" s="25" t="n">
        <f aca="false">CG16+BF16</f>
        <v>6581654.59</v>
      </c>
      <c r="CI16" s="25" t="n">
        <f aca="false">SUM(CE16,CC16,CA16,BY16,BW16,BU16,BS16,BQ16,BO16,BM16,BK16,BI16,BG16,BD16,BB16,AZ16,AX16,AV16,AT16,AR16,AP16,AN16)</f>
        <v>6995969.09</v>
      </c>
      <c r="CJ16" s="25" t="n">
        <f aca="false">CI16-CH16</f>
        <v>414314.5</v>
      </c>
      <c r="CK16" s="25" t="str">
        <f aca="false">IF(CE16-CF16+CC16-CD16+CA16-CB16+BU16-BV16+BK16-BL16+BI16-BJ16 &gt; 0, CE16-CF16+CC16-CD16+CA16-CB16+BU16-BV16+BK16-BL16+BI16-BJ16, "-")</f>
        <v>-</v>
      </c>
      <c r="CL16" s="25" t="str">
        <f aca="false">IF(CJ16&lt;0,"⚠ Over Budget","✓ Within Budget")</f>
        <v>✓ Within Budget</v>
      </c>
      <c r="CM16" s="27"/>
    </row>
    <row r="17" customFormat="false" ht="14.25" hidden="false" customHeight="false" outlineLevel="0" collapsed="false">
      <c r="A17" s="16" t="s">
        <v>94</v>
      </c>
      <c r="B17" s="16" t="n">
        <v>2023</v>
      </c>
      <c r="C17" s="16" t="n">
        <v>40</v>
      </c>
      <c r="D17" s="16" t="n">
        <v>0</v>
      </c>
      <c r="E17" s="16" t="n">
        <v>1</v>
      </c>
      <c r="F17" s="16" t="n">
        <v>1</v>
      </c>
      <c r="G17" s="16" t="n">
        <v>0</v>
      </c>
      <c r="H17" s="16" t="n">
        <v>0</v>
      </c>
      <c r="I17" s="16" t="n">
        <v>0</v>
      </c>
      <c r="J17" s="16" t="n">
        <v>2</v>
      </c>
      <c r="K17" s="16" t="n">
        <v>1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1</v>
      </c>
      <c r="Q17" s="16" t="n">
        <v>1</v>
      </c>
      <c r="R17" s="16" t="n">
        <v>0</v>
      </c>
      <c r="S17" s="16" t="n">
        <v>41</v>
      </c>
      <c r="T17" s="16" t="n">
        <v>8</v>
      </c>
      <c r="U17" s="16" t="n">
        <v>33</v>
      </c>
      <c r="V17" s="16" t="n">
        <v>39</v>
      </c>
      <c r="W17" s="16" t="n">
        <v>2</v>
      </c>
      <c r="X17" s="16" t="n">
        <v>5</v>
      </c>
      <c r="Y17" s="16" t="n">
        <v>11</v>
      </c>
      <c r="Z17" s="16" t="n">
        <v>14</v>
      </c>
      <c r="AA17" s="16" t="n">
        <v>8</v>
      </c>
      <c r="AB17" s="16" t="n">
        <v>3</v>
      </c>
      <c r="AC17" s="16" t="n">
        <v>1</v>
      </c>
      <c r="AD17" s="17" t="n">
        <v>0.3</v>
      </c>
      <c r="AE17" s="17" t="n">
        <v>0</v>
      </c>
      <c r="AF17" s="18" t="n">
        <v>55.9</v>
      </c>
      <c r="AG17" s="19" t="n">
        <v>434942</v>
      </c>
      <c r="AH17" s="19" t="n">
        <v>670999</v>
      </c>
      <c r="AI17" s="19" t="n">
        <v>1093153</v>
      </c>
      <c r="AJ17" s="19" t="n">
        <v>1823795</v>
      </c>
      <c r="AK17" s="19" t="n">
        <v>3055758</v>
      </c>
      <c r="AL17" s="19" t="n">
        <v>5178187</v>
      </c>
      <c r="AM17" s="19" t="n">
        <v>1787408.25</v>
      </c>
      <c r="AN17" s="19" t="n">
        <v>5418826.01</v>
      </c>
      <c r="AO17" s="19" t="n">
        <v>5064323.38</v>
      </c>
      <c r="AP17" s="19" t="n">
        <v>541882.6</v>
      </c>
      <c r="AQ17" s="19" t="n">
        <v>506432.34</v>
      </c>
      <c r="AR17" s="19" t="n">
        <v>24631.03</v>
      </c>
      <c r="AS17" s="19" t="n">
        <v>0</v>
      </c>
      <c r="AT17" s="19" t="n">
        <v>270941.3</v>
      </c>
      <c r="AU17" s="19" t="n">
        <v>253216.17</v>
      </c>
      <c r="AV17" s="19" t="n">
        <v>44970.91</v>
      </c>
      <c r="AW17" s="19" t="n">
        <v>43079.61</v>
      </c>
      <c r="AX17" s="19" t="n">
        <v>30730.12</v>
      </c>
      <c r="AY17" s="19" t="n">
        <v>28719.74</v>
      </c>
      <c r="AZ17" s="19" t="n">
        <v>42293.28</v>
      </c>
      <c r="BA17" s="19" t="n">
        <v>0</v>
      </c>
      <c r="BB17" s="19" t="n">
        <v>2584.5</v>
      </c>
      <c r="BC17" s="19" t="n">
        <v>0</v>
      </c>
      <c r="BD17" s="19" t="n">
        <v>512.28</v>
      </c>
      <c r="BE17" s="19" t="n">
        <v>0</v>
      </c>
      <c r="BF17" s="19" t="n">
        <f aca="false">SUM(BE17,BC17,BA17,AY17,AW17,AU17,AS17,AQ17,AO17)</f>
        <v>5895771.24</v>
      </c>
      <c r="BG17" s="19" t="n">
        <v>4079.14</v>
      </c>
      <c r="BH17" s="19" t="n">
        <v>10722.04</v>
      </c>
      <c r="BI17" s="19" t="n">
        <v>28169.28</v>
      </c>
      <c r="BJ17" s="19" t="n">
        <v>26326.43</v>
      </c>
      <c r="BK17" s="19" t="n">
        <v>20486.75</v>
      </c>
      <c r="BL17" s="19" t="n">
        <v>19146.49</v>
      </c>
      <c r="BM17" s="19" t="n">
        <v>57362.89</v>
      </c>
      <c r="BN17" s="19" t="n">
        <v>53610.18</v>
      </c>
      <c r="BO17" s="19" t="n">
        <v>4108.3</v>
      </c>
      <c r="BP17" s="19" t="n">
        <v>0</v>
      </c>
      <c r="BQ17" s="19" t="n">
        <v>305041.64</v>
      </c>
      <c r="BR17" s="19" t="n">
        <v>285085.64</v>
      </c>
      <c r="BS17" s="19" t="n">
        <v>13557.41</v>
      </c>
      <c r="BT17" s="19" t="n">
        <v>13304</v>
      </c>
      <c r="BU17" s="19" t="n">
        <v>135470.65</v>
      </c>
      <c r="BV17" s="19" t="n">
        <v>126608.08</v>
      </c>
      <c r="BW17" s="19" t="n">
        <v>8604.43</v>
      </c>
      <c r="BX17" s="19" t="n">
        <v>16753.18</v>
      </c>
      <c r="BY17" s="19" t="n">
        <v>60207.91</v>
      </c>
      <c r="BZ17" s="19" t="n">
        <v>52752.26</v>
      </c>
      <c r="CA17" s="19" t="n">
        <v>17925.9</v>
      </c>
      <c r="CB17" s="19" t="n">
        <v>16753.18</v>
      </c>
      <c r="CC17" s="19" t="n">
        <v>709577.55</v>
      </c>
      <c r="CD17" s="19" t="n">
        <v>243157.42</v>
      </c>
      <c r="CE17" s="19" t="n">
        <v>8670.12</v>
      </c>
      <c r="CF17" s="19" t="n">
        <v>8102.92</v>
      </c>
      <c r="CG17" s="19" t="n">
        <f aca="false">SUM(CF17,CD17,CB17,BZ17,BX17,BV17,BT17,BR17,BP17,BN17,BL17,BJ17,BH17)</f>
        <v>872321.82</v>
      </c>
      <c r="CH17" s="19" t="n">
        <f aca="false">CG17+BF17</f>
        <v>6768093.06</v>
      </c>
      <c r="CI17" s="19" t="n">
        <f aca="false">SUM(CE17,CC17,CA17,BY17,BW17,BU17,BS17,BQ17,BO17,BM17,BK17,BI17,BG17,BD17,BB17,AZ17,AX17,AV17,AT17,AR17,AP17,AN17)</f>
        <v>7750634</v>
      </c>
      <c r="CJ17" s="19" t="n">
        <f aca="false">CI17-CH17</f>
        <v>982540.94</v>
      </c>
      <c r="CK17" s="19" t="n">
        <f aca="false">IF(CE17-CF17+CC17-CD17+CA17-CB17+BU17-BV17+BK17-BL17+BI17-BJ17 &gt; 0, CE17-CF17+CC17-CD17+CA17-CB17+BU17-BV17+BK17-BL17+BI17-BJ17, "-")</f>
        <v>480205.73</v>
      </c>
      <c r="CL17" s="19" t="str">
        <f aca="false">IF(CJ17&lt;0,"⚠ Over Budget","✓ Within Budget")</f>
        <v>✓ Within Budget</v>
      </c>
      <c r="CM17" s="21"/>
    </row>
    <row r="18" customFormat="false" ht="18.75" hidden="false" customHeight="true" outlineLevel="0" collapsed="false">
      <c r="A18" s="28" t="s">
        <v>96</v>
      </c>
      <c r="B18" s="28" t="n">
        <v>2023</v>
      </c>
      <c r="C18" s="28" t="n">
        <v>41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  <c r="Q18" s="28" t="n">
        <v>0</v>
      </c>
      <c r="R18" s="28" t="n">
        <v>0</v>
      </c>
      <c r="S18" s="28" t="n">
        <v>41</v>
      </c>
      <c r="T18" s="28" t="n">
        <v>8</v>
      </c>
      <c r="U18" s="28" t="n">
        <v>33</v>
      </c>
      <c r="V18" s="28" t="n">
        <v>39</v>
      </c>
      <c r="W18" s="28" t="n">
        <v>2</v>
      </c>
      <c r="X18" s="28" t="n">
        <v>5</v>
      </c>
      <c r="Y18" s="28" t="n">
        <v>11</v>
      </c>
      <c r="Z18" s="28" t="n">
        <v>14</v>
      </c>
      <c r="AA18" s="28" t="n">
        <v>8</v>
      </c>
      <c r="AB18" s="28" t="n">
        <v>3</v>
      </c>
      <c r="AC18" s="28" t="n">
        <v>1</v>
      </c>
      <c r="AD18" s="29" t="n">
        <v>0</v>
      </c>
      <c r="AE18" s="29" t="n">
        <v>0.0996073734401077</v>
      </c>
      <c r="AF18" s="30" t="n">
        <v>55.4</v>
      </c>
      <c r="AG18" s="31" t="n">
        <v>488779</v>
      </c>
      <c r="AH18" s="31" t="n">
        <v>744038</v>
      </c>
      <c r="AI18" s="31" t="n">
        <v>1202557</v>
      </c>
      <c r="AJ18" s="31" t="n">
        <v>1978266</v>
      </c>
      <c r="AK18" s="31" t="n">
        <v>3280596</v>
      </c>
      <c r="AL18" s="31" t="n">
        <v>5523852</v>
      </c>
      <c r="AM18" s="31" t="n">
        <v>1949449.61</v>
      </c>
      <c r="AN18" s="31" t="n">
        <v>5910081.39</v>
      </c>
      <c r="AO18" s="31" t="n">
        <v>7233012.79</v>
      </c>
      <c r="AP18" s="31" t="n">
        <v>591008.14</v>
      </c>
      <c r="AQ18" s="31" t="n">
        <v>552344.06</v>
      </c>
      <c r="AR18" s="31" t="n">
        <v>300876.87</v>
      </c>
      <c r="AS18" s="31" t="n">
        <v>1526355.66</v>
      </c>
      <c r="AT18" s="31" t="n">
        <v>295504.07</v>
      </c>
      <c r="AU18" s="31" t="n">
        <v>276172.03</v>
      </c>
      <c r="AV18" s="31" t="n">
        <v>53965.09</v>
      </c>
      <c r="AW18" s="31" t="n">
        <v>43079.61</v>
      </c>
      <c r="AX18" s="31" t="n">
        <v>30730.12</v>
      </c>
      <c r="AY18" s="31" t="n">
        <v>28719.74</v>
      </c>
      <c r="AZ18" s="31" t="n">
        <v>57659.33</v>
      </c>
      <c r="BA18" s="31" t="n">
        <v>0</v>
      </c>
      <c r="BB18" s="31" t="n">
        <v>2818.8</v>
      </c>
      <c r="BC18" s="31" t="n">
        <v>0</v>
      </c>
      <c r="BD18" s="31" t="n">
        <v>186.24</v>
      </c>
      <c r="BE18" s="31" t="n">
        <v>0</v>
      </c>
      <c r="BF18" s="31" t="n">
        <f aca="false">SUM(BE18,BC18,BA18,AY18,AW18,AU18,AS18,AQ18,AO18)</f>
        <v>9659683.89</v>
      </c>
      <c r="BG18" s="31" t="n">
        <v>70510.83</v>
      </c>
      <c r="BH18" s="31" t="n">
        <v>33697.83</v>
      </c>
      <c r="BI18" s="31" t="n">
        <v>28169.28</v>
      </c>
      <c r="BJ18" s="31" t="n">
        <v>26326.43</v>
      </c>
      <c r="BK18" s="31" t="n">
        <v>20486.75</v>
      </c>
      <c r="BL18" s="31" t="n">
        <v>19146.49</v>
      </c>
      <c r="BM18" s="31" t="n">
        <v>57362.89</v>
      </c>
      <c r="BN18" s="31" t="n">
        <v>53610.18</v>
      </c>
      <c r="BO18" s="31" t="n">
        <v>20541.52</v>
      </c>
      <c r="BP18" s="31" t="n">
        <v>0</v>
      </c>
      <c r="BQ18" s="31" t="n">
        <v>305041.64</v>
      </c>
      <c r="BR18" s="31" t="n">
        <v>285085.64</v>
      </c>
      <c r="BS18" s="31" t="n">
        <v>13557.41</v>
      </c>
      <c r="BT18" s="31" t="n">
        <v>13304</v>
      </c>
      <c r="BU18" s="31" t="n">
        <v>147752.03</v>
      </c>
      <c r="BV18" s="31" t="n">
        <v>138086.01</v>
      </c>
      <c r="BW18" s="31" t="n">
        <v>34417.74</v>
      </c>
      <c r="BX18" s="31" t="n">
        <v>16753.18</v>
      </c>
      <c r="BY18" s="31" t="n">
        <v>9105.22</v>
      </c>
      <c r="BZ18" s="31" t="n">
        <v>19146.49</v>
      </c>
      <c r="CA18" s="31" t="n">
        <v>17925.9</v>
      </c>
      <c r="CB18" s="31" t="n">
        <v>16753.18</v>
      </c>
      <c r="CC18" s="31" t="n">
        <v>624433.79</v>
      </c>
      <c r="CD18" s="31" t="n">
        <v>213980.43</v>
      </c>
      <c r="CE18" s="31" t="n">
        <v>9456.13</v>
      </c>
      <c r="CF18" s="31" t="n">
        <v>8837.5</v>
      </c>
      <c r="CG18" s="31" t="n">
        <f aca="false">SUM(CF18,CD18,CB18,BZ18,BX18,BV18,BT18,BR18,BP18,BN18,BL18,BJ18,BH18)</f>
        <v>844727.36</v>
      </c>
      <c r="CH18" s="31" t="n">
        <f aca="false">CG18+BF18</f>
        <v>10504411.25</v>
      </c>
      <c r="CI18" s="31" t="n">
        <f aca="false">SUM(CE18,CC18,CA18,BY18,BW18,BU18,BS18,BQ18,BO18,BM18,BK18,BI18,BG18,BD18,BB18,AZ18,AX18,AV18,AT18,AR18,AP18,AN18)</f>
        <v>8601591.18</v>
      </c>
      <c r="CJ18" s="31" t="n">
        <f aca="false">CI18-CH18</f>
        <v>-1902820.07</v>
      </c>
      <c r="CK18" s="31" t="n">
        <f aca="false">IF(CE18-CF18+CC18-CD18+CA18-CB18+BU18-BV18+BK18-BL18+BI18-BJ18 &gt; 0, CE18-CF18+CC18-CD18+CA18-CB18+BU18-BV18+BK18-BL18+BI18-BJ18, "-")</f>
        <v>425093.84</v>
      </c>
      <c r="CL18" s="31" t="str">
        <f aca="false">IF(CJ18&lt;0,"⚠ Over Budget","✓ Within Budget")</f>
        <v>⚠ Over Budget</v>
      </c>
      <c r="CM18" s="33" t="s">
        <v>107</v>
      </c>
    </row>
    <row r="19" customFormat="false" ht="14.25" hidden="false" customHeight="false" outlineLevel="0" collapsed="false">
      <c r="A19" s="16" t="s">
        <v>98</v>
      </c>
      <c r="B19" s="16" t="n">
        <v>2023</v>
      </c>
      <c r="C19" s="16" t="n">
        <v>41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41</v>
      </c>
      <c r="T19" s="16" t="n">
        <v>8</v>
      </c>
      <c r="U19" s="16" t="n">
        <v>33</v>
      </c>
      <c r="V19" s="16" t="n">
        <v>39</v>
      </c>
      <c r="W19" s="16" t="n">
        <v>2</v>
      </c>
      <c r="X19" s="16" t="n">
        <v>5</v>
      </c>
      <c r="Y19" s="16" t="n">
        <v>11</v>
      </c>
      <c r="Z19" s="16" t="n">
        <v>14</v>
      </c>
      <c r="AA19" s="16" t="n">
        <v>8</v>
      </c>
      <c r="AB19" s="16" t="n">
        <v>3</v>
      </c>
      <c r="AC19" s="16" t="n">
        <v>1</v>
      </c>
      <c r="AD19" s="17" t="n">
        <v>0</v>
      </c>
      <c r="AE19" s="17" t="n">
        <v>0</v>
      </c>
      <c r="AF19" s="18" t="n">
        <v>55.1</v>
      </c>
      <c r="AG19" s="19" t="n">
        <v>488779</v>
      </c>
      <c r="AH19" s="19" t="n">
        <v>744038</v>
      </c>
      <c r="AI19" s="19" t="n">
        <v>1202557</v>
      </c>
      <c r="AJ19" s="19" t="n">
        <v>1978266</v>
      </c>
      <c r="AK19" s="19" t="n">
        <v>3280596</v>
      </c>
      <c r="AL19" s="19" t="n">
        <v>5523852</v>
      </c>
      <c r="AM19" s="19" t="n">
        <v>1949449.61</v>
      </c>
      <c r="AN19" s="19" t="n">
        <v>5910081.39</v>
      </c>
      <c r="AO19" s="19" t="n">
        <v>5523440.55</v>
      </c>
      <c r="AP19" s="19" t="n">
        <v>591008.14</v>
      </c>
      <c r="AQ19" s="19" t="n">
        <v>552344.06</v>
      </c>
      <c r="AR19" s="19" t="n">
        <v>21491.21</v>
      </c>
      <c r="AS19" s="19" t="n">
        <v>0</v>
      </c>
      <c r="AT19" s="19" t="n">
        <v>295504.07</v>
      </c>
      <c r="AU19" s="19" t="n">
        <v>276172.03</v>
      </c>
      <c r="AV19" s="19" t="n">
        <v>58462.18</v>
      </c>
      <c r="AW19" s="19" t="n">
        <v>43079.61</v>
      </c>
      <c r="AX19" s="19" t="n">
        <v>30730.12</v>
      </c>
      <c r="AY19" s="19" t="n">
        <v>28719.74</v>
      </c>
      <c r="AZ19" s="19" t="n">
        <v>17297.8</v>
      </c>
      <c r="BA19" s="19" t="n">
        <v>0</v>
      </c>
      <c r="BB19" s="19" t="n">
        <v>1127.52</v>
      </c>
      <c r="BC19" s="19" t="n">
        <v>0</v>
      </c>
      <c r="BD19" s="19" t="n">
        <v>186.24</v>
      </c>
      <c r="BE19" s="19" t="n">
        <v>0</v>
      </c>
      <c r="BF19" s="19" t="n">
        <f aca="false">SUM(BE19,BC19,BA19,AY19,AW19,AU19,AS19,AQ19,AO19)</f>
        <v>6423755.99</v>
      </c>
      <c r="BG19" s="19" t="n">
        <v>47201.47</v>
      </c>
      <c r="BH19" s="19" t="n">
        <v>27570.95</v>
      </c>
      <c r="BI19" s="19" t="n">
        <v>28169.28</v>
      </c>
      <c r="BJ19" s="19" t="n">
        <v>26326.43</v>
      </c>
      <c r="BK19" s="19" t="n">
        <v>20486.75</v>
      </c>
      <c r="BL19" s="19" t="n">
        <v>19146.49</v>
      </c>
      <c r="BM19" s="19" t="n">
        <v>57362.89</v>
      </c>
      <c r="BN19" s="19" t="n">
        <v>53610.18</v>
      </c>
      <c r="BO19" s="19" t="n">
        <v>8216.61</v>
      </c>
      <c r="BP19" s="19" t="n">
        <v>0</v>
      </c>
      <c r="BQ19" s="19" t="n">
        <v>305041.64</v>
      </c>
      <c r="BR19" s="19" t="n">
        <v>285085.64</v>
      </c>
      <c r="BS19" s="19" t="n">
        <v>14913.15</v>
      </c>
      <c r="BT19" s="19" t="n">
        <v>13304</v>
      </c>
      <c r="BU19" s="19" t="n">
        <v>147752.03</v>
      </c>
      <c r="BV19" s="19" t="n">
        <v>138086.01</v>
      </c>
      <c r="BW19" s="19" t="n">
        <v>25813.3</v>
      </c>
      <c r="BX19" s="19" t="n">
        <v>16753.18</v>
      </c>
      <c r="BY19" s="19" t="n">
        <v>9105.22</v>
      </c>
      <c r="BZ19" s="19" t="n">
        <v>19146.49</v>
      </c>
      <c r="CA19" s="19" t="n">
        <v>17925.9</v>
      </c>
      <c r="CB19" s="19" t="n">
        <v>16753.18</v>
      </c>
      <c r="CC19" s="19" t="n">
        <v>77368.34</v>
      </c>
      <c r="CD19" s="19" t="n">
        <v>82851.61</v>
      </c>
      <c r="CE19" s="19" t="n">
        <v>9456.13</v>
      </c>
      <c r="CF19" s="19" t="n">
        <v>8837.5</v>
      </c>
      <c r="CG19" s="19" t="n">
        <f aca="false">SUM(CF19,CD19,CB19,BZ19,BX19,BV19,BT19,BR19,BP19,BN19,BL19,BJ19,BH19)</f>
        <v>707471.66</v>
      </c>
      <c r="CH19" s="19" t="n">
        <f aca="false">CG19+BF19</f>
        <v>7131227.65</v>
      </c>
      <c r="CI19" s="19" t="n">
        <f aca="false">SUM(CE19,CC19,CA19,BY19,BW19,BU19,BS19,BQ19,BO19,BM19,BK19,BI19,BG19,BD19,BB19,AZ19,AX19,AV19,AT19,AR19,AP19,AN19)</f>
        <v>7694701.38</v>
      </c>
      <c r="CJ19" s="19" t="n">
        <f aca="false">CI19-CH19</f>
        <v>563473.73</v>
      </c>
      <c r="CK19" s="19" t="n">
        <f aca="false">IF(CE19-CF19+CC19-CD19+CA19-CB19+BU19-BV19+BK19-BL19+BI19-BJ19 &gt; 0, CE19-CF19+CC19-CD19+CA19-CB19+BU19-BV19+BK19-BL19+BI19-BJ19, "-")</f>
        <v>9157.20999999997</v>
      </c>
      <c r="CL19" s="19" t="str">
        <f aca="false">IF(CJ19&lt;0,"⚠ Over Budget","✓ Within Budget")</f>
        <v>✓ Within Budget</v>
      </c>
      <c r="CM19" s="21"/>
    </row>
    <row r="20" customFormat="false" ht="14.25" hidden="false" customHeight="false" outlineLevel="0" collapsed="false">
      <c r="A20" s="22" t="s">
        <v>99</v>
      </c>
      <c r="B20" s="22" t="n">
        <v>2023</v>
      </c>
      <c r="C20" s="22" t="n">
        <v>41</v>
      </c>
      <c r="D20" s="22" t="n">
        <v>0</v>
      </c>
      <c r="E20" s="22" t="n">
        <v>1</v>
      </c>
      <c r="F20" s="22" t="n">
        <v>1</v>
      </c>
      <c r="G20" s="22" t="n">
        <v>0</v>
      </c>
      <c r="H20" s="22" t="n">
        <v>0</v>
      </c>
      <c r="I20" s="22" t="n">
        <v>0</v>
      </c>
      <c r="J20" s="22" t="n">
        <v>2</v>
      </c>
      <c r="K20" s="22" t="n">
        <v>1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1</v>
      </c>
      <c r="R20" s="22" t="n">
        <v>0</v>
      </c>
      <c r="S20" s="22" t="n">
        <v>42</v>
      </c>
      <c r="T20" s="22" t="n">
        <v>10</v>
      </c>
      <c r="U20" s="22" t="n">
        <v>32</v>
      </c>
      <c r="V20" s="22" t="n">
        <v>40</v>
      </c>
      <c r="W20" s="22" t="n">
        <v>2</v>
      </c>
      <c r="X20" s="22" t="n">
        <v>5</v>
      </c>
      <c r="Y20" s="22" t="n">
        <v>11</v>
      </c>
      <c r="Z20" s="22" t="n">
        <v>14</v>
      </c>
      <c r="AA20" s="22" t="n">
        <v>8</v>
      </c>
      <c r="AB20" s="22" t="n">
        <v>3</v>
      </c>
      <c r="AC20" s="22" t="n">
        <v>1</v>
      </c>
      <c r="AD20" s="23" t="n">
        <v>0.292683</v>
      </c>
      <c r="AE20" s="23" t="n">
        <v>0</v>
      </c>
      <c r="AF20" s="24" t="n">
        <v>56</v>
      </c>
      <c r="AG20" s="25" t="n">
        <v>488779</v>
      </c>
      <c r="AH20" s="25" t="n">
        <v>744038</v>
      </c>
      <c r="AI20" s="25" t="n">
        <v>1202557</v>
      </c>
      <c r="AJ20" s="25" t="n">
        <v>1978266</v>
      </c>
      <c r="AK20" s="25" t="n">
        <v>3280596</v>
      </c>
      <c r="AL20" s="25" t="n">
        <v>5523852</v>
      </c>
      <c r="AM20" s="25" t="n">
        <v>1949449.61</v>
      </c>
      <c r="AN20" s="25" t="n">
        <v>6083907.32</v>
      </c>
      <c r="AO20" s="25" t="n">
        <v>5685894.69</v>
      </c>
      <c r="AP20" s="25" t="n">
        <v>608390.73</v>
      </c>
      <c r="AQ20" s="25" t="n">
        <v>568589.47</v>
      </c>
      <c r="AR20" s="25" t="n">
        <v>22123.3</v>
      </c>
      <c r="AS20" s="25" t="n">
        <v>0</v>
      </c>
      <c r="AT20" s="25" t="n">
        <v>304195.37</v>
      </c>
      <c r="AU20" s="25" t="n">
        <v>284294.73</v>
      </c>
      <c r="AV20" s="25" t="n">
        <v>69440.37</v>
      </c>
      <c r="AW20" s="25" t="n">
        <v>44346.66</v>
      </c>
      <c r="AX20" s="25" t="n">
        <v>31633.95</v>
      </c>
      <c r="AY20" s="25" t="n">
        <v>29564.44</v>
      </c>
      <c r="AZ20" s="25" t="n">
        <v>17806.56</v>
      </c>
      <c r="BA20" s="25" t="n">
        <v>0</v>
      </c>
      <c r="BB20" s="25" t="n">
        <v>33825.59</v>
      </c>
      <c r="BC20" s="25" t="n">
        <v>32490.83</v>
      </c>
      <c r="BD20" s="25" t="n">
        <v>111745.24</v>
      </c>
      <c r="BE20" s="25" t="n">
        <v>97472.48</v>
      </c>
      <c r="BF20" s="25" t="n">
        <f aca="false">SUM(BE20,BC20,BA20,AY20,AW20,AU20,AS20,AQ20,AO20)</f>
        <v>6742653.3</v>
      </c>
      <c r="BG20" s="25" t="n">
        <v>8398.23</v>
      </c>
      <c r="BH20" s="25" t="n">
        <v>11037.39</v>
      </c>
      <c r="BI20" s="25" t="n">
        <v>28997.79</v>
      </c>
      <c r="BJ20" s="25" t="n">
        <v>27100.73</v>
      </c>
      <c r="BK20" s="25" t="n">
        <v>21089.3</v>
      </c>
      <c r="BL20" s="25" t="n">
        <v>19709.62</v>
      </c>
      <c r="BM20" s="25" t="n">
        <v>59050.04</v>
      </c>
      <c r="BN20" s="25" t="n">
        <v>55186.95</v>
      </c>
      <c r="BO20" s="25" t="n">
        <v>57516.27</v>
      </c>
      <c r="BP20" s="25" t="n">
        <v>98548.12</v>
      </c>
      <c r="BQ20" s="25" t="n">
        <v>305041.64</v>
      </c>
      <c r="BR20" s="25" t="n">
        <v>285085.64</v>
      </c>
      <c r="BS20" s="25" t="n">
        <v>17624.63</v>
      </c>
      <c r="BT20" s="25" t="n">
        <v>13304</v>
      </c>
      <c r="BU20" s="25" t="n">
        <v>152097.68</v>
      </c>
      <c r="BV20" s="25" t="n">
        <v>142147.37</v>
      </c>
      <c r="BW20" s="25" t="n">
        <v>17715.01</v>
      </c>
      <c r="BX20" s="25" t="n">
        <v>17245.92</v>
      </c>
      <c r="BY20" s="25" t="n">
        <v>322977.66</v>
      </c>
      <c r="BZ20" s="25" t="n">
        <v>135831.73</v>
      </c>
      <c r="CA20" s="25" t="n">
        <v>18453.14</v>
      </c>
      <c r="CB20" s="25" t="n">
        <v>17245.92</v>
      </c>
      <c r="CC20" s="25" t="n">
        <v>49777.42</v>
      </c>
      <c r="CD20" s="25" t="n">
        <v>85288.42</v>
      </c>
      <c r="CE20" s="25" t="n">
        <v>9734.25</v>
      </c>
      <c r="CF20" s="25" t="n">
        <v>9097.43</v>
      </c>
      <c r="CG20" s="25" t="n">
        <f aca="false">SUM(CF20,CD20,CB20,BZ20,BX20,BV20,BT20,BR20,BP20,BN20,BL20,BJ20,BH20)</f>
        <v>916829.24</v>
      </c>
      <c r="CH20" s="25" t="n">
        <f aca="false">CG20+BF20</f>
        <v>7659482.54</v>
      </c>
      <c r="CI20" s="25" t="n">
        <f aca="false">SUM(CE20,CC20,CA20,BY20,BW20,BU20,BS20,BQ20,BO20,BM20,BK20,BI20,BG20,BD20,BB20,AZ20,AX20,AV20,AT20,AR20,AP20,AN20)</f>
        <v>8351541.49</v>
      </c>
      <c r="CJ20" s="25" t="n">
        <f aca="false">CI20-CH20</f>
        <v>692058.949999999</v>
      </c>
      <c r="CK20" s="25" t="str">
        <f aca="false">IF(CE20-CF20+CC20-CD20+CA20-CB20+BU20-BV20+BK20-BL20+BI20-BJ20 &gt; 0, CE20-CF20+CC20-CD20+CA20-CB20+BU20-BV20+BK20-BL20+BI20-BJ20, "-")</f>
        <v>-</v>
      </c>
      <c r="CL20" s="25" t="str">
        <f aca="false">IF(CJ20&lt;0,"⚠ Over Budget","✓ Within Budget")</f>
        <v>✓ Within Budget</v>
      </c>
      <c r="CM20" s="27"/>
    </row>
    <row r="21" customFormat="false" ht="14.25" hidden="false" customHeight="false" outlineLevel="0" collapsed="false">
      <c r="A21" s="16" t="s">
        <v>100</v>
      </c>
      <c r="B21" s="16" t="n">
        <v>2023</v>
      </c>
      <c r="C21" s="16" t="n">
        <v>42</v>
      </c>
      <c r="D21" s="16" t="n">
        <v>0</v>
      </c>
      <c r="E21" s="16" t="n">
        <v>1</v>
      </c>
      <c r="F21" s="16" t="n">
        <v>1</v>
      </c>
      <c r="G21" s="16" t="n">
        <v>0</v>
      </c>
      <c r="H21" s="16" t="n">
        <v>0</v>
      </c>
      <c r="I21" s="16" t="n">
        <v>0</v>
      </c>
      <c r="J21" s="16" t="n">
        <v>2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44</v>
      </c>
      <c r="T21" s="16" t="n">
        <v>10</v>
      </c>
      <c r="U21" s="16" t="n">
        <v>34</v>
      </c>
      <c r="V21" s="16" t="n">
        <v>42</v>
      </c>
      <c r="W21" s="16" t="n">
        <v>2</v>
      </c>
      <c r="X21" s="16" t="n">
        <v>5</v>
      </c>
      <c r="Y21" s="16" t="n">
        <v>11</v>
      </c>
      <c r="Z21" s="16" t="n">
        <v>15</v>
      </c>
      <c r="AA21" s="16" t="n">
        <v>9</v>
      </c>
      <c r="AB21" s="16" t="n">
        <v>3</v>
      </c>
      <c r="AC21" s="16" t="n">
        <v>1</v>
      </c>
      <c r="AD21" s="17" t="n">
        <v>0</v>
      </c>
      <c r="AE21" s="17" t="n">
        <v>0</v>
      </c>
      <c r="AF21" s="18" t="n">
        <v>57.2</v>
      </c>
      <c r="AG21" s="19" t="n">
        <v>488779</v>
      </c>
      <c r="AH21" s="19" t="n">
        <v>744038</v>
      </c>
      <c r="AI21" s="19" t="n">
        <v>1202557</v>
      </c>
      <c r="AJ21" s="19" t="n">
        <v>1978266</v>
      </c>
      <c r="AK21" s="19" t="n">
        <v>3280596</v>
      </c>
      <c r="AL21" s="19" t="n">
        <v>5523852</v>
      </c>
      <c r="AM21" s="19" t="n">
        <v>1949449.61</v>
      </c>
      <c r="AN21" s="19" t="n">
        <v>6257733.24</v>
      </c>
      <c r="AO21" s="19" t="n">
        <v>5848348.82</v>
      </c>
      <c r="AP21" s="19" t="n">
        <v>625773.32</v>
      </c>
      <c r="AQ21" s="19" t="n">
        <v>584834.88</v>
      </c>
      <c r="AR21" s="19" t="n">
        <v>22755.39</v>
      </c>
      <c r="AS21" s="19" t="n">
        <v>0</v>
      </c>
      <c r="AT21" s="19" t="n">
        <v>312886.66</v>
      </c>
      <c r="AU21" s="19" t="n">
        <v>292417.44</v>
      </c>
      <c r="AV21" s="19" t="n">
        <v>57139.51</v>
      </c>
      <c r="AW21" s="19" t="n">
        <v>45613.7</v>
      </c>
      <c r="AX21" s="19" t="n">
        <v>32537.77</v>
      </c>
      <c r="AY21" s="19" t="n">
        <v>30409.14</v>
      </c>
      <c r="AZ21" s="19" t="n">
        <v>15262.76</v>
      </c>
      <c r="BA21" s="19" t="n">
        <v>0</v>
      </c>
      <c r="BB21" s="19" t="n">
        <v>28187.99</v>
      </c>
      <c r="BC21" s="19" t="n">
        <v>16245.41</v>
      </c>
      <c r="BD21" s="19" t="n">
        <v>558.73</v>
      </c>
      <c r="BE21" s="19" t="n">
        <v>0</v>
      </c>
      <c r="BF21" s="19" t="n">
        <f aca="false">SUM(BE21,BC21,BA21,AY21,AW21,AU21,AS21,AQ21,AO21)</f>
        <v>6817869.39</v>
      </c>
      <c r="BG21" s="19" t="n">
        <v>6478.63</v>
      </c>
      <c r="BH21" s="19" t="n">
        <v>11352.74</v>
      </c>
      <c r="BI21" s="19" t="n">
        <v>29826.29</v>
      </c>
      <c r="BJ21" s="19" t="n">
        <v>27875.04</v>
      </c>
      <c r="BK21" s="19" t="n">
        <v>21691.85</v>
      </c>
      <c r="BL21" s="19" t="n">
        <v>20272.76</v>
      </c>
      <c r="BM21" s="19" t="n">
        <v>60737.18</v>
      </c>
      <c r="BN21" s="19" t="n">
        <v>56763.72</v>
      </c>
      <c r="BO21" s="19" t="n">
        <v>143790.67</v>
      </c>
      <c r="BP21" s="19" t="n">
        <v>49274.06</v>
      </c>
      <c r="BQ21" s="19" t="n">
        <v>316339.48</v>
      </c>
      <c r="BR21" s="19" t="n">
        <v>295644.37</v>
      </c>
      <c r="BS21" s="19" t="n">
        <v>18277.39</v>
      </c>
      <c r="BT21" s="19" t="n">
        <v>13796.74</v>
      </c>
      <c r="BU21" s="19" t="n">
        <v>156443.33</v>
      </c>
      <c r="BV21" s="19" t="n">
        <v>146208.72</v>
      </c>
      <c r="BW21" s="19" t="n">
        <v>9110.58</v>
      </c>
      <c r="BX21" s="19" t="n">
        <v>17738.66</v>
      </c>
      <c r="BY21" s="19" t="n">
        <v>9640.82</v>
      </c>
      <c r="BZ21" s="19" t="n">
        <v>20272.76</v>
      </c>
      <c r="CA21" s="19" t="n">
        <v>18980.37</v>
      </c>
      <c r="CB21" s="19" t="n">
        <v>17738.66</v>
      </c>
      <c r="CC21" s="19" t="n">
        <v>51199.64</v>
      </c>
      <c r="CD21" s="19" t="n">
        <v>87725.23</v>
      </c>
      <c r="CE21" s="19" t="n">
        <v>10012.37</v>
      </c>
      <c r="CF21" s="19" t="n">
        <v>9357.36</v>
      </c>
      <c r="CG21" s="19" t="n">
        <f aca="false">SUM(CF21,CD21,CB21,BZ21,BX21,BV21,BT21,BR21,BP21,BN21,BL21,BJ21,BH21)</f>
        <v>774020.82</v>
      </c>
      <c r="CH21" s="19" t="n">
        <f aca="false">CG21+BF21</f>
        <v>7591890.21</v>
      </c>
      <c r="CI21" s="19" t="n">
        <f aca="false">SUM(CE21,CC21,CA21,BY21,BW21,BU21,BS21,BQ21,BO21,BM21,BK21,BI21,BG21,BD21,BB21,AZ21,AX21,AV21,AT21,AR21,AP21,AN21)</f>
        <v>8205363.97</v>
      </c>
      <c r="CJ21" s="19" t="n">
        <f aca="false">CI21-CH21</f>
        <v>613473.759999999</v>
      </c>
      <c r="CK21" s="19" t="str">
        <f aca="false">IF(CE21-CF21+CC21-CD21+CA21-CB21+BU21-BV21+BK21-BL21+BI21-BJ21 &gt; 0, CE21-CF21+CC21-CD21+CA21-CB21+BU21-BV21+BK21-BL21+BI21-BJ21, "-")</f>
        <v>-</v>
      </c>
      <c r="CL21" s="19" t="str">
        <f aca="false">IF(CJ21&lt;0,"⚠ Over Budget","✓ Within Budget")</f>
        <v>✓ Within Budget</v>
      </c>
      <c r="CM21" s="21"/>
    </row>
    <row r="22" customFormat="false" ht="14.25" hidden="false" customHeight="false" outlineLevel="0" collapsed="false">
      <c r="A22" s="22" t="s">
        <v>101</v>
      </c>
      <c r="B22" s="22" t="n">
        <v>2023</v>
      </c>
      <c r="C22" s="22" t="n">
        <v>44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44</v>
      </c>
      <c r="T22" s="22" t="n">
        <v>10</v>
      </c>
      <c r="U22" s="22" t="n">
        <v>34</v>
      </c>
      <c r="V22" s="22" t="n">
        <v>42</v>
      </c>
      <c r="W22" s="22" t="n">
        <v>2</v>
      </c>
      <c r="X22" s="22" t="n">
        <v>5</v>
      </c>
      <c r="Y22" s="22" t="n">
        <v>11</v>
      </c>
      <c r="Z22" s="22" t="n">
        <v>15</v>
      </c>
      <c r="AA22" s="22" t="n">
        <v>9</v>
      </c>
      <c r="AB22" s="22" t="n">
        <v>3</v>
      </c>
      <c r="AC22" s="22" t="n">
        <v>1</v>
      </c>
      <c r="AD22" s="23" t="n">
        <v>0</v>
      </c>
      <c r="AE22" s="23" t="n">
        <v>0</v>
      </c>
      <c r="AF22" s="24" t="n">
        <v>56.8</v>
      </c>
      <c r="AG22" s="25" t="n">
        <v>488779</v>
      </c>
      <c r="AH22" s="25" t="n">
        <v>744038</v>
      </c>
      <c r="AI22" s="25" t="n">
        <v>1202557</v>
      </c>
      <c r="AJ22" s="25" t="n">
        <v>1978266</v>
      </c>
      <c r="AK22" s="25" t="n">
        <v>3280596</v>
      </c>
      <c r="AL22" s="25" t="n">
        <v>5523852</v>
      </c>
      <c r="AM22" s="25" t="n">
        <v>1949449.61</v>
      </c>
      <c r="AN22" s="25" t="n">
        <v>6257733.24</v>
      </c>
      <c r="AO22" s="25" t="n">
        <v>5848348.82</v>
      </c>
      <c r="AP22" s="25" t="n">
        <v>625773.32</v>
      </c>
      <c r="AQ22" s="25" t="n">
        <v>584834.88</v>
      </c>
      <c r="AR22" s="25" t="n">
        <v>22755.39</v>
      </c>
      <c r="AS22" s="25" t="n">
        <v>0</v>
      </c>
      <c r="AT22" s="25" t="n">
        <v>312886.66</v>
      </c>
      <c r="AU22" s="25" t="n">
        <v>292417.44</v>
      </c>
      <c r="AV22" s="25" t="n">
        <v>47616.26</v>
      </c>
      <c r="AW22" s="25" t="n">
        <v>45613.7</v>
      </c>
      <c r="AX22" s="25" t="n">
        <v>32537.77</v>
      </c>
      <c r="AY22" s="25" t="n">
        <v>30409.14</v>
      </c>
      <c r="AZ22" s="25" t="n">
        <v>15262.76</v>
      </c>
      <c r="BA22" s="25" t="n">
        <v>0</v>
      </c>
      <c r="BB22" s="25" t="n">
        <v>2818.8</v>
      </c>
      <c r="BC22" s="25" t="n">
        <v>0</v>
      </c>
      <c r="BD22" s="25" t="n">
        <v>558.73</v>
      </c>
      <c r="BE22" s="25" t="n">
        <v>0</v>
      </c>
      <c r="BF22" s="25" t="n">
        <f aca="false">SUM(BE22,BC22,BA22,AY22,AW22,AU22,AS22,AQ22,AO22)</f>
        <v>6801623.98</v>
      </c>
      <c r="BG22" s="25" t="n">
        <v>34706.96</v>
      </c>
      <c r="BH22" s="25" t="n">
        <v>24327.31</v>
      </c>
      <c r="BI22" s="25" t="n">
        <v>29826.29</v>
      </c>
      <c r="BJ22" s="25" t="n">
        <v>27875.04</v>
      </c>
      <c r="BK22" s="25" t="n">
        <v>21691.85</v>
      </c>
      <c r="BL22" s="25" t="n">
        <v>20272.76</v>
      </c>
      <c r="BM22" s="25" t="n">
        <v>60737.18</v>
      </c>
      <c r="BN22" s="25" t="n">
        <v>56763.72</v>
      </c>
      <c r="BO22" s="25" t="n">
        <v>8216.61</v>
      </c>
      <c r="BP22" s="25" t="n">
        <v>0</v>
      </c>
      <c r="BQ22" s="25" t="n">
        <v>316339.48</v>
      </c>
      <c r="BR22" s="25" t="n">
        <v>295644.37</v>
      </c>
      <c r="BS22" s="25" t="n">
        <v>18277.39</v>
      </c>
      <c r="BT22" s="25" t="n">
        <v>13796.74</v>
      </c>
      <c r="BU22" s="25" t="n">
        <v>156443.33</v>
      </c>
      <c r="BV22" s="25" t="n">
        <v>146208.72</v>
      </c>
      <c r="BW22" s="25" t="n">
        <v>18221.15</v>
      </c>
      <c r="BX22" s="25" t="n">
        <v>17738.66</v>
      </c>
      <c r="BY22" s="25" t="n">
        <v>27151.38</v>
      </c>
      <c r="BZ22" s="25" t="n">
        <v>47578.35</v>
      </c>
      <c r="CA22" s="25" t="n">
        <v>18980.37</v>
      </c>
      <c r="CB22" s="25" t="n">
        <v>17738.66</v>
      </c>
      <c r="CC22" s="25" t="n">
        <v>51199.64</v>
      </c>
      <c r="CD22" s="25" t="n">
        <v>87725.23</v>
      </c>
      <c r="CE22" s="25" t="n">
        <v>10012.37</v>
      </c>
      <c r="CF22" s="25" t="n">
        <v>9357.36</v>
      </c>
      <c r="CG22" s="25" t="n">
        <f aca="false">SUM(CF22,CD22,CB22,BZ22,BX22,BV22,BT22,BR22,BP22,BN22,BL22,BJ22,BH22)</f>
        <v>765026.92</v>
      </c>
      <c r="CH22" s="25" t="n">
        <f aca="false">CG22+BF22</f>
        <v>7566650.9</v>
      </c>
      <c r="CI22" s="25" t="n">
        <f aca="false">SUM(CE22,CC22,CA22,BY22,BW22,BU22,BS22,BQ22,BO22,BM22,BK22,BI22,BG22,BD22,BB22,AZ22,AX22,AV22,AT22,AR22,AP22,AN22)</f>
        <v>8089746.93</v>
      </c>
      <c r="CJ22" s="25" t="n">
        <f aca="false">CI22-CH22</f>
        <v>523096.029999999</v>
      </c>
      <c r="CK22" s="25" t="str">
        <f aca="false">IF(CE22-CF22+CC22-CD22+CA22-CB22+BU22-BV22+BK22-BL22+BI22-BJ22 &gt; 0, CE22-CF22+CC22-CD22+CA22-CB22+BU22-BV22+BK22-BL22+BI22-BJ22, "-")</f>
        <v>-</v>
      </c>
      <c r="CL22" s="25" t="str">
        <f aca="false">IF(CJ22&lt;0,"⚠ Over Budget","✓ Within Budget")</f>
        <v>✓ Within Budget</v>
      </c>
      <c r="CM22" s="27"/>
    </row>
    <row r="23" customFormat="false" ht="14.25" hidden="false" customHeight="false" outlineLevel="0" collapsed="false">
      <c r="A23" s="16" t="s">
        <v>102</v>
      </c>
      <c r="B23" s="16" t="n">
        <v>2023</v>
      </c>
      <c r="C23" s="16" t="n">
        <v>44</v>
      </c>
      <c r="D23" s="16" t="n">
        <v>0</v>
      </c>
      <c r="E23" s="16" t="n">
        <v>1</v>
      </c>
      <c r="F23" s="16" t="n">
        <v>1</v>
      </c>
      <c r="G23" s="16" t="n">
        <v>0</v>
      </c>
      <c r="H23" s="16" t="n">
        <v>0</v>
      </c>
      <c r="I23" s="16" t="n">
        <v>0</v>
      </c>
      <c r="J23" s="16" t="n">
        <v>2</v>
      </c>
      <c r="K23" s="16" t="n">
        <v>1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1</v>
      </c>
      <c r="Q23" s="16" t="n">
        <v>1</v>
      </c>
      <c r="R23" s="16" t="n">
        <v>1</v>
      </c>
      <c r="S23" s="16" t="n">
        <v>44</v>
      </c>
      <c r="T23" s="16" t="n">
        <v>10</v>
      </c>
      <c r="U23" s="16" t="n">
        <v>34</v>
      </c>
      <c r="V23" s="16" t="n">
        <v>42</v>
      </c>
      <c r="W23" s="16" t="n">
        <v>2</v>
      </c>
      <c r="X23" s="16" t="n">
        <v>5</v>
      </c>
      <c r="Y23" s="16" t="n">
        <v>11</v>
      </c>
      <c r="Z23" s="16" t="n">
        <v>15</v>
      </c>
      <c r="AA23" s="16" t="n">
        <v>9</v>
      </c>
      <c r="AB23" s="16" t="n">
        <v>3</v>
      </c>
      <c r="AC23" s="16" t="n">
        <v>1</v>
      </c>
      <c r="AD23" s="17" t="n">
        <v>0.272727</v>
      </c>
      <c r="AE23" s="17" t="n">
        <v>0</v>
      </c>
      <c r="AF23" s="18" t="n">
        <v>56.1</v>
      </c>
      <c r="AG23" s="19" t="n">
        <v>488779</v>
      </c>
      <c r="AH23" s="19" t="n">
        <v>744038</v>
      </c>
      <c r="AI23" s="19" t="n">
        <v>1202557</v>
      </c>
      <c r="AJ23" s="19" t="n">
        <v>1978266</v>
      </c>
      <c r="AK23" s="19" t="n">
        <v>3280596</v>
      </c>
      <c r="AL23" s="19" t="n">
        <v>5523852</v>
      </c>
      <c r="AM23" s="19" t="n">
        <v>1949449.61</v>
      </c>
      <c r="AN23" s="19" t="n">
        <v>6257733.24</v>
      </c>
      <c r="AO23" s="19" t="n">
        <v>5848348.82</v>
      </c>
      <c r="AP23" s="19" t="n">
        <v>625773.32</v>
      </c>
      <c r="AQ23" s="19" t="n">
        <v>584834.88</v>
      </c>
      <c r="AR23" s="19" t="n">
        <v>22755.39</v>
      </c>
      <c r="AS23" s="19" t="n">
        <v>0</v>
      </c>
      <c r="AT23" s="19" t="n">
        <v>312886.66</v>
      </c>
      <c r="AU23" s="19" t="n">
        <v>292417.44</v>
      </c>
      <c r="AV23" s="19" t="n">
        <v>52377.88</v>
      </c>
      <c r="AW23" s="19" t="n">
        <v>45613.7</v>
      </c>
      <c r="AX23" s="19" t="n">
        <v>32537.77</v>
      </c>
      <c r="AY23" s="19" t="n">
        <v>30409.14</v>
      </c>
      <c r="AZ23" s="19" t="n">
        <v>30525.53</v>
      </c>
      <c r="BA23" s="19" t="n">
        <v>0</v>
      </c>
      <c r="BB23" s="19" t="n">
        <v>1691.28</v>
      </c>
      <c r="BC23" s="19" t="n">
        <v>0</v>
      </c>
      <c r="BD23" s="19" t="n">
        <v>186.24</v>
      </c>
      <c r="BE23" s="19" t="n">
        <v>0</v>
      </c>
      <c r="BF23" s="19" t="n">
        <f aca="false">SUM(BE23,BC23,BA23,AY23,AW23,AU23,AS23,AQ23,AO23)</f>
        <v>6801623.98</v>
      </c>
      <c r="BG23" s="19" t="n">
        <v>49978.02</v>
      </c>
      <c r="BH23" s="19" t="n">
        <v>29192.77</v>
      </c>
      <c r="BI23" s="19" t="n">
        <v>29826.29</v>
      </c>
      <c r="BJ23" s="19" t="n">
        <v>27875.04</v>
      </c>
      <c r="BK23" s="19" t="n">
        <v>21691.85</v>
      </c>
      <c r="BL23" s="19" t="n">
        <v>20272.76</v>
      </c>
      <c r="BM23" s="19" t="n">
        <v>60737.18</v>
      </c>
      <c r="BN23" s="19" t="n">
        <v>56763.72</v>
      </c>
      <c r="BO23" s="19" t="n">
        <v>4108.3</v>
      </c>
      <c r="BP23" s="19" t="n">
        <v>0</v>
      </c>
      <c r="BQ23" s="19" t="n">
        <v>316339.48</v>
      </c>
      <c r="BR23" s="19" t="n">
        <v>295644.37</v>
      </c>
      <c r="BS23" s="19" t="n">
        <v>15465.49</v>
      </c>
      <c r="BT23" s="19" t="n">
        <v>13796.74</v>
      </c>
      <c r="BU23" s="19" t="n">
        <v>156443.33</v>
      </c>
      <c r="BV23" s="19" t="n">
        <v>146208.72</v>
      </c>
      <c r="BW23" s="19" t="n">
        <v>36442.31</v>
      </c>
      <c r="BX23" s="19" t="n">
        <v>17738.66</v>
      </c>
      <c r="BY23" s="19" t="n">
        <v>9640.82</v>
      </c>
      <c r="BZ23" s="19" t="n">
        <v>20272.76</v>
      </c>
      <c r="CA23" s="19" t="n">
        <v>18980.37</v>
      </c>
      <c r="CB23" s="19" t="n">
        <v>17738.66</v>
      </c>
      <c r="CC23" s="19" t="n">
        <v>61439.56</v>
      </c>
      <c r="CD23" s="19" t="n">
        <v>87725.23</v>
      </c>
      <c r="CE23" s="19" t="n">
        <v>10012.37</v>
      </c>
      <c r="CF23" s="19" t="n">
        <v>9357.36</v>
      </c>
      <c r="CG23" s="19" t="n">
        <f aca="false">SUM(CF23,CD23,CB23,BZ23,BX23,BV23,BT23,BR23,BP23,BN23,BL23,BJ23,BH23)</f>
        <v>742586.79</v>
      </c>
      <c r="CH23" s="19" t="n">
        <f aca="false">CG23+BF23</f>
        <v>7544210.77</v>
      </c>
      <c r="CI23" s="19" t="n">
        <f aca="false">SUM(CE23,CC23,CA23,BY23,BW23,BU23,BS23,BQ23,BO23,BM23,BK23,BI23,BG23,BD23,BB23,AZ23,AX23,AV23,AT23,AR23,AP23,AN23)</f>
        <v>8127572.68</v>
      </c>
      <c r="CJ23" s="19" t="n">
        <f aca="false">CI23-CH23</f>
        <v>583361.909999999</v>
      </c>
      <c r="CK23" s="19" t="str">
        <f aca="false">IF(CE23-CF23+CC23-CD23+CA23-CB23+BU23-BV23+BK23-BL23+BI23-BJ23 &gt; 0, CE23-CF23+CC23-CD23+CA23-CB23+BU23-BV23+BK23-BL23+BI23-BJ23, "-")</f>
        <v>-</v>
      </c>
      <c r="CL23" s="19" t="str">
        <f aca="false">IF(CJ23&lt;0,"⚠ Over Budget","✓ Within Budget")</f>
        <v>✓ Within Budget</v>
      </c>
      <c r="CM23" s="21"/>
    </row>
    <row r="24" customFormat="false" ht="14.25" hidden="false" customHeight="false" outlineLevel="0" collapsed="false">
      <c r="A24" s="28" t="s">
        <v>103</v>
      </c>
      <c r="B24" s="28" t="n">
        <v>2023</v>
      </c>
      <c r="C24" s="28" t="n">
        <v>44</v>
      </c>
      <c r="D24" s="28" t="n">
        <v>1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1</v>
      </c>
      <c r="J24" s="28" t="n">
        <v>1</v>
      </c>
      <c r="K24" s="28" t="n">
        <v>1</v>
      </c>
      <c r="L24" s="28" t="n">
        <v>0</v>
      </c>
      <c r="M24" s="28" t="n">
        <v>0</v>
      </c>
      <c r="N24" s="28" t="n">
        <v>0</v>
      </c>
      <c r="O24" s="28" t="n">
        <v>0</v>
      </c>
      <c r="P24" s="28" t="n">
        <v>1</v>
      </c>
      <c r="Q24" s="28" t="n">
        <v>1</v>
      </c>
      <c r="R24" s="28" t="n">
        <v>0</v>
      </c>
      <c r="S24" s="28" t="n">
        <v>44</v>
      </c>
      <c r="T24" s="28" t="n">
        <v>9</v>
      </c>
      <c r="U24" s="28" t="n">
        <v>35</v>
      </c>
      <c r="V24" s="28" t="n">
        <v>42</v>
      </c>
      <c r="W24" s="28" t="n">
        <v>2</v>
      </c>
      <c r="X24" s="28" t="n">
        <v>5</v>
      </c>
      <c r="Y24" s="28" t="n">
        <v>11</v>
      </c>
      <c r="Z24" s="28" t="n">
        <v>15</v>
      </c>
      <c r="AA24" s="28" t="n">
        <v>9</v>
      </c>
      <c r="AB24" s="28" t="n">
        <v>3</v>
      </c>
      <c r="AC24" s="28" t="n">
        <v>1</v>
      </c>
      <c r="AD24" s="29" t="n">
        <v>0.272727</v>
      </c>
      <c r="AE24" s="29" t="n">
        <v>0.0149682280633865</v>
      </c>
      <c r="AF24" s="30" t="n">
        <v>55.7</v>
      </c>
      <c r="AG24" s="31" t="n">
        <v>498018</v>
      </c>
      <c r="AH24" s="31" t="n">
        <v>757302</v>
      </c>
      <c r="AI24" s="31" t="n">
        <v>1219227</v>
      </c>
      <c r="AJ24" s="31" t="n">
        <v>2002947</v>
      </c>
      <c r="AK24" s="31" t="n">
        <v>3316753</v>
      </c>
      <c r="AL24" s="31" t="n">
        <v>5585417</v>
      </c>
      <c r="AM24" s="31" t="n">
        <v>1975856.15</v>
      </c>
      <c r="AN24" s="31" t="n">
        <v>5990137.24</v>
      </c>
      <c r="AO24" s="31" t="n">
        <v>5598259.1</v>
      </c>
      <c r="AP24" s="31" t="n">
        <v>599013.72</v>
      </c>
      <c r="AQ24" s="31" t="n">
        <v>559825.91</v>
      </c>
      <c r="AR24" s="31" t="n">
        <v>697034.15</v>
      </c>
      <c r="AS24" s="31" t="n">
        <v>1620976.97</v>
      </c>
      <c r="AT24" s="31" t="n">
        <v>299506.86</v>
      </c>
      <c r="AU24" s="31" t="n">
        <v>279912.96</v>
      </c>
      <c r="AV24" s="31" t="n">
        <v>40473.82</v>
      </c>
      <c r="AW24" s="31" t="n">
        <v>43079.61</v>
      </c>
      <c r="AX24" s="31" t="n">
        <v>30730.12</v>
      </c>
      <c r="AY24" s="31" t="n">
        <v>28719.74</v>
      </c>
      <c r="AZ24" s="31" t="n">
        <v>58440.36</v>
      </c>
      <c r="BA24" s="31" t="n">
        <v>598734.26</v>
      </c>
      <c r="BB24" s="31" t="n">
        <v>1714.19</v>
      </c>
      <c r="BC24" s="31" t="n">
        <v>0</v>
      </c>
      <c r="BD24" s="31" t="n">
        <v>188.76</v>
      </c>
      <c r="BE24" s="31" t="n">
        <v>0</v>
      </c>
      <c r="BF24" s="31" t="n">
        <f aca="false">SUM(BE24,BC24,BA24,AY24,AW24,AU24,AS24,AQ24,AO24)</f>
        <v>8729508.55</v>
      </c>
      <c r="BG24" s="31" t="n">
        <v>28553.97</v>
      </c>
      <c r="BH24" s="31" t="n">
        <v>21444.07</v>
      </c>
      <c r="BI24" s="31" t="n">
        <v>28169.28</v>
      </c>
      <c r="BJ24" s="31" t="n">
        <v>26326.43</v>
      </c>
      <c r="BK24" s="31" t="n">
        <v>20486.75</v>
      </c>
      <c r="BL24" s="31" t="n">
        <v>19146.49</v>
      </c>
      <c r="BM24" s="31" t="n">
        <v>57362.89</v>
      </c>
      <c r="BN24" s="31" t="n">
        <v>53610.18</v>
      </c>
      <c r="BO24" s="31" t="n">
        <v>4108.3</v>
      </c>
      <c r="BP24" s="31" t="n">
        <v>0</v>
      </c>
      <c r="BQ24" s="31" t="n">
        <v>305041.64</v>
      </c>
      <c r="BR24" s="31" t="n">
        <v>285085.64</v>
      </c>
      <c r="BS24" s="31" t="n">
        <v>13557.41</v>
      </c>
      <c r="BT24" s="31" t="n">
        <v>13304</v>
      </c>
      <c r="BU24" s="31" t="n">
        <v>149753.43</v>
      </c>
      <c r="BV24" s="31" t="n">
        <v>139956.48</v>
      </c>
      <c r="BW24" s="31" t="n">
        <v>25813.3</v>
      </c>
      <c r="BX24" s="31" t="n">
        <v>16753.18</v>
      </c>
      <c r="BY24" s="31" t="n">
        <v>415732.98</v>
      </c>
      <c r="BZ24" s="31" t="n">
        <v>136594.51</v>
      </c>
      <c r="CA24" s="31" t="n">
        <v>17925.9</v>
      </c>
      <c r="CB24" s="31" t="n">
        <v>16753.18</v>
      </c>
      <c r="CC24" s="31" t="n">
        <v>78416.34</v>
      </c>
      <c r="CD24" s="31" t="n">
        <v>83973.89</v>
      </c>
      <c r="CE24" s="31" t="n">
        <v>9584.22</v>
      </c>
      <c r="CF24" s="31" t="n">
        <v>8957.21</v>
      </c>
      <c r="CG24" s="31" t="n">
        <f aca="false">SUM(CF24,CD24,CB24,BZ24,BX24,BV24,BT24,BR24,BP24,BN24,BL24,BJ24,BH24)</f>
        <v>821905.26</v>
      </c>
      <c r="CH24" s="31" t="n">
        <f aca="false">CG24+BF24</f>
        <v>9551413.81</v>
      </c>
      <c r="CI24" s="31" t="n">
        <f aca="false">SUM(CE24,CC24,CA24,BY24,BW24,BU24,BS24,BQ24,BO24,BM24,BK24,BI24,BG24,BD24,BB24,AZ24,AX24,AV24,AT24,AR24,AP24,AN24)</f>
        <v>8871745.63</v>
      </c>
      <c r="CJ24" s="31" t="n">
        <f aca="false">CI24-CH24</f>
        <v>-679668.179999998</v>
      </c>
      <c r="CK24" s="31" t="n">
        <f aca="false">IF(CE24-CF24+CC24-CD24+CA24-CB24+BU24-BV24+BK24-BL24+BI24-BJ24 &gt; 0, CE24-CF24+CC24-CD24+CA24-CB24+BU24-BV24+BK24-BL24+BI24-BJ24, "-")</f>
        <v>9222.23999999997</v>
      </c>
      <c r="CL24" s="31" t="str">
        <f aca="false">IF(CJ24&lt;0,"⚠ Over Budget","✓ Within Budget")</f>
        <v>⚠ Over Budget</v>
      </c>
      <c r="CM24" s="33" t="s">
        <v>111</v>
      </c>
    </row>
    <row r="25" customFormat="false" ht="18.75" hidden="false" customHeight="true" outlineLevel="0" collapsed="false">
      <c r="A25" s="28" t="s">
        <v>104</v>
      </c>
      <c r="B25" s="28" t="n">
        <v>2023</v>
      </c>
      <c r="C25" s="28" t="n">
        <v>44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v>0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</v>
      </c>
      <c r="Q25" s="28" t="n">
        <v>0</v>
      </c>
      <c r="R25" s="28" t="n">
        <v>0</v>
      </c>
      <c r="S25" s="28" t="n">
        <v>44</v>
      </c>
      <c r="T25" s="28" t="n">
        <v>9</v>
      </c>
      <c r="U25" s="28" t="n">
        <v>35</v>
      </c>
      <c r="V25" s="28" t="n">
        <v>42</v>
      </c>
      <c r="W25" s="28" t="n">
        <v>2</v>
      </c>
      <c r="X25" s="28" t="n">
        <v>5</v>
      </c>
      <c r="Y25" s="28" t="n">
        <v>11</v>
      </c>
      <c r="Z25" s="28" t="n">
        <v>15</v>
      </c>
      <c r="AA25" s="28" t="n">
        <v>9</v>
      </c>
      <c r="AB25" s="28" t="n">
        <v>3</v>
      </c>
      <c r="AC25" s="28" t="n">
        <v>1</v>
      </c>
      <c r="AD25" s="29" t="n">
        <v>0</v>
      </c>
      <c r="AE25" s="29" t="n">
        <v>0</v>
      </c>
      <c r="AF25" s="30" t="n">
        <v>56.5</v>
      </c>
      <c r="AG25" s="31" t="n">
        <v>498018</v>
      </c>
      <c r="AH25" s="31" t="n">
        <v>757302</v>
      </c>
      <c r="AI25" s="31" t="n">
        <v>1219227</v>
      </c>
      <c r="AJ25" s="31" t="n">
        <v>2002947</v>
      </c>
      <c r="AK25" s="31" t="n">
        <v>3316753</v>
      </c>
      <c r="AL25" s="31" t="n">
        <v>5585417</v>
      </c>
      <c r="AM25" s="31" t="n">
        <v>1975856.15</v>
      </c>
      <c r="AN25" s="31" t="n">
        <v>5990137.24</v>
      </c>
      <c r="AO25" s="31" t="n">
        <v>5598259.1</v>
      </c>
      <c r="AP25" s="31" t="n">
        <v>599013.72</v>
      </c>
      <c r="AQ25" s="31" t="n">
        <v>559825.91</v>
      </c>
      <c r="AR25" s="31" t="n">
        <v>70792.53</v>
      </c>
      <c r="AS25" s="31" t="n">
        <v>0</v>
      </c>
      <c r="AT25" s="31" t="n">
        <v>299506.86</v>
      </c>
      <c r="AU25" s="31" t="n">
        <v>279912.96</v>
      </c>
      <c r="AV25" s="31" t="n">
        <v>47968.97</v>
      </c>
      <c r="AW25" s="31" t="n">
        <v>57439.48</v>
      </c>
      <c r="AX25" s="31" t="n">
        <v>30730.12</v>
      </c>
      <c r="AY25" s="31" t="n">
        <v>28719.74</v>
      </c>
      <c r="AZ25" s="31" t="n">
        <v>29220.18</v>
      </c>
      <c r="BA25" s="31" t="n">
        <v>0</v>
      </c>
      <c r="BB25" s="31" t="n">
        <v>571.4</v>
      </c>
      <c r="BC25" s="31" t="n">
        <v>0</v>
      </c>
      <c r="BD25" s="31" t="n">
        <v>188.76</v>
      </c>
      <c r="BE25" s="31" t="n">
        <v>0</v>
      </c>
      <c r="BF25" s="31" t="n">
        <f aca="false">SUM(BE25,BC25,BA25,AY25,AW25,AU25,AS25,AQ25,AO25)</f>
        <v>6524157.19</v>
      </c>
      <c r="BG25" s="31" t="n">
        <v>37294.99</v>
      </c>
      <c r="BH25" s="31" t="n">
        <v>24507.51</v>
      </c>
      <c r="BI25" s="31" t="n">
        <v>28169.28</v>
      </c>
      <c r="BJ25" s="31" t="n">
        <v>26326.43</v>
      </c>
      <c r="BK25" s="31" t="n">
        <v>20486.75</v>
      </c>
      <c r="BL25" s="31" t="n">
        <v>19146.49</v>
      </c>
      <c r="BM25" s="31" t="n">
        <v>57362.89</v>
      </c>
      <c r="BN25" s="31" t="n">
        <v>53610.18</v>
      </c>
      <c r="BO25" s="31" t="n">
        <v>4108.3</v>
      </c>
      <c r="BP25" s="31" t="n">
        <v>0</v>
      </c>
      <c r="BQ25" s="31" t="n">
        <v>305041.64</v>
      </c>
      <c r="BR25" s="31" t="n">
        <v>285085.64</v>
      </c>
      <c r="BS25" s="31" t="n">
        <v>12201.67</v>
      </c>
      <c r="BT25" s="31" t="n">
        <v>13304</v>
      </c>
      <c r="BU25" s="31" t="n">
        <v>149753.43</v>
      </c>
      <c r="BV25" s="31" t="n">
        <v>139956.48</v>
      </c>
      <c r="BW25" s="31" t="n">
        <v>17208.87</v>
      </c>
      <c r="BX25" s="31" t="n">
        <v>16753.18</v>
      </c>
      <c r="BY25" s="31" t="n">
        <v>68949.45</v>
      </c>
      <c r="BZ25" s="31" t="n">
        <v>2149868.03</v>
      </c>
      <c r="CA25" s="31" t="n">
        <v>17925.9</v>
      </c>
      <c r="CB25" s="31" t="n">
        <v>16753.18</v>
      </c>
      <c r="CC25" s="31" t="n">
        <v>78416.34</v>
      </c>
      <c r="CD25" s="31" t="n">
        <v>83973.89</v>
      </c>
      <c r="CE25" s="31" t="n">
        <v>9584.22</v>
      </c>
      <c r="CF25" s="31" t="n">
        <v>8957.21</v>
      </c>
      <c r="CG25" s="31" t="n">
        <f aca="false">SUM(CF25,CD25,CB25,BZ25,BX25,BV25,BT25,BR25,BP25,BN25,BL25,BJ25,BH25)</f>
        <v>2838242.22</v>
      </c>
      <c r="CH25" s="31" t="n">
        <f aca="false">CG25+BF25</f>
        <v>9362399.41</v>
      </c>
      <c r="CI25" s="31" t="n">
        <f aca="false">SUM(CE25,CC25,CA25,BY25,BW25,BU25,BS25,BQ25,BO25,BM25,BK25,BI25,BG25,BD25,BB25,AZ25,AX25,AV25,AT25,AR25,AP25,AN25)</f>
        <v>7874633.51</v>
      </c>
      <c r="CJ25" s="31" t="n">
        <f aca="false">CI25-CH25</f>
        <v>-1487765.9</v>
      </c>
      <c r="CK25" s="31" t="n">
        <f aca="false">IF(CE25-CF25+CC25-CD25+CA25-CB25+BU25-BV25+BK25-BL25+BI25-BJ25 &gt; 0, CE25-CF25+CC25-CD25+CA25-CB25+BU25-BV25+BK25-BL25+BI25-BJ25, "-")</f>
        <v>9222.23999999997</v>
      </c>
      <c r="CL25" s="31" t="str">
        <f aca="false">IF(CJ25&lt;0,"⚠ Over Budget","✓ Within Budget")</f>
        <v>⚠ Over Budget</v>
      </c>
      <c r="CM25" s="33" t="s">
        <v>109</v>
      </c>
    </row>
    <row r="26" customFormat="false" ht="14.25" hidden="false" customHeight="false" outlineLevel="0" collapsed="false">
      <c r="A26" s="22" t="s">
        <v>105</v>
      </c>
      <c r="B26" s="22" t="n">
        <v>2023</v>
      </c>
      <c r="C26" s="22" t="n">
        <v>44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44</v>
      </c>
      <c r="T26" s="22" t="n">
        <v>9</v>
      </c>
      <c r="U26" s="22" t="n">
        <v>35</v>
      </c>
      <c r="V26" s="22" t="n">
        <v>42</v>
      </c>
      <c r="W26" s="22" t="n">
        <v>2</v>
      </c>
      <c r="X26" s="22" t="n">
        <v>5</v>
      </c>
      <c r="Y26" s="22" t="n">
        <v>11</v>
      </c>
      <c r="Z26" s="22" t="n">
        <v>15</v>
      </c>
      <c r="AA26" s="22" t="n">
        <v>9</v>
      </c>
      <c r="AB26" s="22" t="n">
        <v>3</v>
      </c>
      <c r="AC26" s="22" t="n">
        <v>1</v>
      </c>
      <c r="AD26" s="23" t="n">
        <v>0</v>
      </c>
      <c r="AE26" s="23" t="n">
        <v>0</v>
      </c>
      <c r="AF26" s="24" t="n">
        <v>57.1</v>
      </c>
      <c r="AG26" s="25" t="n">
        <v>498018</v>
      </c>
      <c r="AH26" s="25" t="n">
        <v>757302</v>
      </c>
      <c r="AI26" s="25" t="n">
        <v>1219227</v>
      </c>
      <c r="AJ26" s="25" t="n">
        <v>2002947</v>
      </c>
      <c r="AK26" s="25" t="n">
        <v>3316753</v>
      </c>
      <c r="AL26" s="25" t="n">
        <v>5585417</v>
      </c>
      <c r="AM26" s="25" t="n">
        <v>1975856.15</v>
      </c>
      <c r="AN26" s="25" t="n">
        <v>5990137.24</v>
      </c>
      <c r="AO26" s="25" t="n">
        <v>5598259.1</v>
      </c>
      <c r="AP26" s="25" t="n">
        <v>599013.72</v>
      </c>
      <c r="AQ26" s="25" t="n">
        <v>559825.91</v>
      </c>
      <c r="AR26" s="25" t="n">
        <v>2613878.07</v>
      </c>
      <c r="AS26" s="25" t="n">
        <v>559825.91</v>
      </c>
      <c r="AT26" s="25" t="n">
        <v>299506.86</v>
      </c>
      <c r="AU26" s="25" t="n">
        <v>279912.96</v>
      </c>
      <c r="AV26" s="25" t="n">
        <v>41972.85</v>
      </c>
      <c r="AW26" s="25" t="n">
        <v>57439.48</v>
      </c>
      <c r="AX26" s="25" t="n">
        <v>30730.12</v>
      </c>
      <c r="AY26" s="25" t="n">
        <v>28719.74</v>
      </c>
      <c r="AZ26" s="25" t="n">
        <v>43830.27</v>
      </c>
      <c r="BA26" s="25" t="n">
        <v>0</v>
      </c>
      <c r="BB26" s="25" t="n">
        <v>571.4</v>
      </c>
      <c r="BC26" s="25" t="n">
        <v>0</v>
      </c>
      <c r="BD26" s="25" t="n">
        <v>188.76</v>
      </c>
      <c r="BE26" s="25" t="n">
        <v>0</v>
      </c>
      <c r="BF26" s="25" t="n">
        <f aca="false">SUM(BE26,BC26,BA26,AY26,AW26,AU26,AS26,AQ26,AO26)</f>
        <v>7083983.1</v>
      </c>
      <c r="BG26" s="25" t="n">
        <v>6118.71</v>
      </c>
      <c r="BH26" s="25" t="n">
        <v>10722.04</v>
      </c>
      <c r="BI26" s="25" t="n">
        <v>28169.28</v>
      </c>
      <c r="BJ26" s="25" t="n">
        <v>26326.43</v>
      </c>
      <c r="BK26" s="25" t="n">
        <v>20486.75</v>
      </c>
      <c r="BL26" s="25" t="n">
        <v>19146.49</v>
      </c>
      <c r="BM26" s="25" t="n">
        <v>57362.89</v>
      </c>
      <c r="BN26" s="25" t="n">
        <v>53610.18</v>
      </c>
      <c r="BO26" s="25" t="n">
        <v>4108.3</v>
      </c>
      <c r="BP26" s="25" t="n">
        <v>0</v>
      </c>
      <c r="BQ26" s="25" t="n">
        <v>305041.64</v>
      </c>
      <c r="BR26" s="25" t="n">
        <v>285085.64</v>
      </c>
      <c r="BS26" s="25" t="n">
        <v>10845.92</v>
      </c>
      <c r="BT26" s="25" t="n">
        <v>13304</v>
      </c>
      <c r="BU26" s="25" t="n">
        <v>149753.43</v>
      </c>
      <c r="BV26" s="25" t="n">
        <v>139956.48</v>
      </c>
      <c r="BW26" s="25" t="n">
        <v>8604.43</v>
      </c>
      <c r="BX26" s="25" t="n">
        <v>16753.18</v>
      </c>
      <c r="BY26" s="25" t="n">
        <v>84322.99</v>
      </c>
      <c r="BZ26" s="25" t="n">
        <v>59104.9</v>
      </c>
      <c r="CA26" s="25" t="n">
        <v>17925.9</v>
      </c>
      <c r="CB26" s="25" t="n">
        <v>16753.18</v>
      </c>
      <c r="CC26" s="25" t="n">
        <v>49010.21</v>
      </c>
      <c r="CD26" s="25" t="n">
        <v>83973.89</v>
      </c>
      <c r="CE26" s="25" t="n">
        <v>9584.22</v>
      </c>
      <c r="CF26" s="25" t="n">
        <v>8957.21</v>
      </c>
      <c r="CG26" s="25" t="n">
        <f aca="false">SUM(CF26,CD26,CB26,BZ26,BX26,BV26,BT26,BR26,BP26,BN26,BL26,BJ26,BH26)</f>
        <v>733693.62</v>
      </c>
      <c r="CH26" s="25" t="n">
        <f aca="false">CG26+BF26</f>
        <v>7817676.72</v>
      </c>
      <c r="CI26" s="25" t="n">
        <f aca="false">SUM(CE26,CC26,CA26,BY26,BW26,BU26,BS26,BQ26,BO26,BM26,BK26,BI26,BG26,BD26,BB26,AZ26,AX26,AV26,AT26,AR26,AP26,AN26)</f>
        <v>10371163.96</v>
      </c>
      <c r="CJ26" s="25" t="n">
        <f aca="false">CI26-CH26</f>
        <v>2553487.24</v>
      </c>
      <c r="CK26" s="25" t="str">
        <f aca="false">IF(CE26-CF26+CC26-CD26+CA26-CB26+BU26-BV26+BK26-BL26+BI26-BJ26 &gt; 0, CE26-CF26+CC26-CD26+CA26-CB26+BU26-BV26+BK26-BL26+BI26-BJ26, "-")</f>
        <v>-</v>
      </c>
      <c r="CL26" s="25" t="str">
        <f aca="false">IF(CJ26&lt;0,"⚠ Over Budget","✓ Within Budget")</f>
        <v>✓ Within Budget</v>
      </c>
      <c r="CM26" s="27"/>
    </row>
    <row r="27" customFormat="false" ht="14.25" hidden="false" customHeight="false" outlineLevel="0" collapsed="false">
      <c r="A27" s="16" t="s">
        <v>92</v>
      </c>
      <c r="B27" s="16" t="n">
        <v>2024</v>
      </c>
      <c r="C27" s="16" t="n">
        <v>44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0</v>
      </c>
      <c r="I27" s="16" t="n">
        <v>0</v>
      </c>
      <c r="J27" s="16" t="n">
        <v>4</v>
      </c>
      <c r="K27" s="16" t="n">
        <v>1</v>
      </c>
      <c r="L27" s="16" t="n">
        <v>1</v>
      </c>
      <c r="M27" s="16" t="n">
        <v>0</v>
      </c>
      <c r="N27" s="16" t="n">
        <v>0</v>
      </c>
      <c r="O27" s="16" t="n">
        <v>0</v>
      </c>
      <c r="P27" s="16" t="n">
        <v>1</v>
      </c>
      <c r="Q27" s="16" t="n">
        <v>2</v>
      </c>
      <c r="R27" s="16" t="n">
        <v>0</v>
      </c>
      <c r="S27" s="16" t="n">
        <v>46</v>
      </c>
      <c r="T27" s="16" t="n">
        <v>10</v>
      </c>
      <c r="U27" s="16" t="n">
        <v>36</v>
      </c>
      <c r="V27" s="16" t="n">
        <v>44</v>
      </c>
      <c r="W27" s="16" t="n">
        <v>2</v>
      </c>
      <c r="X27" s="16" t="n">
        <v>6</v>
      </c>
      <c r="Y27" s="16" t="n">
        <v>12</v>
      </c>
      <c r="Z27" s="16" t="n">
        <v>15</v>
      </c>
      <c r="AA27" s="16" t="n">
        <v>9</v>
      </c>
      <c r="AB27" s="16" t="n">
        <v>3</v>
      </c>
      <c r="AC27" s="16" t="n">
        <v>1</v>
      </c>
      <c r="AD27" s="17" t="n">
        <v>0.545455</v>
      </c>
      <c r="AE27" s="17" t="n">
        <v>0</v>
      </c>
      <c r="AF27" s="18" t="n">
        <v>57.8</v>
      </c>
      <c r="AG27" s="19" t="n">
        <v>498018</v>
      </c>
      <c r="AH27" s="19" t="n">
        <v>757302</v>
      </c>
      <c r="AI27" s="19" t="n">
        <v>1219227</v>
      </c>
      <c r="AJ27" s="19" t="n">
        <v>2002947</v>
      </c>
      <c r="AK27" s="19" t="n">
        <v>3316753</v>
      </c>
      <c r="AL27" s="19" t="n">
        <v>5585417</v>
      </c>
      <c r="AM27" s="19" t="n">
        <v>1884860.38</v>
      </c>
      <c r="AN27" s="19" t="n">
        <v>5546201.66</v>
      </c>
      <c r="AO27" s="19" t="n">
        <v>5183366.04</v>
      </c>
      <c r="AP27" s="19" t="n">
        <v>554620.17</v>
      </c>
      <c r="AQ27" s="19" t="n">
        <v>518336.6</v>
      </c>
      <c r="AR27" s="19" t="n">
        <v>90756.03</v>
      </c>
      <c r="AS27" s="19" t="n">
        <v>311001.96</v>
      </c>
      <c r="AT27" s="19" t="n">
        <v>277310.08</v>
      </c>
      <c r="AU27" s="19" t="n">
        <v>259168.3</v>
      </c>
      <c r="AV27" s="19" t="n">
        <v>44413.94</v>
      </c>
      <c r="AW27" s="19" t="n">
        <v>53182.58</v>
      </c>
      <c r="AX27" s="19" t="n">
        <v>28452.68</v>
      </c>
      <c r="AY27" s="19" t="n">
        <v>26591.29</v>
      </c>
      <c r="AZ27" s="19" t="n">
        <v>13527.32</v>
      </c>
      <c r="BA27" s="19" t="n">
        <v>0</v>
      </c>
      <c r="BB27" s="19" t="n">
        <v>16352.44</v>
      </c>
      <c r="BC27" s="19" t="n">
        <v>47121.51</v>
      </c>
      <c r="BD27" s="19" t="n">
        <v>129651.47</v>
      </c>
      <c r="BE27" s="19" t="n">
        <v>94243.02</v>
      </c>
      <c r="BF27" s="19" t="n">
        <f aca="false">SUM(BE27,BC27,BA27,AY27,AW27,AU27,AS27,AQ27,AO27)</f>
        <v>6493011.3</v>
      </c>
      <c r="BG27" s="19" t="n">
        <v>3776.83</v>
      </c>
      <c r="BH27" s="19" t="n">
        <v>9927.41</v>
      </c>
      <c r="BI27" s="19" t="n">
        <v>26081.62</v>
      </c>
      <c r="BJ27" s="19" t="n">
        <v>24375.35</v>
      </c>
      <c r="BK27" s="19" t="n">
        <v>18968.45</v>
      </c>
      <c r="BL27" s="19" t="n">
        <v>17727.53</v>
      </c>
      <c r="BM27" s="19" t="n">
        <v>53111.67</v>
      </c>
      <c r="BN27" s="19" t="n">
        <v>49637.07</v>
      </c>
      <c r="BO27" s="19" t="n">
        <v>82301.13</v>
      </c>
      <c r="BP27" s="19" t="n">
        <v>141014.41</v>
      </c>
      <c r="BQ27" s="19" t="n">
        <v>280215.77</v>
      </c>
      <c r="BR27" s="19" t="n">
        <v>261883.9</v>
      </c>
      <c r="BS27" s="19" t="n">
        <v>11208.63</v>
      </c>
      <c r="BT27" s="19" t="n">
        <v>12221.25</v>
      </c>
      <c r="BU27" s="19" t="n">
        <v>138655.04</v>
      </c>
      <c r="BV27" s="19" t="n">
        <v>129584.15</v>
      </c>
      <c r="BW27" s="19" t="n">
        <v>7966.75</v>
      </c>
      <c r="BX27" s="19" t="n">
        <v>15511.58</v>
      </c>
      <c r="BY27" s="19" t="n">
        <v>8430.42</v>
      </c>
      <c r="BZ27" s="19" t="n">
        <v>17727.53</v>
      </c>
      <c r="CA27" s="19" t="n">
        <v>16597.4</v>
      </c>
      <c r="CB27" s="19" t="n">
        <v>15511.58</v>
      </c>
      <c r="CC27" s="19" t="n">
        <v>45378.01</v>
      </c>
      <c r="CD27" s="19" t="n">
        <v>77750.49</v>
      </c>
      <c r="CE27" s="19" t="n">
        <v>8873.92</v>
      </c>
      <c r="CF27" s="19" t="n">
        <v>8293.39</v>
      </c>
      <c r="CG27" s="19" t="n">
        <f aca="false">SUM(CF27,CD27,CB27,BZ27,BX27,BV27,BT27,BR27,BP27,BN27,BL27,BJ27,BH27)</f>
        <v>781165.64</v>
      </c>
      <c r="CH27" s="19" t="n">
        <f aca="false">CG27+BF27</f>
        <v>7274176.94</v>
      </c>
      <c r="CI27" s="19" t="n">
        <f aca="false">SUM(CE27,CC27,CA27,BY27,BW27,BU27,BS27,BQ27,BO27,BM27,BK27,BI27,BG27,BD27,BB27,AZ27,AX27,AV27,AT27,AR27,AP27,AN27)</f>
        <v>7402851.43</v>
      </c>
      <c r="CJ27" s="19" t="n">
        <f aca="false">CI27-CH27</f>
        <v>128674.490000001</v>
      </c>
      <c r="CK27" s="19" t="str">
        <f aca="false">IF(CE27-CF27+CC27-CD27+CA27-CB27+BU27-BV27+BK27-BL27+BI27-BJ27 &gt; 0, CE27-CF27+CC27-CD27+CA27-CB27+BU27-BV27+BK27-BL27+BI27-BJ27, "-")</f>
        <v>-</v>
      </c>
      <c r="CL27" s="19" t="str">
        <f aca="false">IF(CJ27&lt;0,"⚠ Over Budget","✓ Within Budget")</f>
        <v>✓ Within Budget</v>
      </c>
      <c r="CM27" s="21"/>
    </row>
    <row r="28" customFormat="false" ht="14.25" hidden="false" customHeight="false" outlineLevel="0" collapsed="false">
      <c r="A28" s="22" t="s">
        <v>93</v>
      </c>
      <c r="B28" s="22" t="n">
        <v>2024</v>
      </c>
      <c r="C28" s="22" t="n">
        <v>46</v>
      </c>
      <c r="D28" s="22" t="n">
        <v>1</v>
      </c>
      <c r="E28" s="22" t="n">
        <v>1</v>
      </c>
      <c r="F28" s="22" t="n">
        <v>1</v>
      </c>
      <c r="G28" s="22" t="n">
        <v>0</v>
      </c>
      <c r="H28" s="22" t="n">
        <v>0</v>
      </c>
      <c r="I28" s="22" t="n">
        <v>0</v>
      </c>
      <c r="J28" s="22" t="n">
        <v>3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49</v>
      </c>
      <c r="T28" s="22" t="n">
        <v>11</v>
      </c>
      <c r="U28" s="22" t="n">
        <v>38</v>
      </c>
      <c r="V28" s="22" t="n">
        <v>47</v>
      </c>
      <c r="W28" s="22" t="n">
        <v>2</v>
      </c>
      <c r="X28" s="22" t="n">
        <v>6</v>
      </c>
      <c r="Y28" s="22" t="n">
        <v>13</v>
      </c>
      <c r="Z28" s="22" t="n">
        <v>16</v>
      </c>
      <c r="AA28" s="22" t="n">
        <v>10</v>
      </c>
      <c r="AB28" s="22" t="n">
        <v>3</v>
      </c>
      <c r="AC28" s="22" t="n">
        <v>1</v>
      </c>
      <c r="AD28" s="23" t="n">
        <v>0</v>
      </c>
      <c r="AE28" s="23" t="n">
        <v>0</v>
      </c>
      <c r="AF28" s="24" t="n">
        <v>58.2</v>
      </c>
      <c r="AG28" s="25" t="n">
        <v>498018</v>
      </c>
      <c r="AH28" s="25" t="n">
        <v>757302</v>
      </c>
      <c r="AI28" s="25" t="n">
        <v>1219227</v>
      </c>
      <c r="AJ28" s="25" t="n">
        <v>2002947</v>
      </c>
      <c r="AK28" s="25" t="n">
        <v>3316753</v>
      </c>
      <c r="AL28" s="25" t="n">
        <v>5585417</v>
      </c>
      <c r="AM28" s="25" t="n">
        <v>1884860.38</v>
      </c>
      <c r="AN28" s="25" t="n">
        <v>5378134.95</v>
      </c>
      <c r="AO28" s="25" t="n">
        <v>5026294.34</v>
      </c>
      <c r="AP28" s="25" t="n">
        <v>537813.49</v>
      </c>
      <c r="AQ28" s="25" t="n">
        <v>502629.43</v>
      </c>
      <c r="AR28" s="25" t="n">
        <v>14667.64</v>
      </c>
      <c r="AS28" s="25" t="n">
        <v>0</v>
      </c>
      <c r="AT28" s="25" t="n">
        <v>268906.75</v>
      </c>
      <c r="AU28" s="25" t="n">
        <v>251314.72</v>
      </c>
      <c r="AV28" s="25" t="n">
        <v>43068.06</v>
      </c>
      <c r="AW28" s="25" t="n">
        <v>51570.98</v>
      </c>
      <c r="AX28" s="25" t="n">
        <v>27590.48</v>
      </c>
      <c r="AY28" s="25" t="n">
        <v>25785.49</v>
      </c>
      <c r="AZ28" s="25" t="n">
        <v>13117.4</v>
      </c>
      <c r="BA28" s="25" t="n">
        <v>0</v>
      </c>
      <c r="BB28" s="25" t="n">
        <v>1635.24</v>
      </c>
      <c r="BC28" s="25" t="n">
        <v>0</v>
      </c>
      <c r="BD28" s="25" t="n">
        <v>162064.33</v>
      </c>
      <c r="BE28" s="25" t="n">
        <v>94243.02</v>
      </c>
      <c r="BF28" s="25" t="n">
        <f aca="false">SUM(BE28,BC28,BA28,AY28,AW28,AU28,AS28,AQ28,AO28)</f>
        <v>5951837.98</v>
      </c>
      <c r="BG28" s="25" t="n">
        <v>3662.38</v>
      </c>
      <c r="BH28" s="25" t="n">
        <v>9626.58</v>
      </c>
      <c r="BI28" s="25" t="n">
        <v>25291.27</v>
      </c>
      <c r="BJ28" s="25" t="n">
        <v>23636.7</v>
      </c>
      <c r="BK28" s="25" t="n">
        <v>18393.65</v>
      </c>
      <c r="BL28" s="25" t="n">
        <v>17190.33</v>
      </c>
      <c r="BM28" s="25" t="n">
        <v>51502.22</v>
      </c>
      <c r="BN28" s="25" t="n">
        <v>48132.92</v>
      </c>
      <c r="BO28" s="25" t="n">
        <v>3919.1</v>
      </c>
      <c r="BP28" s="25" t="n">
        <v>0</v>
      </c>
      <c r="BQ28" s="25" t="n">
        <v>269438.24</v>
      </c>
      <c r="BR28" s="25" t="n">
        <v>251811.44</v>
      </c>
      <c r="BS28" s="25" t="n">
        <v>10777.53</v>
      </c>
      <c r="BT28" s="25" t="n">
        <v>11751.2</v>
      </c>
      <c r="BU28" s="25" t="n">
        <v>134453.37</v>
      </c>
      <c r="BV28" s="25" t="n">
        <v>125657.36</v>
      </c>
      <c r="BW28" s="25" t="n">
        <v>7725.33</v>
      </c>
      <c r="BX28" s="25" t="n">
        <v>15041.54</v>
      </c>
      <c r="BY28" s="25" t="n">
        <v>8174.96</v>
      </c>
      <c r="BZ28" s="25" t="n">
        <v>17190.33</v>
      </c>
      <c r="CA28" s="25" t="n">
        <v>16094.44</v>
      </c>
      <c r="CB28" s="25" t="n">
        <v>15041.54</v>
      </c>
      <c r="CC28" s="25" t="n">
        <v>44002.92</v>
      </c>
      <c r="CD28" s="25" t="n">
        <v>75394.42</v>
      </c>
      <c r="CE28" s="25" t="n">
        <v>8605.02</v>
      </c>
      <c r="CF28" s="25" t="n">
        <v>8042.07</v>
      </c>
      <c r="CG28" s="25" t="n">
        <f aca="false">SUM(CF28,CD28,CB28,BZ28,BX28,BV28,BT28,BR28,BP28,BN28,BL28,BJ28,BH28)</f>
        <v>618516.43</v>
      </c>
      <c r="CH28" s="25" t="n">
        <f aca="false">CG28+BF28</f>
        <v>6570354.41</v>
      </c>
      <c r="CI28" s="25" t="n">
        <f aca="false">SUM(CE28,CC28,CA28,BY28,BW28,BU28,BS28,BQ28,BO28,BM28,BK28,BI28,BG28,BD28,BB28,AZ28,AX28,AV28,AT28,AR28,AP28,AN28)</f>
        <v>7049038.77</v>
      </c>
      <c r="CJ28" s="25" t="n">
        <f aca="false">CI28-CH28</f>
        <v>478684.360000001</v>
      </c>
      <c r="CK28" s="25" t="str">
        <f aca="false">IF(CE28-CF28+CC28-CD28+CA28-CB28+BU28-BV28+BK28-BL28+BI28-BJ28 &gt; 0, CE28-CF28+CC28-CD28+CA28-CB28+BU28-BV28+BK28-BL28+BI28-BJ28, "-")</f>
        <v>-</v>
      </c>
      <c r="CL28" s="25" t="str">
        <f aca="false">IF(CJ28&lt;0,"⚠ Over Budget","✓ Within Budget")</f>
        <v>✓ Within Budget</v>
      </c>
      <c r="CM28" s="27"/>
    </row>
    <row r="29" customFormat="false" ht="18.75" hidden="false" customHeight="true" outlineLevel="0" collapsed="false">
      <c r="A29" s="28" t="s">
        <v>94</v>
      </c>
      <c r="B29" s="28" t="n">
        <v>2024</v>
      </c>
      <c r="C29" s="28" t="n">
        <v>49</v>
      </c>
      <c r="D29" s="28" t="n">
        <v>1</v>
      </c>
      <c r="E29" s="28" t="n">
        <v>1</v>
      </c>
      <c r="F29" s="28" t="n">
        <v>1</v>
      </c>
      <c r="G29" s="28" t="n">
        <v>0</v>
      </c>
      <c r="H29" s="28" t="n">
        <v>0</v>
      </c>
      <c r="I29" s="28" t="n">
        <v>0</v>
      </c>
      <c r="J29" s="28" t="n">
        <v>3</v>
      </c>
      <c r="K29" s="28" t="n">
        <v>1</v>
      </c>
      <c r="L29" s="28" t="n">
        <v>0</v>
      </c>
      <c r="M29" s="28" t="n">
        <v>0</v>
      </c>
      <c r="N29" s="28" t="n">
        <v>0</v>
      </c>
      <c r="O29" s="28" t="n">
        <v>0</v>
      </c>
      <c r="P29" s="28" t="n">
        <v>1</v>
      </c>
      <c r="Q29" s="28" t="n">
        <v>1</v>
      </c>
      <c r="R29" s="28" t="n">
        <v>0</v>
      </c>
      <c r="S29" s="28" t="n">
        <v>51</v>
      </c>
      <c r="T29" s="28" t="n">
        <v>10</v>
      </c>
      <c r="U29" s="28" t="n">
        <v>41</v>
      </c>
      <c r="V29" s="28" t="n">
        <v>48</v>
      </c>
      <c r="W29" s="28" t="n">
        <v>3</v>
      </c>
      <c r="X29" s="28" t="n">
        <v>6</v>
      </c>
      <c r="Y29" s="28" t="n">
        <v>13</v>
      </c>
      <c r="Z29" s="28" t="n">
        <v>17</v>
      </c>
      <c r="AA29" s="28" t="n">
        <v>10</v>
      </c>
      <c r="AB29" s="28" t="n">
        <v>4</v>
      </c>
      <c r="AC29" s="28" t="n">
        <v>1</v>
      </c>
      <c r="AD29" s="29" t="n">
        <v>0.244898</v>
      </c>
      <c r="AE29" s="29" t="n">
        <v>0</v>
      </c>
      <c r="AF29" s="30" t="n">
        <v>61.5</v>
      </c>
      <c r="AG29" s="31" t="n">
        <v>498018</v>
      </c>
      <c r="AH29" s="31" t="n">
        <v>757302</v>
      </c>
      <c r="AI29" s="31" t="n">
        <v>1219227</v>
      </c>
      <c r="AJ29" s="31" t="n">
        <v>2002947</v>
      </c>
      <c r="AK29" s="31" t="n">
        <v>3316753</v>
      </c>
      <c r="AL29" s="31" t="n">
        <v>5585417</v>
      </c>
      <c r="AM29" s="31" t="n">
        <v>1884860.38</v>
      </c>
      <c r="AN29" s="31" t="n">
        <v>5714268.38</v>
      </c>
      <c r="AO29" s="31" t="n">
        <v>6238251.55</v>
      </c>
      <c r="AP29" s="31" t="n">
        <v>571426.84</v>
      </c>
      <c r="AQ29" s="31" t="n">
        <v>534043.77</v>
      </c>
      <c r="AR29" s="31" t="n">
        <v>25973.95</v>
      </c>
      <c r="AS29" s="31" t="n">
        <v>897813.81</v>
      </c>
      <c r="AT29" s="31" t="n">
        <v>285713.42</v>
      </c>
      <c r="AU29" s="31" t="n">
        <v>267021.89</v>
      </c>
      <c r="AV29" s="31" t="n">
        <v>42899.83</v>
      </c>
      <c r="AW29" s="31" t="n">
        <v>41095.63</v>
      </c>
      <c r="AX29" s="31" t="n">
        <v>29314.88</v>
      </c>
      <c r="AY29" s="31" t="n">
        <v>27397.08</v>
      </c>
      <c r="AZ29" s="31" t="n">
        <v>44599.17</v>
      </c>
      <c r="BA29" s="31" t="n">
        <v>0</v>
      </c>
      <c r="BB29" s="31" t="n">
        <v>54508.12</v>
      </c>
      <c r="BC29" s="31" t="n">
        <v>31414.34</v>
      </c>
      <c r="BD29" s="31" t="n">
        <v>540.21</v>
      </c>
      <c r="BE29" s="31" t="n">
        <v>0</v>
      </c>
      <c r="BF29" s="31" t="n">
        <f aca="false">SUM(BE29,BC29,BA29,AY29,AW29,AU29,AS29,AQ29,AO29)</f>
        <v>8037038.07</v>
      </c>
      <c r="BG29" s="31" t="n">
        <v>3891.28</v>
      </c>
      <c r="BH29" s="31" t="n">
        <v>10228.24</v>
      </c>
      <c r="BI29" s="31" t="n">
        <v>26871.97</v>
      </c>
      <c r="BJ29" s="31" t="n">
        <v>25113.99</v>
      </c>
      <c r="BK29" s="31" t="n">
        <v>19543.25</v>
      </c>
      <c r="BL29" s="31" t="n">
        <v>18264.72</v>
      </c>
      <c r="BM29" s="31" t="n">
        <v>54721.11</v>
      </c>
      <c r="BN29" s="31" t="n">
        <v>51141.22</v>
      </c>
      <c r="BO29" s="31" t="n">
        <v>54867.42</v>
      </c>
      <c r="BP29" s="31" t="n">
        <v>94009.6</v>
      </c>
      <c r="BQ29" s="31" t="n">
        <v>290993.3</v>
      </c>
      <c r="BR29" s="31" t="n">
        <v>271956.35</v>
      </c>
      <c r="BS29" s="31" t="n">
        <v>12933.04</v>
      </c>
      <c r="BT29" s="31" t="n">
        <v>12691.3</v>
      </c>
      <c r="BU29" s="31" t="n">
        <v>142856.71</v>
      </c>
      <c r="BV29" s="31" t="n">
        <v>133510.94</v>
      </c>
      <c r="BW29" s="31" t="n">
        <v>8208.17</v>
      </c>
      <c r="BX29" s="31" t="n">
        <v>15981.63</v>
      </c>
      <c r="BY29" s="31" t="n">
        <v>60092.47</v>
      </c>
      <c r="BZ29" s="31" t="n">
        <v>52651.11</v>
      </c>
      <c r="CA29" s="31" t="n">
        <v>17100.35</v>
      </c>
      <c r="CB29" s="31" t="n">
        <v>15981.63</v>
      </c>
      <c r="CC29" s="31" t="n">
        <v>605230.89</v>
      </c>
      <c r="CD29" s="31" t="n">
        <v>1404485.08</v>
      </c>
      <c r="CE29" s="31" t="n">
        <v>9142.83</v>
      </c>
      <c r="CF29" s="31" t="n">
        <v>8544.7</v>
      </c>
      <c r="CG29" s="31" t="n">
        <f aca="false">SUM(CF29,CD29,CB29,BZ29,BX29,BV29,BT29,BR29,BP29,BN29,BL29,BJ29,BH29)</f>
        <v>2114560.51</v>
      </c>
      <c r="CH29" s="31" t="n">
        <f aca="false">CG29+BF29</f>
        <v>10151598.58</v>
      </c>
      <c r="CI29" s="31" t="n">
        <f aca="false">SUM(CE29,CC29,CA29,BY29,BW29,BU29,BS29,BQ29,BO29,BM29,BK29,BI29,BG29,BD29,BB29,AZ29,AX29,AV29,AT29,AR29,AP29,AN29)</f>
        <v>8075697.59</v>
      </c>
      <c r="CJ29" s="31" t="n">
        <f aca="false">CI29-CH29</f>
        <v>-2075900.99</v>
      </c>
      <c r="CK29" s="31" t="str">
        <f aca="false">IF(CE29-CF29+CC29-CD29+CA29-CB29+BU29-BV29+BK29-BL29+BI29-BJ29 &gt; 0, CE29-CF29+CC29-CD29+CA29-CB29+BU29-BV29+BK29-BL29+BI29-BJ29, "-")</f>
        <v>-</v>
      </c>
      <c r="CL29" s="31" t="str">
        <f aca="false">IF(CJ29&lt;0,"⚠ Over Budget","✓ Within Budget")</f>
        <v>⚠ Over Budget</v>
      </c>
      <c r="CM29" s="33" t="s">
        <v>112</v>
      </c>
    </row>
    <row r="30" customFormat="false" ht="18.75" hidden="false" customHeight="true" outlineLevel="0" collapsed="false">
      <c r="A30" s="28" t="s">
        <v>96</v>
      </c>
      <c r="B30" s="28" t="n">
        <v>2024</v>
      </c>
      <c r="C30" s="28" t="n">
        <v>51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8" t="n">
        <v>0</v>
      </c>
      <c r="O30" s="28" t="n">
        <v>0</v>
      </c>
      <c r="P30" s="28" t="n">
        <v>0</v>
      </c>
      <c r="Q30" s="28" t="n">
        <v>0</v>
      </c>
      <c r="R30" s="28" t="n">
        <v>0</v>
      </c>
      <c r="S30" s="28" t="n">
        <v>51</v>
      </c>
      <c r="T30" s="28" t="n">
        <v>10</v>
      </c>
      <c r="U30" s="28" t="n">
        <v>41</v>
      </c>
      <c r="V30" s="28" t="n">
        <v>48</v>
      </c>
      <c r="W30" s="28" t="n">
        <v>3</v>
      </c>
      <c r="X30" s="28" t="n">
        <v>6</v>
      </c>
      <c r="Y30" s="28" t="n">
        <v>13</v>
      </c>
      <c r="Z30" s="28" t="n">
        <v>17</v>
      </c>
      <c r="AA30" s="28" t="n">
        <v>10</v>
      </c>
      <c r="AB30" s="28" t="n">
        <v>4</v>
      </c>
      <c r="AC30" s="28" t="n">
        <v>1</v>
      </c>
      <c r="AD30" s="29" t="n">
        <v>0</v>
      </c>
      <c r="AE30" s="29" t="n">
        <v>0.09837313879373</v>
      </c>
      <c r="AF30" s="30" t="n">
        <v>62.1</v>
      </c>
      <c r="AG30" s="31" t="n">
        <v>553862</v>
      </c>
      <c r="AH30" s="31" t="n">
        <v>840215</v>
      </c>
      <c r="AI30" s="31" t="n">
        <v>1340439</v>
      </c>
      <c r="AJ30" s="31" t="n">
        <v>2174454</v>
      </c>
      <c r="AK30" s="31" t="n">
        <v>3552682</v>
      </c>
      <c r="AL30" s="31" t="n">
        <v>6015041</v>
      </c>
      <c r="AM30" s="31" t="n">
        <v>2056317.15</v>
      </c>
      <c r="AN30" s="31" t="n">
        <v>6234068.16</v>
      </c>
      <c r="AO30" s="31" t="n">
        <v>7632919.75</v>
      </c>
      <c r="AP30" s="31" t="n">
        <v>623406.82</v>
      </c>
      <c r="AQ30" s="31" t="n">
        <v>582623.19</v>
      </c>
      <c r="AR30" s="31" t="n">
        <v>317370.74</v>
      </c>
      <c r="AS30" s="31" t="n">
        <v>1612294.78</v>
      </c>
      <c r="AT30" s="31" t="n">
        <v>311703.41</v>
      </c>
      <c r="AU30" s="31" t="n">
        <v>291311.6</v>
      </c>
      <c r="AV30" s="31" t="n">
        <v>51479.79</v>
      </c>
      <c r="AW30" s="31" t="n">
        <v>41095.63</v>
      </c>
      <c r="AX30" s="31" t="n">
        <v>29314.88</v>
      </c>
      <c r="AY30" s="31" t="n">
        <v>27397.08</v>
      </c>
      <c r="AZ30" s="31" t="n">
        <v>60820.18</v>
      </c>
      <c r="BA30" s="31" t="n">
        <v>0</v>
      </c>
      <c r="BB30" s="31" t="n">
        <v>2973.32</v>
      </c>
      <c r="BC30" s="31" t="n">
        <v>0</v>
      </c>
      <c r="BD30" s="31" t="n">
        <v>196.45</v>
      </c>
      <c r="BE30" s="31" t="n">
        <v>0</v>
      </c>
      <c r="BF30" s="31" t="n">
        <f aca="false">SUM(BE30,BC30,BA30,AY30,AW30,AU30,AS30,AQ30,AO30)</f>
        <v>10187642.03</v>
      </c>
      <c r="BG30" s="31" t="n">
        <v>67263.54</v>
      </c>
      <c r="BH30" s="31" t="n">
        <v>32145.91</v>
      </c>
      <c r="BI30" s="31" t="n">
        <v>26871.97</v>
      </c>
      <c r="BJ30" s="31" t="n">
        <v>25113.99</v>
      </c>
      <c r="BK30" s="31" t="n">
        <v>19543.25</v>
      </c>
      <c r="BL30" s="31" t="n">
        <v>18264.72</v>
      </c>
      <c r="BM30" s="31" t="n">
        <v>54721.11</v>
      </c>
      <c r="BN30" s="31" t="n">
        <v>51141.22</v>
      </c>
      <c r="BO30" s="31" t="n">
        <v>19595.51</v>
      </c>
      <c r="BP30" s="31" t="n">
        <v>0</v>
      </c>
      <c r="BQ30" s="31" t="n">
        <v>290993.3</v>
      </c>
      <c r="BR30" s="31" t="n">
        <v>271956.35</v>
      </c>
      <c r="BS30" s="31" t="n">
        <v>12933.04</v>
      </c>
      <c r="BT30" s="31" t="n">
        <v>12691.3</v>
      </c>
      <c r="BU30" s="31" t="n">
        <v>155851.7</v>
      </c>
      <c r="BV30" s="31" t="n">
        <v>145655.8</v>
      </c>
      <c r="BW30" s="31" t="n">
        <v>32832.67</v>
      </c>
      <c r="BX30" s="31" t="n">
        <v>15981.63</v>
      </c>
      <c r="BY30" s="31" t="n">
        <v>8685.89</v>
      </c>
      <c r="BZ30" s="31" t="n">
        <v>18264.72</v>
      </c>
      <c r="CA30" s="31" t="n">
        <v>17100.35</v>
      </c>
      <c r="CB30" s="31" t="n">
        <v>15981.63</v>
      </c>
      <c r="CC30" s="31" t="n">
        <v>796893.34</v>
      </c>
      <c r="CD30" s="31" t="n">
        <v>273078.72</v>
      </c>
      <c r="CE30" s="31" t="n">
        <v>9974.51</v>
      </c>
      <c r="CF30" s="31" t="n">
        <v>9321.97</v>
      </c>
      <c r="CG30" s="31" t="n">
        <f aca="false">SUM(CF30,CD30,CB30,BZ30,BX30,BV30,BT30,BR30,BP30,BN30,BL30,BJ30,BH30)</f>
        <v>889597.96</v>
      </c>
      <c r="CH30" s="31" t="n">
        <f aca="false">CG30+BF30</f>
        <v>11077239.99</v>
      </c>
      <c r="CI30" s="31" t="n">
        <f aca="false">SUM(CE30,CC30,CA30,BY30,BW30,BU30,BS30,BQ30,BO30,BM30,BK30,BI30,BG30,BD30,BB30,AZ30,AX30,AV30,AT30,AR30,AP30,AN30)</f>
        <v>9144593.93</v>
      </c>
      <c r="CJ30" s="31" t="n">
        <f aca="false">CI30-CH30</f>
        <v>-1932646.06</v>
      </c>
      <c r="CK30" s="31" t="n">
        <f aca="false">IF(CE30-CF30+CC30-CD30+CA30-CB30+BU30-BV30+BK30-BL30+BI30-BJ30 &gt; 0, CE30-CF30+CC30-CD30+CA30-CB30+BU30-BV30+BK30-BL30+BI30-BJ30, "-")</f>
        <v>538818.29</v>
      </c>
      <c r="CL30" s="31" t="str">
        <f aca="false">IF(CJ30&lt;0,"⚠ Over Budget","✓ Within Budget")</f>
        <v>⚠ Over Budget</v>
      </c>
      <c r="CM30" s="33" t="s">
        <v>107</v>
      </c>
    </row>
    <row r="31" customFormat="false" ht="14.25" hidden="false" customHeight="false" outlineLevel="0" collapsed="false">
      <c r="A31" s="16" t="s">
        <v>98</v>
      </c>
      <c r="B31" s="16" t="n">
        <v>2024</v>
      </c>
      <c r="C31" s="16" t="n">
        <v>51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51</v>
      </c>
      <c r="T31" s="16" t="n">
        <v>10</v>
      </c>
      <c r="U31" s="16" t="n">
        <v>41</v>
      </c>
      <c r="V31" s="16" t="n">
        <v>48</v>
      </c>
      <c r="W31" s="16" t="n">
        <v>3</v>
      </c>
      <c r="X31" s="16" t="n">
        <v>6</v>
      </c>
      <c r="Y31" s="16" t="n">
        <v>13</v>
      </c>
      <c r="Z31" s="16" t="n">
        <v>17</v>
      </c>
      <c r="AA31" s="16" t="n">
        <v>10</v>
      </c>
      <c r="AB31" s="16" t="n">
        <v>4</v>
      </c>
      <c r="AC31" s="16" t="n">
        <v>1</v>
      </c>
      <c r="AD31" s="17" t="n">
        <v>0</v>
      </c>
      <c r="AE31" s="17" t="n">
        <v>0</v>
      </c>
      <c r="AF31" s="18" t="n">
        <v>61.8</v>
      </c>
      <c r="AG31" s="19" t="n">
        <v>553862</v>
      </c>
      <c r="AH31" s="19" t="n">
        <v>840215</v>
      </c>
      <c r="AI31" s="19" t="n">
        <v>1340439</v>
      </c>
      <c r="AJ31" s="19" t="n">
        <v>2174454</v>
      </c>
      <c r="AK31" s="19" t="n">
        <v>3552682</v>
      </c>
      <c r="AL31" s="19" t="n">
        <v>6015041</v>
      </c>
      <c r="AM31" s="19" t="n">
        <v>2056317.15</v>
      </c>
      <c r="AN31" s="19" t="n">
        <v>6234068.16</v>
      </c>
      <c r="AO31" s="19" t="n">
        <v>5826231.92</v>
      </c>
      <c r="AP31" s="19" t="n">
        <v>623406.82</v>
      </c>
      <c r="AQ31" s="19" t="n">
        <v>582623.19</v>
      </c>
      <c r="AR31" s="19" t="n">
        <v>22669.34</v>
      </c>
      <c r="AS31" s="19" t="n">
        <v>0</v>
      </c>
      <c r="AT31" s="19" t="n">
        <v>311703.41</v>
      </c>
      <c r="AU31" s="19" t="n">
        <v>291311.6</v>
      </c>
      <c r="AV31" s="19" t="n">
        <v>55769.77</v>
      </c>
      <c r="AW31" s="19" t="n">
        <v>41095.63</v>
      </c>
      <c r="AX31" s="19" t="n">
        <v>29314.88</v>
      </c>
      <c r="AY31" s="19" t="n">
        <v>27397.08</v>
      </c>
      <c r="AZ31" s="19" t="n">
        <v>18246.05</v>
      </c>
      <c r="BA31" s="19" t="n">
        <v>0</v>
      </c>
      <c r="BB31" s="19" t="n">
        <v>1189.33</v>
      </c>
      <c r="BC31" s="19" t="n">
        <v>0</v>
      </c>
      <c r="BD31" s="19" t="n">
        <v>196.45</v>
      </c>
      <c r="BE31" s="19" t="n">
        <v>0</v>
      </c>
      <c r="BF31" s="19" t="n">
        <f aca="false">SUM(BE31,BC31,BA31,AY31,AW31,AU31,AS31,AQ31,AO31)</f>
        <v>6768659.42</v>
      </c>
      <c r="BG31" s="19" t="n">
        <v>45027.66</v>
      </c>
      <c r="BH31" s="19" t="n">
        <v>26301.2</v>
      </c>
      <c r="BI31" s="19" t="n">
        <v>26871.97</v>
      </c>
      <c r="BJ31" s="19" t="n">
        <v>25113.99</v>
      </c>
      <c r="BK31" s="19" t="n">
        <v>19543.25</v>
      </c>
      <c r="BL31" s="19" t="n">
        <v>18264.72</v>
      </c>
      <c r="BM31" s="19" t="n">
        <v>54721.11</v>
      </c>
      <c r="BN31" s="19" t="n">
        <v>51141.22</v>
      </c>
      <c r="BO31" s="19" t="n">
        <v>7838.2</v>
      </c>
      <c r="BP31" s="19" t="n">
        <v>0</v>
      </c>
      <c r="BQ31" s="19" t="n">
        <v>290993.3</v>
      </c>
      <c r="BR31" s="19" t="n">
        <v>271956.35</v>
      </c>
      <c r="BS31" s="19" t="n">
        <v>14226.34</v>
      </c>
      <c r="BT31" s="19" t="n">
        <v>12691.3</v>
      </c>
      <c r="BU31" s="19" t="n">
        <v>155851.7</v>
      </c>
      <c r="BV31" s="19" t="n">
        <v>145655.8</v>
      </c>
      <c r="BW31" s="19" t="n">
        <v>24624.5</v>
      </c>
      <c r="BX31" s="19" t="n">
        <v>15981.63</v>
      </c>
      <c r="BY31" s="19" t="n">
        <v>8685.89</v>
      </c>
      <c r="BZ31" s="19" t="n">
        <v>18264.72</v>
      </c>
      <c r="CA31" s="19" t="n">
        <v>17100.35</v>
      </c>
      <c r="CB31" s="19" t="n">
        <v>15981.63</v>
      </c>
      <c r="CC31" s="19" t="n">
        <v>81609.62</v>
      </c>
      <c r="CD31" s="19" t="n">
        <v>87393.48</v>
      </c>
      <c r="CE31" s="19" t="n">
        <v>9974.51</v>
      </c>
      <c r="CF31" s="19" t="n">
        <v>9321.97</v>
      </c>
      <c r="CG31" s="19" t="n">
        <f aca="false">SUM(CF31,CD31,CB31,BZ31,BX31,BV31,BT31,BR31,BP31,BN31,BL31,BJ31,BH31)</f>
        <v>698068.01</v>
      </c>
      <c r="CH31" s="19" t="n">
        <f aca="false">CG31+BF31</f>
        <v>7466727.43</v>
      </c>
      <c r="CI31" s="19" t="n">
        <f aca="false">SUM(CE31,CC31,CA31,BY31,BW31,BU31,BS31,BQ31,BO31,BM31,BK31,BI31,BG31,BD31,BB31,AZ31,AX31,AV31,AT31,AR31,AP31,AN31)</f>
        <v>8053632.61</v>
      </c>
      <c r="CJ31" s="19" t="n">
        <f aca="false">CI31-CH31</f>
        <v>586905.180000001</v>
      </c>
      <c r="CK31" s="19" t="n">
        <f aca="false">IF(CE31-CF31+CC31-CD31+CA31-CB31+BU31-BV31+BK31-BL31+BI31-BJ31 &gt; 0, CE31-CF31+CC31-CD31+CA31-CB31+BU31-BV31+BK31-BL31+BI31-BJ31, "-")</f>
        <v>9219.81000000002</v>
      </c>
      <c r="CL31" s="19" t="str">
        <f aca="false">IF(CJ31&lt;0,"⚠ Over Budget","✓ Within Budget")</f>
        <v>✓ Within Budget</v>
      </c>
      <c r="CM31" s="21"/>
    </row>
    <row r="32" customFormat="false" ht="14.25" hidden="false" customHeight="false" outlineLevel="0" collapsed="false">
      <c r="A32" s="22" t="s">
        <v>99</v>
      </c>
      <c r="B32" s="22" t="n">
        <v>2024</v>
      </c>
      <c r="C32" s="22" t="n">
        <v>51</v>
      </c>
      <c r="D32" s="22" t="n">
        <v>1</v>
      </c>
      <c r="E32" s="22" t="n">
        <v>1</v>
      </c>
      <c r="F32" s="22" t="n">
        <v>1</v>
      </c>
      <c r="G32" s="22" t="n">
        <v>0</v>
      </c>
      <c r="H32" s="22" t="n">
        <v>0</v>
      </c>
      <c r="I32" s="22" t="n">
        <v>0</v>
      </c>
      <c r="J32" s="22" t="n">
        <v>3</v>
      </c>
      <c r="K32" s="22" t="n">
        <v>1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1</v>
      </c>
      <c r="Q32" s="22" t="n">
        <v>1</v>
      </c>
      <c r="R32" s="22" t="n">
        <v>0</v>
      </c>
      <c r="S32" s="22" t="n">
        <v>53</v>
      </c>
      <c r="T32" s="22" t="n">
        <v>12</v>
      </c>
      <c r="U32" s="22" t="n">
        <v>41</v>
      </c>
      <c r="V32" s="22" t="n">
        <v>50</v>
      </c>
      <c r="W32" s="22" t="n">
        <v>3</v>
      </c>
      <c r="X32" s="22" t="n">
        <v>6</v>
      </c>
      <c r="Y32" s="22" t="n">
        <v>14</v>
      </c>
      <c r="Z32" s="22" t="n">
        <v>17</v>
      </c>
      <c r="AA32" s="22" t="n">
        <v>11</v>
      </c>
      <c r="AB32" s="22" t="n">
        <v>4</v>
      </c>
      <c r="AC32" s="22" t="n">
        <v>1</v>
      </c>
      <c r="AD32" s="23" t="n">
        <v>0.235294</v>
      </c>
      <c r="AE32" s="23" t="n">
        <v>0</v>
      </c>
      <c r="AF32" s="24" t="n">
        <v>61.4</v>
      </c>
      <c r="AG32" s="25" t="n">
        <v>553862</v>
      </c>
      <c r="AH32" s="25" t="n">
        <v>840215</v>
      </c>
      <c r="AI32" s="25" t="n">
        <v>1340439</v>
      </c>
      <c r="AJ32" s="25" t="n">
        <v>2174454</v>
      </c>
      <c r="AK32" s="25" t="n">
        <v>3552682</v>
      </c>
      <c r="AL32" s="25" t="n">
        <v>6015041</v>
      </c>
      <c r="AM32" s="25" t="n">
        <v>2056317.15</v>
      </c>
      <c r="AN32" s="25" t="n">
        <v>6600778.05</v>
      </c>
      <c r="AO32" s="25" t="n">
        <v>6168951.45</v>
      </c>
      <c r="AP32" s="25" t="n">
        <v>660077.8</v>
      </c>
      <c r="AQ32" s="25" t="n">
        <v>616895.14</v>
      </c>
      <c r="AR32" s="25" t="n">
        <v>24002.83</v>
      </c>
      <c r="AS32" s="25" t="n">
        <v>0</v>
      </c>
      <c r="AT32" s="25" t="n">
        <v>330038.9</v>
      </c>
      <c r="AU32" s="25" t="n">
        <v>308447.57</v>
      </c>
      <c r="AV32" s="25" t="n">
        <v>68135.02</v>
      </c>
      <c r="AW32" s="25" t="n">
        <v>43513.02</v>
      </c>
      <c r="AX32" s="25" t="n">
        <v>31039.29</v>
      </c>
      <c r="AY32" s="25" t="n">
        <v>29008.68</v>
      </c>
      <c r="AZ32" s="25" t="n">
        <v>19319.35</v>
      </c>
      <c r="BA32" s="25" t="n">
        <v>0</v>
      </c>
      <c r="BB32" s="25" t="n">
        <v>53519.82</v>
      </c>
      <c r="BC32" s="25" t="n">
        <v>51407.93</v>
      </c>
      <c r="BD32" s="25" t="n">
        <v>392.9</v>
      </c>
      <c r="BE32" s="25" t="n">
        <v>0</v>
      </c>
      <c r="BF32" s="25" t="n">
        <f aca="false">SUM(BE32,BC32,BA32,AY32,AW32,AU32,AS32,AQ32,AO32)</f>
        <v>7218223.79</v>
      </c>
      <c r="BG32" s="25" t="n">
        <v>8240.36</v>
      </c>
      <c r="BH32" s="25" t="n">
        <v>10829.91</v>
      </c>
      <c r="BI32" s="25" t="n">
        <v>28452.68</v>
      </c>
      <c r="BJ32" s="25" t="n">
        <v>26591.29</v>
      </c>
      <c r="BK32" s="25" t="n">
        <v>20692.86</v>
      </c>
      <c r="BL32" s="25" t="n">
        <v>19339.12</v>
      </c>
      <c r="BM32" s="25" t="n">
        <v>57940</v>
      </c>
      <c r="BN32" s="25" t="n">
        <v>54149.53</v>
      </c>
      <c r="BO32" s="25" t="n">
        <v>82301.13</v>
      </c>
      <c r="BP32" s="25" t="n">
        <v>141014.41</v>
      </c>
      <c r="BQ32" s="25" t="n">
        <v>301770.83</v>
      </c>
      <c r="BR32" s="25" t="n">
        <v>282028.81</v>
      </c>
      <c r="BS32" s="25" t="n">
        <v>17435.65</v>
      </c>
      <c r="BT32" s="25" t="n">
        <v>13161.34</v>
      </c>
      <c r="BU32" s="25" t="n">
        <v>165019.45</v>
      </c>
      <c r="BV32" s="25" t="n">
        <v>154223.79</v>
      </c>
      <c r="BW32" s="25" t="n">
        <v>17382</v>
      </c>
      <c r="BX32" s="25" t="n">
        <v>16921.73</v>
      </c>
      <c r="BY32" s="25" t="n">
        <v>275051.69</v>
      </c>
      <c r="BZ32" s="25" t="n">
        <v>115675.95</v>
      </c>
      <c r="CA32" s="25" t="n">
        <v>18106.25</v>
      </c>
      <c r="CB32" s="25" t="n">
        <v>16921.73</v>
      </c>
      <c r="CC32" s="25" t="n">
        <v>54006.37</v>
      </c>
      <c r="CD32" s="25" t="n">
        <v>92534.27</v>
      </c>
      <c r="CE32" s="25" t="n">
        <v>10561.24</v>
      </c>
      <c r="CF32" s="25" t="n">
        <v>9870.32</v>
      </c>
      <c r="CG32" s="25" t="n">
        <f aca="false">SUM(CF32,CD32,CB32,BZ32,BX32,BV32,BT32,BR32,BP32,BN32,BL32,BJ32,BH32)</f>
        <v>953262.2</v>
      </c>
      <c r="CH32" s="25" t="n">
        <f aca="false">CG32+BF32</f>
        <v>8171485.99</v>
      </c>
      <c r="CI32" s="25" t="n">
        <f aca="false">SUM(CE32,CC32,CA32,BY32,BW32,BU32,BS32,BQ32,BO32,BM32,BK32,BI32,BG32,BD32,BB32,AZ32,AX32,AV32,AT32,AR32,AP32,AN32)</f>
        <v>8844264.47</v>
      </c>
      <c r="CJ32" s="25" t="n">
        <f aca="false">CI32-CH32</f>
        <v>672778.48</v>
      </c>
      <c r="CK32" s="25" t="str">
        <f aca="false">IF(CE32-CF32+CC32-CD32+CA32-CB32+BU32-BV32+BK32-BL32+BI32-BJ32 &gt; 0, CE32-CF32+CC32-CD32+CA32-CB32+BU32-BV32+BK32-BL32+BI32-BJ32, "-")</f>
        <v>-</v>
      </c>
      <c r="CL32" s="25" t="str">
        <f aca="false">IF(CJ32&lt;0,"⚠ Over Budget","✓ Within Budget")</f>
        <v>✓ Within Budget</v>
      </c>
      <c r="CM32" s="27"/>
    </row>
    <row r="33" customFormat="false" ht="14.25" hidden="false" customHeight="false" outlineLevel="0" collapsed="false">
      <c r="A33" s="16" t="s">
        <v>100</v>
      </c>
      <c r="B33" s="16" t="n">
        <v>2024</v>
      </c>
      <c r="C33" s="16" t="n">
        <v>53</v>
      </c>
      <c r="D33" s="16" t="n">
        <v>1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1</v>
      </c>
      <c r="J33" s="16" t="n">
        <v>1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54</v>
      </c>
      <c r="T33" s="16" t="n">
        <v>12</v>
      </c>
      <c r="U33" s="16" t="n">
        <v>42</v>
      </c>
      <c r="V33" s="16" t="n">
        <v>51</v>
      </c>
      <c r="W33" s="16" t="n">
        <v>3</v>
      </c>
      <c r="X33" s="16" t="n">
        <v>6</v>
      </c>
      <c r="Y33" s="16" t="n">
        <v>14</v>
      </c>
      <c r="Z33" s="16" t="n">
        <v>18</v>
      </c>
      <c r="AA33" s="16" t="n">
        <v>11</v>
      </c>
      <c r="AB33" s="16" t="n">
        <v>4</v>
      </c>
      <c r="AC33" s="16" t="n">
        <v>1</v>
      </c>
      <c r="AD33" s="17" t="n">
        <v>0</v>
      </c>
      <c r="AE33" s="17" t="n">
        <v>0</v>
      </c>
      <c r="AF33" s="18" t="n">
        <v>61.9</v>
      </c>
      <c r="AG33" s="19" t="n">
        <v>553862</v>
      </c>
      <c r="AH33" s="19" t="n">
        <v>840215</v>
      </c>
      <c r="AI33" s="19" t="n">
        <v>1340439</v>
      </c>
      <c r="AJ33" s="19" t="n">
        <v>2174454</v>
      </c>
      <c r="AK33" s="19" t="n">
        <v>3552682</v>
      </c>
      <c r="AL33" s="19" t="n">
        <v>6015041</v>
      </c>
      <c r="AM33" s="19" t="n">
        <v>2056317.15</v>
      </c>
      <c r="AN33" s="19" t="n">
        <v>6417423.1</v>
      </c>
      <c r="AO33" s="19" t="n">
        <v>5997591.69</v>
      </c>
      <c r="AP33" s="19" t="n">
        <v>641742.31</v>
      </c>
      <c r="AQ33" s="19" t="n">
        <v>599759.17</v>
      </c>
      <c r="AR33" s="19" t="n">
        <v>23336.08</v>
      </c>
      <c r="AS33" s="19" t="n">
        <v>0</v>
      </c>
      <c r="AT33" s="19" t="n">
        <v>320871.16</v>
      </c>
      <c r="AU33" s="19" t="n">
        <v>299879.58</v>
      </c>
      <c r="AV33" s="19" t="n">
        <v>52993.9</v>
      </c>
      <c r="AW33" s="19" t="n">
        <v>42304.32</v>
      </c>
      <c r="AX33" s="19" t="n">
        <v>30177.08</v>
      </c>
      <c r="AY33" s="19" t="n">
        <v>28202.88</v>
      </c>
      <c r="AZ33" s="19" t="n">
        <v>15652.25</v>
      </c>
      <c r="BA33" s="19" t="n">
        <v>0</v>
      </c>
      <c r="BB33" s="19" t="n">
        <v>2973.32</v>
      </c>
      <c r="BC33" s="19" t="n">
        <v>0</v>
      </c>
      <c r="BD33" s="19" t="n">
        <v>176806.55</v>
      </c>
      <c r="BE33" s="19" t="n">
        <v>102815.86</v>
      </c>
      <c r="BF33" s="19" t="n">
        <f aca="false">SUM(BE33,BC33,BA33,AY33,AW33,AU33,AS33,AQ33,AO33)</f>
        <v>7070553.5</v>
      </c>
      <c r="BG33" s="19" t="n">
        <v>6008.59</v>
      </c>
      <c r="BH33" s="19" t="n">
        <v>10529.08</v>
      </c>
      <c r="BI33" s="19" t="n">
        <v>27662.33</v>
      </c>
      <c r="BJ33" s="19" t="n">
        <v>25852.64</v>
      </c>
      <c r="BK33" s="19" t="n">
        <v>20118.06</v>
      </c>
      <c r="BL33" s="19" t="n">
        <v>18801.92</v>
      </c>
      <c r="BM33" s="19" t="n">
        <v>56330.55</v>
      </c>
      <c r="BN33" s="19" t="n">
        <v>52645.38</v>
      </c>
      <c r="BO33" s="19" t="n">
        <v>19595.51</v>
      </c>
      <c r="BP33" s="19" t="n">
        <v>0</v>
      </c>
      <c r="BQ33" s="19" t="n">
        <v>290993.3</v>
      </c>
      <c r="BR33" s="19" t="n">
        <v>271956.35</v>
      </c>
      <c r="BS33" s="19" t="n">
        <v>16812.95</v>
      </c>
      <c r="BT33" s="19" t="n">
        <v>12691.3</v>
      </c>
      <c r="BU33" s="19" t="n">
        <v>160435.58</v>
      </c>
      <c r="BV33" s="19" t="n">
        <v>149939.79</v>
      </c>
      <c r="BW33" s="19" t="n">
        <v>8449.58</v>
      </c>
      <c r="BX33" s="19" t="n">
        <v>16451.68</v>
      </c>
      <c r="BY33" s="19" t="n">
        <v>8941.36</v>
      </c>
      <c r="BZ33" s="19" t="n">
        <v>18801.92</v>
      </c>
      <c r="CA33" s="19" t="n">
        <v>17603.3</v>
      </c>
      <c r="CB33" s="19" t="n">
        <v>16451.68</v>
      </c>
      <c r="CC33" s="19" t="n">
        <v>52506.19</v>
      </c>
      <c r="CD33" s="19" t="n">
        <v>89963.88</v>
      </c>
      <c r="CE33" s="19" t="n">
        <v>10267.88</v>
      </c>
      <c r="CF33" s="19" t="n">
        <v>9596.15</v>
      </c>
      <c r="CG33" s="19" t="n">
        <f aca="false">SUM(CF33,CD33,CB33,BZ33,BX33,BV33,BT33,BR33,BP33,BN33,BL33,BJ33,BH33)</f>
        <v>693681.77</v>
      </c>
      <c r="CH33" s="19" t="n">
        <f aca="false">CG33+BF33</f>
        <v>7764235.27</v>
      </c>
      <c r="CI33" s="19" t="n">
        <f aca="false">SUM(CE33,CC33,CA33,BY33,BW33,BU33,BS33,BQ33,BO33,BM33,BK33,BI33,BG33,BD33,BB33,AZ33,AX33,AV33,AT33,AR33,AP33,AN33)</f>
        <v>8377700.93</v>
      </c>
      <c r="CJ33" s="19" t="n">
        <f aca="false">CI33-CH33</f>
        <v>613465.659999998</v>
      </c>
      <c r="CK33" s="19" t="str">
        <f aca="false">IF(CE33-CF33+CC33-CD33+CA33-CB33+BU33-BV33+BK33-BL33+BI33-BJ33 &gt; 0, CE33-CF33+CC33-CD33+CA33-CB33+BU33-BV33+BK33-BL33+BI33-BJ33, "-")</f>
        <v>-</v>
      </c>
      <c r="CL33" s="19" t="str">
        <f aca="false">IF(CJ33&lt;0,"⚠ Over Budget","✓ Within Budget")</f>
        <v>✓ Within Budget</v>
      </c>
      <c r="CM33" s="21"/>
    </row>
    <row r="34" customFormat="false" ht="14.25" hidden="false" customHeight="false" outlineLevel="0" collapsed="false">
      <c r="A34" s="22" t="s">
        <v>101</v>
      </c>
      <c r="B34" s="22" t="n">
        <v>2024</v>
      </c>
      <c r="C34" s="22" t="n">
        <v>54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54</v>
      </c>
      <c r="T34" s="22" t="n">
        <v>12</v>
      </c>
      <c r="U34" s="22" t="n">
        <v>42</v>
      </c>
      <c r="V34" s="22" t="n">
        <v>51</v>
      </c>
      <c r="W34" s="22" t="n">
        <v>3</v>
      </c>
      <c r="X34" s="22" t="n">
        <v>6</v>
      </c>
      <c r="Y34" s="22" t="n">
        <v>14</v>
      </c>
      <c r="Z34" s="22" t="n">
        <v>18</v>
      </c>
      <c r="AA34" s="22" t="n">
        <v>11</v>
      </c>
      <c r="AB34" s="22" t="n">
        <v>4</v>
      </c>
      <c r="AC34" s="22" t="n">
        <v>1</v>
      </c>
      <c r="AD34" s="23" t="n">
        <v>0</v>
      </c>
      <c r="AE34" s="23" t="n">
        <v>0</v>
      </c>
      <c r="AF34" s="24" t="n">
        <v>62.3</v>
      </c>
      <c r="AG34" s="25" t="n">
        <v>553862</v>
      </c>
      <c r="AH34" s="25" t="n">
        <v>840215</v>
      </c>
      <c r="AI34" s="25" t="n">
        <v>1340439</v>
      </c>
      <c r="AJ34" s="25" t="n">
        <v>2174454</v>
      </c>
      <c r="AK34" s="25" t="n">
        <v>3552682</v>
      </c>
      <c r="AL34" s="25" t="n">
        <v>6015041</v>
      </c>
      <c r="AM34" s="25" t="n">
        <v>2056317.15</v>
      </c>
      <c r="AN34" s="25" t="n">
        <v>6417423.1</v>
      </c>
      <c r="AO34" s="25" t="n">
        <v>5997591.69</v>
      </c>
      <c r="AP34" s="25" t="n">
        <v>641742.31</v>
      </c>
      <c r="AQ34" s="25" t="n">
        <v>599759.17</v>
      </c>
      <c r="AR34" s="25" t="n">
        <v>23336.08</v>
      </c>
      <c r="AS34" s="25" t="n">
        <v>0</v>
      </c>
      <c r="AT34" s="25" t="n">
        <v>320871.16</v>
      </c>
      <c r="AU34" s="25" t="n">
        <v>299879.58</v>
      </c>
      <c r="AV34" s="25" t="n">
        <v>44161.58</v>
      </c>
      <c r="AW34" s="25" t="n">
        <v>42304.32</v>
      </c>
      <c r="AX34" s="25" t="n">
        <v>30177.08</v>
      </c>
      <c r="AY34" s="25" t="n">
        <v>28202.88</v>
      </c>
      <c r="AZ34" s="25" t="n">
        <v>15652.25</v>
      </c>
      <c r="BA34" s="25" t="n">
        <v>0</v>
      </c>
      <c r="BB34" s="25" t="n">
        <v>2973.32</v>
      </c>
      <c r="BC34" s="25" t="n">
        <v>0</v>
      </c>
      <c r="BD34" s="25" t="n">
        <v>589.36</v>
      </c>
      <c r="BE34" s="25" t="n">
        <v>0</v>
      </c>
      <c r="BF34" s="25" t="n">
        <f aca="false">SUM(BE34,BC34,BA34,AY34,AW34,AU34,AS34,AQ34,AO34)</f>
        <v>6967737.64</v>
      </c>
      <c r="BG34" s="25" t="n">
        <v>32188.89</v>
      </c>
      <c r="BH34" s="25" t="n">
        <v>22562.3</v>
      </c>
      <c r="BI34" s="25" t="n">
        <v>27662.33</v>
      </c>
      <c r="BJ34" s="25" t="n">
        <v>25852.64</v>
      </c>
      <c r="BK34" s="25" t="n">
        <v>20118.06</v>
      </c>
      <c r="BL34" s="25" t="n">
        <v>18801.92</v>
      </c>
      <c r="BM34" s="25" t="n">
        <v>56330.55</v>
      </c>
      <c r="BN34" s="25" t="n">
        <v>52645.38</v>
      </c>
      <c r="BO34" s="25" t="n">
        <v>7838.2</v>
      </c>
      <c r="BP34" s="25" t="n">
        <v>0</v>
      </c>
      <c r="BQ34" s="25" t="n">
        <v>290993.3</v>
      </c>
      <c r="BR34" s="25" t="n">
        <v>271956.35</v>
      </c>
      <c r="BS34" s="25" t="n">
        <v>16812.95</v>
      </c>
      <c r="BT34" s="25" t="n">
        <v>12691.3</v>
      </c>
      <c r="BU34" s="25" t="n">
        <v>160435.58</v>
      </c>
      <c r="BV34" s="25" t="n">
        <v>149939.79</v>
      </c>
      <c r="BW34" s="25" t="n">
        <v>16899.17</v>
      </c>
      <c r="BX34" s="25" t="n">
        <v>16451.68</v>
      </c>
      <c r="BY34" s="25" t="n">
        <v>23815.86</v>
      </c>
      <c r="BZ34" s="25" t="n">
        <v>41733.39</v>
      </c>
      <c r="CA34" s="25" t="n">
        <v>17603.3</v>
      </c>
      <c r="CB34" s="25" t="n">
        <v>16451.68</v>
      </c>
      <c r="CC34" s="25" t="n">
        <v>52506.19</v>
      </c>
      <c r="CD34" s="25" t="n">
        <v>89963.88</v>
      </c>
      <c r="CE34" s="25" t="n">
        <v>10267.88</v>
      </c>
      <c r="CF34" s="25" t="n">
        <v>9596.15</v>
      </c>
      <c r="CG34" s="25" t="n">
        <f aca="false">SUM(CF34,CD34,CB34,BZ34,BX34,BV34,BT34,BR34,BP34,BN34,BL34,BJ34,BH34)</f>
        <v>728646.46</v>
      </c>
      <c r="CH34" s="25" t="n">
        <f aca="false">CG34+BF34</f>
        <v>7696384.1</v>
      </c>
      <c r="CI34" s="25" t="n">
        <f aca="false">SUM(CE34,CC34,CA34,BY34,BW34,BU34,BS34,BQ34,BO34,BM34,BK34,BI34,BG34,BD34,BB34,AZ34,AX34,AV34,AT34,AR34,AP34,AN34)</f>
        <v>8230398.5</v>
      </c>
      <c r="CJ34" s="25" t="n">
        <f aca="false">CI34-CH34</f>
        <v>534014.399999999</v>
      </c>
      <c r="CK34" s="25" t="str">
        <f aca="false">IF(CE34-CF34+CC34-CD34+CA34-CB34+BU34-BV34+BK34-BL34+BI34-BJ34 &gt; 0, CE34-CF34+CC34-CD34+CA34-CB34+BU34-BV34+BK34-BL34+BI34-BJ34, "-")</f>
        <v>-</v>
      </c>
      <c r="CL34" s="25" t="str">
        <f aca="false">IF(CJ34&lt;0,"⚠ Over Budget","✓ Within Budget")</f>
        <v>✓ Within Budget</v>
      </c>
      <c r="CM34" s="27"/>
    </row>
    <row r="35" customFormat="false" ht="18.75" hidden="false" customHeight="true" outlineLevel="0" collapsed="false">
      <c r="A35" s="28" t="s">
        <v>102</v>
      </c>
      <c r="B35" s="28" t="n">
        <v>2024</v>
      </c>
      <c r="C35" s="28" t="n">
        <v>54</v>
      </c>
      <c r="D35" s="28" t="n">
        <v>1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1</v>
      </c>
      <c r="J35" s="28" t="n">
        <v>1</v>
      </c>
      <c r="K35" s="28" t="n">
        <v>1</v>
      </c>
      <c r="L35" s="28" t="n">
        <v>0</v>
      </c>
      <c r="M35" s="28" t="n">
        <v>0</v>
      </c>
      <c r="N35" s="28" t="n">
        <v>0</v>
      </c>
      <c r="O35" s="28" t="n">
        <v>0</v>
      </c>
      <c r="P35" s="28" t="n">
        <v>1</v>
      </c>
      <c r="Q35" s="28" t="n">
        <v>1</v>
      </c>
      <c r="R35" s="28" t="n">
        <v>0</v>
      </c>
      <c r="S35" s="28" t="n">
        <v>54</v>
      </c>
      <c r="T35" s="28" t="n">
        <v>12</v>
      </c>
      <c r="U35" s="28" t="n">
        <v>42</v>
      </c>
      <c r="V35" s="28" t="n">
        <v>51</v>
      </c>
      <c r="W35" s="28" t="n">
        <v>3</v>
      </c>
      <c r="X35" s="28" t="n">
        <v>6</v>
      </c>
      <c r="Y35" s="28" t="n">
        <v>14</v>
      </c>
      <c r="Z35" s="28" t="n">
        <v>18</v>
      </c>
      <c r="AA35" s="28" t="n">
        <v>11</v>
      </c>
      <c r="AB35" s="28" t="n">
        <v>4</v>
      </c>
      <c r="AC35" s="28" t="n">
        <v>1</v>
      </c>
      <c r="AD35" s="29" t="n">
        <v>0.222222</v>
      </c>
      <c r="AE35" s="29" t="n">
        <v>0</v>
      </c>
      <c r="AF35" s="30" t="n">
        <v>61.7</v>
      </c>
      <c r="AG35" s="31" t="n">
        <v>553862</v>
      </c>
      <c r="AH35" s="31" t="n">
        <v>840215</v>
      </c>
      <c r="AI35" s="31" t="n">
        <v>1340439</v>
      </c>
      <c r="AJ35" s="31" t="n">
        <v>2174454</v>
      </c>
      <c r="AK35" s="31" t="n">
        <v>3552682</v>
      </c>
      <c r="AL35" s="31" t="n">
        <v>6015041</v>
      </c>
      <c r="AM35" s="31" t="n">
        <v>2056317.15</v>
      </c>
      <c r="AN35" s="31" t="n">
        <v>6784132.99</v>
      </c>
      <c r="AO35" s="31" t="n">
        <v>6340311.21</v>
      </c>
      <c r="AP35" s="31" t="n">
        <v>678413.3</v>
      </c>
      <c r="AQ35" s="31" t="n">
        <v>634031.12</v>
      </c>
      <c r="AR35" s="31" t="n">
        <v>24669.57</v>
      </c>
      <c r="AS35" s="31" t="n">
        <v>0</v>
      </c>
      <c r="AT35" s="31" t="n">
        <v>339206.65</v>
      </c>
      <c r="AU35" s="31" t="n">
        <v>317015.56</v>
      </c>
      <c r="AV35" s="31" t="n">
        <v>51353.61</v>
      </c>
      <c r="AW35" s="31" t="n">
        <v>44721.71</v>
      </c>
      <c r="AX35" s="31" t="n">
        <v>31901.49</v>
      </c>
      <c r="AY35" s="31" t="n">
        <v>29814.47</v>
      </c>
      <c r="AZ35" s="31" t="n">
        <v>33093.33</v>
      </c>
      <c r="BA35" s="31" t="n">
        <v>0</v>
      </c>
      <c r="BB35" s="31" t="n">
        <v>53519.82</v>
      </c>
      <c r="BC35" s="31" t="n">
        <v>51407.93</v>
      </c>
      <c r="BD35" s="31" t="n">
        <v>196.45</v>
      </c>
      <c r="BE35" s="31" t="n">
        <v>0</v>
      </c>
      <c r="BF35" s="31" t="n">
        <f aca="false">SUM(BE35,BC35,BA35,AY35,AW35,AU35,AS35,AQ35,AO35)</f>
        <v>7417302</v>
      </c>
      <c r="BG35" s="31" t="n">
        <v>49000.68</v>
      </c>
      <c r="BH35" s="31" t="n">
        <v>28621.9</v>
      </c>
      <c r="BI35" s="31" t="n">
        <v>29243.03</v>
      </c>
      <c r="BJ35" s="31" t="n">
        <v>27329.93</v>
      </c>
      <c r="BK35" s="31" t="n">
        <v>21267.66</v>
      </c>
      <c r="BL35" s="31" t="n">
        <v>19876.32</v>
      </c>
      <c r="BM35" s="31" t="n">
        <v>59549.44</v>
      </c>
      <c r="BN35" s="31" t="n">
        <v>913781.95</v>
      </c>
      <c r="BO35" s="31" t="n">
        <v>82301.13</v>
      </c>
      <c r="BP35" s="31" t="n">
        <v>1734681.19</v>
      </c>
      <c r="BQ35" s="31" t="n">
        <v>312548.36</v>
      </c>
      <c r="BR35" s="31" t="n">
        <v>292101.27</v>
      </c>
      <c r="BS35" s="31" t="n">
        <v>15280.14</v>
      </c>
      <c r="BT35" s="31" t="n">
        <v>13631.39</v>
      </c>
      <c r="BU35" s="31" t="n">
        <v>169603.32</v>
      </c>
      <c r="BV35" s="31" t="n">
        <v>158507.78</v>
      </c>
      <c r="BW35" s="31" t="n">
        <v>35729.67</v>
      </c>
      <c r="BX35" s="31" t="n">
        <v>17391.78</v>
      </c>
      <c r="BY35" s="31" t="n">
        <v>9452.29</v>
      </c>
      <c r="BZ35" s="31" t="n">
        <v>19876.32</v>
      </c>
      <c r="CA35" s="31" t="n">
        <v>18609.2</v>
      </c>
      <c r="CB35" s="31" t="n">
        <v>17391.78</v>
      </c>
      <c r="CC35" s="31" t="n">
        <v>66607.85</v>
      </c>
      <c r="CD35" s="31" t="n">
        <v>95104.67</v>
      </c>
      <c r="CE35" s="31" t="n">
        <v>10854.61</v>
      </c>
      <c r="CF35" s="31" t="n">
        <v>10144.5</v>
      </c>
      <c r="CG35" s="31" t="n">
        <f aca="false">SUM(CF35,CD35,CB35,BZ35,BX35,BV35,BT35,BR35,BP35,BN35,BL35,BJ35,BH35)</f>
        <v>3348440.78</v>
      </c>
      <c r="CH35" s="31" t="n">
        <f aca="false">CG35+BF35</f>
        <v>10765742.78</v>
      </c>
      <c r="CI35" s="31" t="n">
        <f aca="false">SUM(CE35,CC35,CA35,BY35,BW35,BU35,BS35,BQ35,BO35,BM35,BK35,BI35,BG35,BD35,BB35,AZ35,AX35,AV35,AT35,AR35,AP35,AN35)</f>
        <v>8876534.59</v>
      </c>
      <c r="CJ35" s="31" t="n">
        <f aca="false">CI35-CH35</f>
        <v>-1889208.19</v>
      </c>
      <c r="CK35" s="31" t="str">
        <f aca="false">IF(CE35-CF35+CC35-CD35+CA35-CB35+BU35-BV35+BK35-BL35+BI35-BJ35 &gt; 0, CE35-CF35+CC35-CD35+CA35-CB35+BU35-BV35+BK35-BL35+BI35-BJ35, "-")</f>
        <v>-</v>
      </c>
      <c r="CL35" s="31" t="str">
        <f aca="false">IF(CJ35&lt;0,"⚠ Over Budget","✓ Within Budget")</f>
        <v>⚠ Over Budget</v>
      </c>
      <c r="CM35" s="33" t="s">
        <v>117</v>
      </c>
    </row>
    <row r="36" customFormat="false" ht="14.25" hidden="false" customHeight="false" outlineLevel="0" collapsed="false">
      <c r="A36" s="28" t="s">
        <v>103</v>
      </c>
      <c r="B36" s="28" t="n">
        <v>2024</v>
      </c>
      <c r="C36" s="28" t="n">
        <v>54</v>
      </c>
      <c r="D36" s="28" t="n">
        <v>1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1</v>
      </c>
      <c r="J36" s="28" t="n">
        <v>1</v>
      </c>
      <c r="K36" s="28" t="n">
        <v>1</v>
      </c>
      <c r="L36" s="28" t="n">
        <v>0</v>
      </c>
      <c r="M36" s="28" t="n">
        <v>0</v>
      </c>
      <c r="N36" s="28" t="n">
        <v>0</v>
      </c>
      <c r="O36" s="28" t="n">
        <v>0</v>
      </c>
      <c r="P36" s="28" t="n">
        <v>1</v>
      </c>
      <c r="Q36" s="28" t="n">
        <v>1</v>
      </c>
      <c r="R36" s="28" t="n">
        <v>1</v>
      </c>
      <c r="S36" s="28" t="n">
        <v>53</v>
      </c>
      <c r="T36" s="28" t="n">
        <v>12</v>
      </c>
      <c r="U36" s="28" t="n">
        <v>41</v>
      </c>
      <c r="V36" s="28" t="n">
        <v>50</v>
      </c>
      <c r="W36" s="28" t="n">
        <v>3</v>
      </c>
      <c r="X36" s="28" t="n">
        <v>6</v>
      </c>
      <c r="Y36" s="28" t="n">
        <v>14</v>
      </c>
      <c r="Z36" s="28" t="n">
        <v>17</v>
      </c>
      <c r="AA36" s="28" t="n">
        <v>11</v>
      </c>
      <c r="AB36" s="28" t="n">
        <v>4</v>
      </c>
      <c r="AC36" s="28" t="n">
        <v>1</v>
      </c>
      <c r="AD36" s="29" t="n">
        <v>0.222222</v>
      </c>
      <c r="AE36" s="29" t="n">
        <v>0.0139851907939034</v>
      </c>
      <c r="AF36" s="30" t="n">
        <v>60.9</v>
      </c>
      <c r="AG36" s="31" t="n">
        <v>564010</v>
      </c>
      <c r="AH36" s="31" t="n">
        <v>855544</v>
      </c>
      <c r="AI36" s="31" t="n">
        <v>1354190</v>
      </c>
      <c r="AJ36" s="31" t="n">
        <v>2203000</v>
      </c>
      <c r="AK36" s="31" t="n">
        <v>3593367</v>
      </c>
      <c r="AL36" s="31" t="n">
        <v>6084276</v>
      </c>
      <c r="AM36" s="31" t="n">
        <v>2082751.28</v>
      </c>
      <c r="AN36" s="31" t="n">
        <v>6685631.61</v>
      </c>
      <c r="AO36" s="31" t="n">
        <v>6248253.84</v>
      </c>
      <c r="AP36" s="31" t="n">
        <v>668563.16</v>
      </c>
      <c r="AQ36" s="31" t="n">
        <v>624825.38</v>
      </c>
      <c r="AR36" s="31" t="n">
        <v>777964.41</v>
      </c>
      <c r="AS36" s="31" t="n">
        <v>2260935.66</v>
      </c>
      <c r="AT36" s="31" t="n">
        <v>334281.58</v>
      </c>
      <c r="AU36" s="31" t="n">
        <v>312412.69</v>
      </c>
      <c r="AV36" s="31" t="n">
        <v>40881.01</v>
      </c>
      <c r="AW36" s="31" t="n">
        <v>43513.02</v>
      </c>
      <c r="AX36" s="31" t="n">
        <v>31039.29</v>
      </c>
      <c r="AY36" s="31" t="n">
        <v>29008.68</v>
      </c>
      <c r="AZ36" s="31" t="n">
        <v>65225.67</v>
      </c>
      <c r="BA36" s="31" t="n">
        <v>861859.5</v>
      </c>
      <c r="BB36" s="31" t="n">
        <v>1806.93</v>
      </c>
      <c r="BC36" s="31" t="n">
        <v>0</v>
      </c>
      <c r="BD36" s="31" t="n">
        <v>59693.14</v>
      </c>
      <c r="BE36" s="31" t="n">
        <v>104137.56</v>
      </c>
      <c r="BF36" s="31" t="n">
        <f aca="false">SUM(BE36,BC36,BA36,AY36,AW36,AU36,AS36,AQ36,AO36)</f>
        <v>10484946.33</v>
      </c>
      <c r="BG36" s="31" t="n">
        <v>28841.24</v>
      </c>
      <c r="BH36" s="31" t="n">
        <v>21659.81</v>
      </c>
      <c r="BI36" s="31" t="n">
        <v>28452.68</v>
      </c>
      <c r="BJ36" s="31" t="n">
        <v>26591.29</v>
      </c>
      <c r="BK36" s="31" t="n">
        <v>20692.86</v>
      </c>
      <c r="BL36" s="31" t="n">
        <v>19339.12</v>
      </c>
      <c r="BM36" s="31" t="n">
        <v>57940</v>
      </c>
      <c r="BN36" s="31" t="n">
        <v>54149.53</v>
      </c>
      <c r="BO36" s="31" t="n">
        <v>3919.1</v>
      </c>
      <c r="BP36" s="31" t="n">
        <v>0</v>
      </c>
      <c r="BQ36" s="31" t="n">
        <v>301770.83</v>
      </c>
      <c r="BR36" s="31" t="n">
        <v>282028.81</v>
      </c>
      <c r="BS36" s="31" t="n">
        <v>13412.04</v>
      </c>
      <c r="BT36" s="31" t="n">
        <v>13161.34</v>
      </c>
      <c r="BU36" s="31" t="n">
        <v>167140.79</v>
      </c>
      <c r="BV36" s="31" t="n">
        <v>156206.35</v>
      </c>
      <c r="BW36" s="31" t="n">
        <v>26073</v>
      </c>
      <c r="BX36" s="31" t="n">
        <v>16921.73</v>
      </c>
      <c r="BY36" s="31" t="n">
        <v>357417.6</v>
      </c>
      <c r="BZ36" s="31" t="n">
        <v>117434.23</v>
      </c>
      <c r="CA36" s="31" t="n">
        <v>18106.25</v>
      </c>
      <c r="CB36" s="31" t="n">
        <v>16921.73</v>
      </c>
      <c r="CC36" s="31" t="n">
        <v>87521</v>
      </c>
      <c r="CD36" s="31" t="n">
        <v>93723.81</v>
      </c>
      <c r="CE36" s="31" t="n">
        <v>10697.01</v>
      </c>
      <c r="CF36" s="31" t="n">
        <v>9997.21</v>
      </c>
      <c r="CG36" s="31" t="n">
        <f aca="false">SUM(CF36,CD36,CB36,BZ36,BX36,BV36,BT36,BR36,BP36,BN36,BL36,BJ36,BH36)</f>
        <v>828134.96</v>
      </c>
      <c r="CH36" s="31" t="n">
        <f aca="false">CG36+BF36</f>
        <v>11313081.29</v>
      </c>
      <c r="CI36" s="31" t="n">
        <f aca="false">SUM(CE36,CC36,CA36,BY36,BW36,BU36,BS36,BQ36,BO36,BM36,BK36,BI36,BG36,BD36,BB36,AZ36,AX36,AV36,AT36,AR36,AP36,AN36)</f>
        <v>9787071.2</v>
      </c>
      <c r="CJ36" s="31" t="n">
        <f aca="false">CI36-CH36</f>
        <v>-1526010.09</v>
      </c>
      <c r="CK36" s="31" t="n">
        <f aca="false">IF(CE36-CF36+CC36-CD36+CA36-CB36+BU36-BV36+BK36-BL36+BI36-BJ36 &gt; 0, CE36-CF36+CC36-CD36+CA36-CB36+BU36-BV36+BK36-BL36+BI36-BJ36, "-")</f>
        <v>9831.08000000001</v>
      </c>
      <c r="CL36" s="31" t="str">
        <f aca="false">IF(CJ36&lt;0,"⚠ Over Budget","✓ Within Budget")</f>
        <v>⚠ Over Budget</v>
      </c>
      <c r="CM36" s="33" t="s">
        <v>111</v>
      </c>
    </row>
    <row r="37" customFormat="false" ht="14.25" hidden="false" customHeight="false" outlineLevel="0" collapsed="false">
      <c r="A37" s="16" t="s">
        <v>104</v>
      </c>
      <c r="B37" s="16" t="n">
        <v>2024</v>
      </c>
      <c r="C37" s="16" t="n">
        <v>53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53</v>
      </c>
      <c r="T37" s="16" t="n">
        <v>12</v>
      </c>
      <c r="U37" s="16" t="n">
        <v>41</v>
      </c>
      <c r="V37" s="16" t="n">
        <v>50</v>
      </c>
      <c r="W37" s="16" t="n">
        <v>3</v>
      </c>
      <c r="X37" s="16" t="n">
        <v>6</v>
      </c>
      <c r="Y37" s="16" t="n">
        <v>14</v>
      </c>
      <c r="Z37" s="16" t="n">
        <v>17</v>
      </c>
      <c r="AA37" s="16" t="n">
        <v>11</v>
      </c>
      <c r="AB37" s="16" t="n">
        <v>4</v>
      </c>
      <c r="AC37" s="16" t="n">
        <v>1</v>
      </c>
      <c r="AD37" s="17" t="n">
        <v>0</v>
      </c>
      <c r="AE37" s="17" t="n">
        <v>0</v>
      </c>
      <c r="AF37" s="18" t="n">
        <v>60.2</v>
      </c>
      <c r="AG37" s="19" t="n">
        <v>564010</v>
      </c>
      <c r="AH37" s="19" t="n">
        <v>855544</v>
      </c>
      <c r="AI37" s="19" t="n">
        <v>1354190</v>
      </c>
      <c r="AJ37" s="19" t="n">
        <v>2203000</v>
      </c>
      <c r="AK37" s="19" t="n">
        <v>3593367</v>
      </c>
      <c r="AL37" s="19" t="n">
        <v>6084276</v>
      </c>
      <c r="AM37" s="19" t="n">
        <v>2082751.28</v>
      </c>
      <c r="AN37" s="19" t="n">
        <v>6685631.61</v>
      </c>
      <c r="AO37" s="19" t="n">
        <v>6248253.84</v>
      </c>
      <c r="AP37" s="19" t="n">
        <v>668563.16</v>
      </c>
      <c r="AQ37" s="19" t="n">
        <v>624825.38</v>
      </c>
      <c r="AR37" s="19" t="n">
        <v>79012.01</v>
      </c>
      <c r="AS37" s="19" t="n">
        <v>0</v>
      </c>
      <c r="AT37" s="19" t="n">
        <v>334281.58</v>
      </c>
      <c r="AU37" s="19" t="n">
        <v>312412.69</v>
      </c>
      <c r="AV37" s="19" t="n">
        <v>48451.57</v>
      </c>
      <c r="AW37" s="19" t="n">
        <v>58017.36</v>
      </c>
      <c r="AX37" s="19" t="n">
        <v>31039.29</v>
      </c>
      <c r="AY37" s="19" t="n">
        <v>29008.68</v>
      </c>
      <c r="AZ37" s="19" t="n">
        <v>32612.84</v>
      </c>
      <c r="BA37" s="19" t="n">
        <v>0</v>
      </c>
      <c r="BB37" s="19" t="n">
        <v>602.31</v>
      </c>
      <c r="BC37" s="19" t="n">
        <v>0</v>
      </c>
      <c r="BD37" s="19" t="n">
        <v>198.98</v>
      </c>
      <c r="BE37" s="19" t="n">
        <v>0</v>
      </c>
      <c r="BF37" s="19" t="n">
        <f aca="false">SUM(BE37,BC37,BA37,AY37,AW37,AU37,AS37,AQ37,AO37)</f>
        <v>7272517.95</v>
      </c>
      <c r="BG37" s="19" t="n">
        <v>37670.2</v>
      </c>
      <c r="BH37" s="19" t="n">
        <v>24754.07</v>
      </c>
      <c r="BI37" s="19" t="n">
        <v>28452.68</v>
      </c>
      <c r="BJ37" s="19" t="n">
        <v>26591.29</v>
      </c>
      <c r="BK37" s="19" t="n">
        <v>20692.86</v>
      </c>
      <c r="BL37" s="19" t="n">
        <v>19339.12</v>
      </c>
      <c r="BM37" s="19" t="n">
        <v>57940</v>
      </c>
      <c r="BN37" s="19" t="n">
        <v>54149.53</v>
      </c>
      <c r="BO37" s="19" t="n">
        <v>3919.1</v>
      </c>
      <c r="BP37" s="19" t="n">
        <v>0</v>
      </c>
      <c r="BQ37" s="19" t="n">
        <v>301770.83</v>
      </c>
      <c r="BR37" s="19" t="n">
        <v>282028.81</v>
      </c>
      <c r="BS37" s="19" t="n">
        <v>12070.83</v>
      </c>
      <c r="BT37" s="19" t="n">
        <v>13161.34</v>
      </c>
      <c r="BU37" s="19" t="n">
        <v>167140.79</v>
      </c>
      <c r="BV37" s="19" t="n">
        <v>156206.35</v>
      </c>
      <c r="BW37" s="19" t="n">
        <v>17382</v>
      </c>
      <c r="BX37" s="19" t="n">
        <v>16921.73</v>
      </c>
      <c r="BY37" s="19" t="n">
        <v>71111.72</v>
      </c>
      <c r="BZ37" s="19" t="n">
        <v>49844.67</v>
      </c>
      <c r="CA37" s="19" t="n">
        <v>18106.25</v>
      </c>
      <c r="CB37" s="19" t="n">
        <v>16921.73</v>
      </c>
      <c r="CC37" s="19" t="n">
        <v>87521</v>
      </c>
      <c r="CD37" s="19" t="n">
        <v>93723.81</v>
      </c>
      <c r="CE37" s="19" t="n">
        <v>10697.01</v>
      </c>
      <c r="CF37" s="19" t="n">
        <v>9997.21</v>
      </c>
      <c r="CG37" s="19" t="n">
        <f aca="false">SUM(CF37,CD37,CB37,BZ37,BX37,BV37,BT37,BR37,BP37,BN37,BL37,BJ37,BH37)</f>
        <v>763639.66</v>
      </c>
      <c r="CH37" s="19" t="n">
        <f aca="false">CG37+BF37</f>
        <v>8036157.61</v>
      </c>
      <c r="CI37" s="19" t="n">
        <f aca="false">SUM(CE37,CC37,CA37,BY37,BW37,BU37,BS37,BQ37,BO37,BM37,BK37,BI37,BG37,BD37,BB37,AZ37,AX37,AV37,AT37,AR37,AP37,AN37)</f>
        <v>8714868.62</v>
      </c>
      <c r="CJ37" s="19" t="n">
        <f aca="false">CI37-CH37</f>
        <v>678711.010000001</v>
      </c>
      <c r="CK37" s="19" t="n">
        <f aca="false">IF(CE37-CF37+CC37-CD37+CA37-CB37+BU37-BV37+BK37-BL37+BI37-BJ37 &gt; 0, CE37-CF37+CC37-CD37+CA37-CB37+BU37-BV37+BK37-BL37+BI37-BJ37, "-")</f>
        <v>9831.08000000001</v>
      </c>
      <c r="CL37" s="19" t="str">
        <f aca="false">IF(CJ37&lt;0,"⚠ Over Budget","✓ Within Budget")</f>
        <v>✓ Within Budget</v>
      </c>
      <c r="CM37" s="21"/>
    </row>
    <row r="38" customFormat="false" ht="14.25" hidden="false" customHeight="false" outlineLevel="0" collapsed="false">
      <c r="A38" s="22" t="s">
        <v>105</v>
      </c>
      <c r="B38" s="22" t="n">
        <v>2024</v>
      </c>
      <c r="C38" s="22" t="n">
        <v>53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</v>
      </c>
      <c r="S38" s="22" t="n">
        <v>52</v>
      </c>
      <c r="T38" s="22" t="n">
        <v>12</v>
      </c>
      <c r="U38" s="22" t="n">
        <v>40</v>
      </c>
      <c r="V38" s="22" t="n">
        <v>49</v>
      </c>
      <c r="W38" s="22" t="n">
        <v>3</v>
      </c>
      <c r="X38" s="22" t="n">
        <v>6</v>
      </c>
      <c r="Y38" s="22" t="n">
        <v>14</v>
      </c>
      <c r="Z38" s="22" t="n">
        <v>17</v>
      </c>
      <c r="AA38" s="22" t="n">
        <v>10</v>
      </c>
      <c r="AB38" s="22" t="n">
        <v>4</v>
      </c>
      <c r="AC38" s="22" t="n">
        <v>1</v>
      </c>
      <c r="AD38" s="23" t="n">
        <v>0</v>
      </c>
      <c r="AE38" s="23" t="n">
        <v>0</v>
      </c>
      <c r="AF38" s="24" t="n">
        <v>59.8</v>
      </c>
      <c r="AG38" s="25" t="n">
        <v>564010</v>
      </c>
      <c r="AH38" s="25" t="n">
        <v>855544</v>
      </c>
      <c r="AI38" s="25" t="n">
        <v>1354190</v>
      </c>
      <c r="AJ38" s="25" t="n">
        <v>2203000</v>
      </c>
      <c r="AK38" s="25" t="n">
        <v>3593367</v>
      </c>
      <c r="AL38" s="25" t="n">
        <v>6084276</v>
      </c>
      <c r="AM38" s="25" t="n">
        <v>2082751.28</v>
      </c>
      <c r="AN38" s="25" t="n">
        <v>6685631.61</v>
      </c>
      <c r="AO38" s="25" t="n">
        <v>6248253.84</v>
      </c>
      <c r="AP38" s="25" t="n">
        <v>668563.16</v>
      </c>
      <c r="AQ38" s="25" t="n">
        <v>624825.38</v>
      </c>
      <c r="AR38" s="25" t="n">
        <v>2917366.52</v>
      </c>
      <c r="AS38" s="25" t="n">
        <v>624825.38</v>
      </c>
      <c r="AT38" s="25" t="n">
        <v>334281.58</v>
      </c>
      <c r="AU38" s="25" t="n">
        <v>312412.69</v>
      </c>
      <c r="AV38" s="25" t="n">
        <v>42395.12</v>
      </c>
      <c r="AW38" s="25" t="n">
        <v>58017.36</v>
      </c>
      <c r="AX38" s="25" t="n">
        <v>31039.29</v>
      </c>
      <c r="AY38" s="25" t="n">
        <v>29008.68</v>
      </c>
      <c r="AZ38" s="25" t="n">
        <v>48919.26</v>
      </c>
      <c r="BA38" s="25" t="n">
        <v>0</v>
      </c>
      <c r="BB38" s="25" t="n">
        <v>602.31</v>
      </c>
      <c r="BC38" s="25" t="n">
        <v>0</v>
      </c>
      <c r="BD38" s="25" t="n">
        <v>198.98</v>
      </c>
      <c r="BE38" s="25" t="n">
        <v>0</v>
      </c>
      <c r="BF38" s="25" t="n">
        <f aca="false">SUM(BE38,BC38,BA38,AY38,AW38,AU38,AS38,AQ38,AO38)</f>
        <v>7897343.33</v>
      </c>
      <c r="BG38" s="25" t="n">
        <v>6180.27</v>
      </c>
      <c r="BH38" s="25" t="n">
        <v>10829.91</v>
      </c>
      <c r="BI38" s="25" t="n">
        <v>28452.68</v>
      </c>
      <c r="BJ38" s="25" t="n">
        <v>26591.29</v>
      </c>
      <c r="BK38" s="25" t="n">
        <v>20692.86</v>
      </c>
      <c r="BL38" s="25" t="n">
        <v>19339.12</v>
      </c>
      <c r="BM38" s="25" t="n">
        <v>57940</v>
      </c>
      <c r="BN38" s="25" t="n">
        <v>54149.53</v>
      </c>
      <c r="BO38" s="25" t="n">
        <v>3919.1</v>
      </c>
      <c r="BP38" s="25" t="n">
        <v>0</v>
      </c>
      <c r="BQ38" s="25" t="n">
        <v>301770.83</v>
      </c>
      <c r="BR38" s="25" t="n">
        <v>282028.81</v>
      </c>
      <c r="BS38" s="25" t="n">
        <v>10729.63</v>
      </c>
      <c r="BT38" s="25" t="n">
        <v>13161.34</v>
      </c>
      <c r="BU38" s="25" t="n">
        <v>167140.79</v>
      </c>
      <c r="BV38" s="25" t="n">
        <v>156206.35</v>
      </c>
      <c r="BW38" s="25" t="n">
        <v>8691</v>
      </c>
      <c r="BX38" s="25" t="n">
        <v>16921.73</v>
      </c>
      <c r="BY38" s="25" t="n">
        <v>93330.88</v>
      </c>
      <c r="BZ38" s="25" t="n">
        <v>65418.84</v>
      </c>
      <c r="CA38" s="25" t="n">
        <v>18106.25</v>
      </c>
      <c r="CB38" s="25" t="n">
        <v>16921.73</v>
      </c>
      <c r="CC38" s="25" t="n">
        <v>54700.62</v>
      </c>
      <c r="CD38" s="25" t="n">
        <v>93723.81</v>
      </c>
      <c r="CE38" s="25" t="n">
        <v>10697.01</v>
      </c>
      <c r="CF38" s="25" t="n">
        <v>9997.21</v>
      </c>
      <c r="CG38" s="25" t="n">
        <f aca="false">SUM(CF38,CD38,CB38,BZ38,BX38,BV38,BT38,BR38,BP38,BN38,BL38,BJ38,BH38)</f>
        <v>765289.67</v>
      </c>
      <c r="CH38" s="25" t="n">
        <f aca="false">CG38+BF38</f>
        <v>8662633</v>
      </c>
      <c r="CI38" s="25" t="n">
        <f aca="false">SUM(CE38,CC38,CA38,BY38,BW38,BU38,BS38,BQ38,BO38,BM38,BK38,BI38,BG38,BD38,BB38,AZ38,AX38,AV38,AT38,AR38,AP38,AN38)</f>
        <v>11511349.75</v>
      </c>
      <c r="CJ38" s="25" t="n">
        <f aca="false">CI38-CH38</f>
        <v>2848716.75</v>
      </c>
      <c r="CK38" s="25" t="str">
        <f aca="false">IF(CE38-CF38+CC38-CD38+CA38-CB38+BU38-BV38+BK38-BL38+BI38-BJ38 &gt; 0, CE38-CF38+CC38-CD38+CA38-CB38+BU38-BV38+BK38-BL38+BI38-BJ38, "-")</f>
        <v>-</v>
      </c>
      <c r="CL38" s="25" t="str">
        <f aca="false">IF(CJ38&lt;0,"⚠ Over Budget","✓ Within Budget")</f>
        <v>✓ Within Budget</v>
      </c>
      <c r="CM38" s="27"/>
    </row>
    <row r="39" customFormat="false" ht="14.25" hidden="false" customHeight="false" outlineLevel="0" collapsed="false">
      <c r="A39" s="16" t="s">
        <v>92</v>
      </c>
      <c r="B39" s="16" t="n">
        <v>2025</v>
      </c>
      <c r="C39" s="16" t="n">
        <v>52</v>
      </c>
      <c r="D39" s="16" t="n">
        <v>1</v>
      </c>
      <c r="E39" s="16" t="n">
        <v>1</v>
      </c>
      <c r="F39" s="16" t="n">
        <v>1</v>
      </c>
      <c r="G39" s="16" t="n">
        <v>0</v>
      </c>
      <c r="H39" s="16" t="n">
        <v>0</v>
      </c>
      <c r="I39" s="16" t="n">
        <v>0</v>
      </c>
      <c r="J39" s="16" t="n">
        <v>3</v>
      </c>
      <c r="K39" s="16" t="n">
        <v>1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1</v>
      </c>
      <c r="Q39" s="16" t="n">
        <v>1</v>
      </c>
      <c r="R39" s="16" t="n">
        <v>0</v>
      </c>
      <c r="S39" s="16" t="n">
        <v>54</v>
      </c>
      <c r="T39" s="16" t="n">
        <v>11</v>
      </c>
      <c r="U39" s="16" t="n">
        <v>43</v>
      </c>
      <c r="V39" s="16" t="n">
        <v>51</v>
      </c>
      <c r="W39" s="16" t="n">
        <v>3</v>
      </c>
      <c r="X39" s="16" t="n">
        <v>6</v>
      </c>
      <c r="Y39" s="16" t="n">
        <v>14</v>
      </c>
      <c r="Z39" s="16" t="n">
        <v>18</v>
      </c>
      <c r="AA39" s="16" t="n">
        <v>11</v>
      </c>
      <c r="AB39" s="16" t="n">
        <v>4</v>
      </c>
      <c r="AC39" s="16" t="n">
        <v>1</v>
      </c>
      <c r="AD39" s="17" t="n">
        <v>0.230769</v>
      </c>
      <c r="AE39" s="17" t="n">
        <v>0</v>
      </c>
      <c r="AF39" s="18" t="n">
        <v>59.4</v>
      </c>
      <c r="AG39" s="19" t="n">
        <v>564010</v>
      </c>
      <c r="AH39" s="19" t="n">
        <v>855544</v>
      </c>
      <c r="AI39" s="19" t="n">
        <v>1354190</v>
      </c>
      <c r="AJ39" s="19" t="n">
        <v>2203000</v>
      </c>
      <c r="AK39" s="19" t="n">
        <v>3593367</v>
      </c>
      <c r="AL39" s="19" t="n">
        <v>6084276</v>
      </c>
      <c r="AM39" s="19" t="n">
        <v>2005547.72</v>
      </c>
      <c r="AN39" s="19" t="n">
        <v>6795464.19</v>
      </c>
      <c r="AO39" s="19" t="n">
        <v>6350901.11</v>
      </c>
      <c r="AP39" s="19" t="n">
        <v>679546.42</v>
      </c>
      <c r="AQ39" s="19" t="n">
        <v>635090.11</v>
      </c>
      <c r="AR39" s="19" t="n">
        <v>111198.5</v>
      </c>
      <c r="AS39" s="19" t="n">
        <v>381054.07</v>
      </c>
      <c r="AT39" s="19" t="n">
        <v>339773.21</v>
      </c>
      <c r="AU39" s="19" t="n">
        <v>317545.06</v>
      </c>
      <c r="AV39" s="19" t="n">
        <v>49247.54</v>
      </c>
      <c r="AW39" s="19" t="n">
        <v>58970.47</v>
      </c>
      <c r="AX39" s="19" t="n">
        <v>31549.2</v>
      </c>
      <c r="AY39" s="19" t="n">
        <v>29485.24</v>
      </c>
      <c r="AZ39" s="19" t="n">
        <v>16574.3</v>
      </c>
      <c r="BA39" s="19" t="n">
        <v>0</v>
      </c>
      <c r="BB39" s="19" t="n">
        <v>11599.65</v>
      </c>
      <c r="BC39" s="19" t="n">
        <v>33425.8</v>
      </c>
      <c r="BD39" s="19" t="n">
        <v>459.84</v>
      </c>
      <c r="BE39" s="19" t="n">
        <v>0</v>
      </c>
      <c r="BF39" s="19" t="n">
        <f aca="false">SUM(BE39,BC39,BA39,AY39,AW39,AU39,AS39,AQ39,AO39)</f>
        <v>7806471.86</v>
      </c>
      <c r="BG39" s="19" t="n">
        <v>4187.86</v>
      </c>
      <c r="BH39" s="19" t="n">
        <v>11007.82</v>
      </c>
      <c r="BI39" s="19" t="n">
        <v>28920.1</v>
      </c>
      <c r="BJ39" s="19" t="n">
        <v>27028.13</v>
      </c>
      <c r="BK39" s="19" t="n">
        <v>21032.8</v>
      </c>
      <c r="BL39" s="19" t="n">
        <v>19656.82</v>
      </c>
      <c r="BM39" s="19" t="n">
        <v>58891.85</v>
      </c>
      <c r="BN39" s="19" t="n">
        <v>55039.11</v>
      </c>
      <c r="BO39" s="19" t="n">
        <v>52833.59</v>
      </c>
      <c r="BP39" s="19" t="n">
        <v>90524.85</v>
      </c>
      <c r="BQ39" s="19" t="n">
        <v>311340.82</v>
      </c>
      <c r="BR39" s="19" t="n">
        <v>290972.73</v>
      </c>
      <c r="BS39" s="19" t="n">
        <v>12453.63</v>
      </c>
      <c r="BT39" s="19" t="n">
        <v>13578.73</v>
      </c>
      <c r="BU39" s="19" t="n">
        <v>169886.6</v>
      </c>
      <c r="BV39" s="19" t="n">
        <v>158772.53</v>
      </c>
      <c r="BW39" s="19" t="n">
        <v>8833.78</v>
      </c>
      <c r="BX39" s="19" t="n">
        <v>17199.72</v>
      </c>
      <c r="BY39" s="19" t="n">
        <v>9347.91</v>
      </c>
      <c r="BZ39" s="19" t="n">
        <v>19656.82</v>
      </c>
      <c r="CA39" s="19" t="n">
        <v>18403.7</v>
      </c>
      <c r="CB39" s="19" t="n">
        <v>17199.72</v>
      </c>
      <c r="CC39" s="19" t="n">
        <v>55599.25</v>
      </c>
      <c r="CD39" s="19" t="n">
        <v>95263.52</v>
      </c>
      <c r="CE39" s="19" t="n">
        <v>10872.74</v>
      </c>
      <c r="CF39" s="19" t="n">
        <v>10161.44</v>
      </c>
      <c r="CG39" s="19" t="n">
        <f aca="false">SUM(CF39,CD39,CB39,BZ39,BX39,BV39,BT39,BR39,BP39,BN39,BL39,BJ39,BH39)</f>
        <v>826061.94</v>
      </c>
      <c r="CH39" s="19" t="n">
        <f aca="false">CG39+BF39</f>
        <v>8632533.8</v>
      </c>
      <c r="CI39" s="19" t="n">
        <f aca="false">SUM(CE39,CC39,CA39,BY39,BW39,BU39,BS39,BQ39,BO39,BM39,BK39,BI39,BG39,BD39,BB39,AZ39,AX39,AV39,AT39,AR39,AP39,AN39)</f>
        <v>8798017.48</v>
      </c>
      <c r="CJ39" s="19" t="n">
        <f aca="false">CI39-CH39</f>
        <v>165483.68</v>
      </c>
      <c r="CK39" s="19" t="str">
        <f aca="false">IF(CE39-CF39+CC39-CD39+CA39-CB39+BU39-BV39+BK39-BL39+BI39-BJ39 &gt; 0, CE39-CF39+CC39-CD39+CA39-CB39+BU39-BV39+BK39-BL39+BI39-BJ39, "-")</f>
        <v>-</v>
      </c>
      <c r="CL39" s="19" t="str">
        <f aca="false">IF(CJ39&lt;0,"⚠ Over Budget","✓ Within Budget")</f>
        <v>✓ Within Budget</v>
      </c>
      <c r="CM39" s="21"/>
    </row>
    <row r="40" customFormat="false" ht="14.25" hidden="false" customHeight="false" outlineLevel="0" collapsed="false">
      <c r="A40" s="22" t="s">
        <v>93</v>
      </c>
      <c r="B40" s="22" t="n">
        <v>2025</v>
      </c>
      <c r="C40" s="22" t="n">
        <v>54</v>
      </c>
      <c r="D40" s="22" t="n">
        <v>1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1</v>
      </c>
      <c r="J40" s="22" t="n">
        <v>1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1</v>
      </c>
      <c r="S40" s="22" t="n">
        <v>54</v>
      </c>
      <c r="T40" s="22" t="n">
        <v>11</v>
      </c>
      <c r="U40" s="22" t="n">
        <v>43</v>
      </c>
      <c r="V40" s="22" t="n">
        <v>51</v>
      </c>
      <c r="W40" s="22" t="n">
        <v>3</v>
      </c>
      <c r="X40" s="22" t="n">
        <v>6</v>
      </c>
      <c r="Y40" s="22" t="n">
        <v>14</v>
      </c>
      <c r="Z40" s="22" t="n">
        <v>18</v>
      </c>
      <c r="AA40" s="22" t="n">
        <v>11</v>
      </c>
      <c r="AB40" s="22" t="n">
        <v>4</v>
      </c>
      <c r="AC40" s="22" t="n">
        <v>1</v>
      </c>
      <c r="AD40" s="23" t="n">
        <v>0</v>
      </c>
      <c r="AE40" s="23" t="n">
        <v>0</v>
      </c>
      <c r="AF40" s="24" t="n">
        <v>58.9</v>
      </c>
      <c r="AG40" s="25" t="n">
        <v>564010</v>
      </c>
      <c r="AH40" s="25" t="n">
        <v>855544</v>
      </c>
      <c r="AI40" s="25" t="n">
        <v>1354190</v>
      </c>
      <c r="AJ40" s="25" t="n">
        <v>2203000</v>
      </c>
      <c r="AK40" s="25" t="n">
        <v>3593367</v>
      </c>
      <c r="AL40" s="25" t="n">
        <v>6084276</v>
      </c>
      <c r="AM40" s="25" t="n">
        <v>2005547.72</v>
      </c>
      <c r="AN40" s="25" t="n">
        <v>6974292.2</v>
      </c>
      <c r="AO40" s="25" t="n">
        <v>6518030.09</v>
      </c>
      <c r="AP40" s="25" t="n">
        <v>697429.22</v>
      </c>
      <c r="AQ40" s="25" t="n">
        <v>651803.01</v>
      </c>
      <c r="AR40" s="25" t="n">
        <v>19020.8</v>
      </c>
      <c r="AS40" s="25" t="n">
        <v>0</v>
      </c>
      <c r="AT40" s="25" t="n">
        <v>348714.61</v>
      </c>
      <c r="AU40" s="25" t="n">
        <v>325901.5</v>
      </c>
      <c r="AV40" s="25" t="n">
        <v>50543.52</v>
      </c>
      <c r="AW40" s="25" t="n">
        <v>60522.33</v>
      </c>
      <c r="AX40" s="25" t="n">
        <v>32379.45</v>
      </c>
      <c r="AY40" s="25" t="n">
        <v>30261.16</v>
      </c>
      <c r="AZ40" s="25" t="n">
        <v>17010.47</v>
      </c>
      <c r="BA40" s="25" t="n">
        <v>0</v>
      </c>
      <c r="BB40" s="25" t="n">
        <v>17399.48</v>
      </c>
      <c r="BC40" s="25" t="n">
        <v>16712.9</v>
      </c>
      <c r="BD40" s="25" t="n">
        <v>574.8</v>
      </c>
      <c r="BE40" s="25" t="n">
        <v>0</v>
      </c>
      <c r="BF40" s="25" t="n">
        <f aca="false">SUM(BE40,BC40,BA40,AY40,AW40,AU40,AS40,AQ40,AO40)</f>
        <v>7603230.99</v>
      </c>
      <c r="BG40" s="25" t="n">
        <v>4298.07</v>
      </c>
      <c r="BH40" s="25" t="n">
        <v>11297.5</v>
      </c>
      <c r="BI40" s="25" t="n">
        <v>29681.16</v>
      </c>
      <c r="BJ40" s="25" t="n">
        <v>27739.4</v>
      </c>
      <c r="BK40" s="25" t="n">
        <v>21586.3</v>
      </c>
      <c r="BL40" s="25" t="n">
        <v>20174.11</v>
      </c>
      <c r="BM40" s="25" t="n">
        <v>60441.63</v>
      </c>
      <c r="BN40" s="25" t="n">
        <v>56487.51</v>
      </c>
      <c r="BO40" s="25" t="n">
        <v>26416.8</v>
      </c>
      <c r="BP40" s="25" t="n">
        <v>45262.42</v>
      </c>
      <c r="BQ40" s="25" t="n">
        <v>321718.85</v>
      </c>
      <c r="BR40" s="25" t="n">
        <v>300671.82</v>
      </c>
      <c r="BS40" s="25" t="n">
        <v>12868.75</v>
      </c>
      <c r="BT40" s="25" t="n">
        <v>14031.35</v>
      </c>
      <c r="BU40" s="25" t="n">
        <v>174357.3</v>
      </c>
      <c r="BV40" s="25" t="n">
        <v>162950.75</v>
      </c>
      <c r="BW40" s="25" t="n">
        <v>9066.24</v>
      </c>
      <c r="BX40" s="25" t="n">
        <v>17652.35</v>
      </c>
      <c r="BY40" s="25" t="n">
        <v>9593.91</v>
      </c>
      <c r="BZ40" s="25" t="n">
        <v>20174.11</v>
      </c>
      <c r="CA40" s="25" t="n">
        <v>18888.01</v>
      </c>
      <c r="CB40" s="25" t="n">
        <v>17652.35</v>
      </c>
      <c r="CC40" s="25" t="n">
        <v>57062.39</v>
      </c>
      <c r="CD40" s="25" t="n">
        <v>97770.45</v>
      </c>
      <c r="CE40" s="25" t="n">
        <v>11158.87</v>
      </c>
      <c r="CF40" s="25" t="n">
        <v>10428.85</v>
      </c>
      <c r="CG40" s="25" t="n">
        <f aca="false">SUM(CF40,CD40,CB40,BZ40,BX40,BV40,BT40,BR40,BP40,BN40,BL40,BJ40,BH40)</f>
        <v>802292.97</v>
      </c>
      <c r="CH40" s="25" t="n">
        <f aca="false">CG40+BF40</f>
        <v>8405523.96</v>
      </c>
      <c r="CI40" s="25" t="n">
        <f aca="false">SUM(CE40,CC40,CA40,BY40,BW40,BU40,BS40,BQ40,BO40,BM40,BK40,BI40,BG40,BD40,BB40,AZ40,AX40,AV40,AT40,AR40,AP40,AN40)</f>
        <v>8914502.83</v>
      </c>
      <c r="CJ40" s="25" t="n">
        <f aca="false">CI40-CH40</f>
        <v>508978.869999999</v>
      </c>
      <c r="CK40" s="25" t="str">
        <f aca="false">IF(CE40-CF40+CC40-CD40+CA40-CB40+BU40-BV40+BK40-BL40+BI40-BJ40 &gt; 0, CE40-CF40+CC40-CD40+CA40-CB40+BU40-BV40+BK40-BL40+BI40-BJ40, "-")</f>
        <v>-</v>
      </c>
      <c r="CL40" s="25" t="str">
        <f aca="false">IF(CJ40&lt;0,"⚠ Over Budget","✓ Within Budget")</f>
        <v>✓ Within Budget</v>
      </c>
      <c r="CM40" s="27"/>
    </row>
    <row r="41" customFormat="false" ht="14.25" hidden="false" customHeight="false" outlineLevel="0" collapsed="false">
      <c r="A41" s="16" t="s">
        <v>94</v>
      </c>
      <c r="B41" s="16" t="n">
        <v>2025</v>
      </c>
      <c r="C41" s="16" t="n">
        <v>54</v>
      </c>
      <c r="D41" s="16" t="n">
        <v>0</v>
      </c>
      <c r="E41" s="16" t="n">
        <v>1</v>
      </c>
      <c r="F41" s="16" t="n">
        <v>1</v>
      </c>
      <c r="G41" s="16" t="n">
        <v>0</v>
      </c>
      <c r="H41" s="16" t="n">
        <v>0</v>
      </c>
      <c r="I41" s="16" t="n">
        <v>0</v>
      </c>
      <c r="J41" s="16" t="n">
        <v>2</v>
      </c>
      <c r="K41" s="16" t="n">
        <v>1</v>
      </c>
      <c r="L41" s="16" t="n">
        <v>1</v>
      </c>
      <c r="M41" s="16" t="n">
        <v>0</v>
      </c>
      <c r="N41" s="16" t="n">
        <v>0</v>
      </c>
      <c r="O41" s="16" t="n">
        <v>0</v>
      </c>
      <c r="P41" s="16" t="n">
        <v>1</v>
      </c>
      <c r="Q41" s="16" t="n">
        <v>2</v>
      </c>
      <c r="R41" s="16" t="n">
        <v>0</v>
      </c>
      <c r="S41" s="16" t="n">
        <v>54</v>
      </c>
      <c r="T41" s="16" t="n">
        <v>11</v>
      </c>
      <c r="U41" s="16" t="n">
        <v>43</v>
      </c>
      <c r="V41" s="16" t="n">
        <v>51</v>
      </c>
      <c r="W41" s="16" t="n">
        <v>3</v>
      </c>
      <c r="X41" s="16" t="n">
        <v>6</v>
      </c>
      <c r="Y41" s="16" t="n">
        <v>14</v>
      </c>
      <c r="Z41" s="16" t="n">
        <v>18</v>
      </c>
      <c r="AA41" s="16" t="n">
        <v>11</v>
      </c>
      <c r="AB41" s="16" t="n">
        <v>4</v>
      </c>
      <c r="AC41" s="16" t="n">
        <v>1</v>
      </c>
      <c r="AD41" s="17" t="n">
        <v>0.444444</v>
      </c>
      <c r="AE41" s="17" t="n">
        <v>0</v>
      </c>
      <c r="AF41" s="18" t="n">
        <v>58.5</v>
      </c>
      <c r="AG41" s="19" t="n">
        <v>564010</v>
      </c>
      <c r="AH41" s="19" t="n">
        <v>855544</v>
      </c>
      <c r="AI41" s="19" t="n">
        <v>1354190</v>
      </c>
      <c r="AJ41" s="19" t="n">
        <v>2203000</v>
      </c>
      <c r="AK41" s="19" t="n">
        <v>3593367</v>
      </c>
      <c r="AL41" s="19" t="n">
        <v>6084276</v>
      </c>
      <c r="AM41" s="19" t="n">
        <v>2005547.72</v>
      </c>
      <c r="AN41" s="19" t="n">
        <v>6974292.2</v>
      </c>
      <c r="AO41" s="19" t="n">
        <v>6518030.09</v>
      </c>
      <c r="AP41" s="19" t="n">
        <v>697429.22</v>
      </c>
      <c r="AQ41" s="19" t="n">
        <v>651803.01</v>
      </c>
      <c r="AR41" s="19" t="n">
        <v>31701.33</v>
      </c>
      <c r="AS41" s="19" t="n">
        <v>0</v>
      </c>
      <c r="AT41" s="19" t="n">
        <v>348714.61</v>
      </c>
      <c r="AU41" s="19" t="n">
        <v>325901.5</v>
      </c>
      <c r="AV41" s="19" t="n">
        <v>47384.55</v>
      </c>
      <c r="AW41" s="19" t="n">
        <v>45391.75</v>
      </c>
      <c r="AX41" s="19" t="n">
        <v>32379.45</v>
      </c>
      <c r="AY41" s="19" t="n">
        <v>30261.16</v>
      </c>
      <c r="AZ41" s="19" t="n">
        <v>54433.5</v>
      </c>
      <c r="BA41" s="19" t="n">
        <v>0</v>
      </c>
      <c r="BB41" s="19" t="n">
        <v>57998.27</v>
      </c>
      <c r="BC41" s="19" t="n">
        <v>33425.8</v>
      </c>
      <c r="BD41" s="19" t="n">
        <v>574.8</v>
      </c>
      <c r="BE41" s="19" t="n">
        <v>0</v>
      </c>
      <c r="BF41" s="19" t="n">
        <f aca="false">SUM(BE41,BC41,BA41,AY41,AW41,AU41,AS41,AQ41,AO41)</f>
        <v>7604813.31</v>
      </c>
      <c r="BG41" s="19" t="n">
        <v>4298.07</v>
      </c>
      <c r="BH41" s="19" t="n">
        <v>11297.5</v>
      </c>
      <c r="BI41" s="19" t="n">
        <v>29681.16</v>
      </c>
      <c r="BJ41" s="19" t="n">
        <v>27739.4</v>
      </c>
      <c r="BK41" s="19" t="n">
        <v>21586.3</v>
      </c>
      <c r="BL41" s="19" t="n">
        <v>20174.11</v>
      </c>
      <c r="BM41" s="19" t="n">
        <v>60441.63</v>
      </c>
      <c r="BN41" s="19" t="n">
        <v>56487.51</v>
      </c>
      <c r="BO41" s="19" t="n">
        <v>52833.59</v>
      </c>
      <c r="BP41" s="19" t="n">
        <v>90524.85</v>
      </c>
      <c r="BQ41" s="19" t="n">
        <v>321718.85</v>
      </c>
      <c r="BR41" s="19" t="n">
        <v>300671.82</v>
      </c>
      <c r="BS41" s="19" t="n">
        <v>14298.62</v>
      </c>
      <c r="BT41" s="19" t="n">
        <v>14031.35</v>
      </c>
      <c r="BU41" s="19" t="n">
        <v>174357.3</v>
      </c>
      <c r="BV41" s="19" t="n">
        <v>162950.75</v>
      </c>
      <c r="BW41" s="19" t="n">
        <v>9066.24</v>
      </c>
      <c r="BX41" s="19" t="n">
        <v>17652.35</v>
      </c>
      <c r="BY41" s="19" t="n">
        <v>65342.61</v>
      </c>
      <c r="BZ41" s="19" t="n">
        <v>57251.12</v>
      </c>
      <c r="CA41" s="19" t="n">
        <v>18888.01</v>
      </c>
      <c r="CB41" s="19" t="n">
        <v>17652.35</v>
      </c>
      <c r="CC41" s="19" t="n">
        <v>910335.45</v>
      </c>
      <c r="CD41" s="19" t="n">
        <v>311952.96</v>
      </c>
      <c r="CE41" s="19" t="n">
        <v>11158.87</v>
      </c>
      <c r="CF41" s="19" t="n">
        <v>10428.85</v>
      </c>
      <c r="CG41" s="19" t="n">
        <f aca="false">SUM(CF41,CD41,CB41,BZ41,BX41,BV41,BT41,BR41,BP41,BN41,BL41,BJ41,BH41)</f>
        <v>1098814.92</v>
      </c>
      <c r="CH41" s="19" t="n">
        <f aca="false">CG41+BF41</f>
        <v>8703628.23</v>
      </c>
      <c r="CI41" s="19" t="n">
        <f aca="false">SUM(CE41,CC41,CA41,BY41,BW41,BU41,BS41,BQ41,BO41,BM41,BK41,BI41,BG41,BD41,BB41,AZ41,AX41,AV41,AT41,AR41,AP41,AN41)</f>
        <v>9938914.63</v>
      </c>
      <c r="CJ41" s="19" t="n">
        <f aca="false">CI41-CH41</f>
        <v>1235286.4</v>
      </c>
      <c r="CK41" s="19" t="n">
        <f aca="false">IF(CE41-CF41+CC41-CD41+CA41-CB41+BU41-BV41+BK41-BL41+BI41-BJ41 &gt; 0, CE41-CF41+CC41-CD41+CA41-CB41+BU41-BV41+BK41-BL41+BI41-BJ41, "-")</f>
        <v>615108.67</v>
      </c>
      <c r="CL41" s="19" t="str">
        <f aca="false">IF(CJ41&lt;0,"⚠ Over Budget","✓ Within Budget")</f>
        <v>✓ Within Budget</v>
      </c>
      <c r="CM41" s="21"/>
    </row>
    <row r="42" customFormat="false" ht="14.25" hidden="false" customHeight="false" outlineLevel="0" collapsed="false">
      <c r="A42" s="22" t="s">
        <v>96</v>
      </c>
      <c r="B42" s="22" t="n">
        <v>2025</v>
      </c>
      <c r="C42" s="22" t="n">
        <v>54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54</v>
      </c>
      <c r="T42" s="22" t="n">
        <v>11</v>
      </c>
      <c r="U42" s="22" t="n">
        <v>43</v>
      </c>
      <c r="V42" s="22" t="n">
        <v>51</v>
      </c>
      <c r="W42" s="22" t="n">
        <v>3</v>
      </c>
      <c r="X42" s="22" t="n">
        <v>6</v>
      </c>
      <c r="Y42" s="22" t="n">
        <v>14</v>
      </c>
      <c r="Z42" s="22" t="n">
        <v>18</v>
      </c>
      <c r="AA42" s="22" t="n">
        <v>11</v>
      </c>
      <c r="AB42" s="22" t="n">
        <v>4</v>
      </c>
      <c r="AC42" s="22" t="n">
        <v>1</v>
      </c>
      <c r="AD42" s="23" t="n">
        <v>0</v>
      </c>
      <c r="AE42" s="23" t="n">
        <v>0.0964845493192467</v>
      </c>
      <c r="AF42" s="24" t="n">
        <v>58</v>
      </c>
      <c r="AG42" s="25" t="n">
        <v>628075</v>
      </c>
      <c r="AH42" s="25" t="n">
        <v>946050</v>
      </c>
      <c r="AI42" s="25" t="n">
        <v>1480964</v>
      </c>
      <c r="AJ42" s="25" t="n">
        <v>2400325</v>
      </c>
      <c r="AK42" s="25" t="n">
        <v>3848730</v>
      </c>
      <c r="AL42" s="25" t="n">
        <v>6560862</v>
      </c>
      <c r="AM42" s="25" t="n">
        <v>2186502.9</v>
      </c>
      <c r="AN42" s="25" t="n">
        <v>7603563.83</v>
      </c>
      <c r="AO42" s="25" t="n">
        <v>7106134.42</v>
      </c>
      <c r="AP42" s="25" t="n">
        <v>760356.38</v>
      </c>
      <c r="AQ42" s="25" t="n">
        <v>710613.44</v>
      </c>
      <c r="AR42" s="25" t="n">
        <v>387090.52</v>
      </c>
      <c r="AS42" s="25" t="n">
        <v>497429.41</v>
      </c>
      <c r="AT42" s="25" t="n">
        <v>380178.19</v>
      </c>
      <c r="AU42" s="25" t="n">
        <v>355306.72</v>
      </c>
      <c r="AV42" s="25" t="n">
        <v>56861.47</v>
      </c>
      <c r="AW42" s="25" t="n">
        <v>45391.75</v>
      </c>
      <c r="AX42" s="25" t="n">
        <v>32379.45</v>
      </c>
      <c r="AY42" s="25" t="n">
        <v>30261.16</v>
      </c>
      <c r="AZ42" s="25" t="n">
        <v>74181.11</v>
      </c>
      <c r="BA42" s="25" t="n">
        <v>0</v>
      </c>
      <c r="BB42" s="25" t="n">
        <v>3161.57</v>
      </c>
      <c r="BC42" s="25" t="n">
        <v>0</v>
      </c>
      <c r="BD42" s="25" t="n">
        <v>208.89</v>
      </c>
      <c r="BE42" s="25" t="n">
        <v>0</v>
      </c>
      <c r="BF42" s="25" t="n">
        <f aca="false">SUM(BE42,BC42,BA42,AY42,AW42,AU42,AS42,AQ42,AO42)</f>
        <v>8745136.9</v>
      </c>
      <c r="BG42" s="25" t="n">
        <v>74295.24</v>
      </c>
      <c r="BH42" s="25" t="n">
        <v>35506.43</v>
      </c>
      <c r="BI42" s="25" t="n">
        <v>29681.16</v>
      </c>
      <c r="BJ42" s="25" t="n">
        <v>27739.4</v>
      </c>
      <c r="BK42" s="25" t="n">
        <v>21586.3</v>
      </c>
      <c r="BL42" s="25" t="n">
        <v>20174.11</v>
      </c>
      <c r="BM42" s="25" t="n">
        <v>60441.63</v>
      </c>
      <c r="BN42" s="25" t="n">
        <v>56487.51</v>
      </c>
      <c r="BO42" s="25" t="n">
        <v>18869.14</v>
      </c>
      <c r="BP42" s="25" t="n">
        <v>0</v>
      </c>
      <c r="BQ42" s="25" t="n">
        <v>321718.85</v>
      </c>
      <c r="BR42" s="25" t="n">
        <v>300671.82</v>
      </c>
      <c r="BS42" s="25" t="n">
        <v>14298.62</v>
      </c>
      <c r="BT42" s="25" t="n">
        <v>14031.35</v>
      </c>
      <c r="BU42" s="25" t="n">
        <v>190089.1</v>
      </c>
      <c r="BV42" s="25" t="n">
        <v>177653.36</v>
      </c>
      <c r="BW42" s="25" t="n">
        <v>36264.98</v>
      </c>
      <c r="BX42" s="25" t="n">
        <v>17652.35</v>
      </c>
      <c r="BY42" s="25" t="n">
        <v>9593.91</v>
      </c>
      <c r="BZ42" s="25" t="n">
        <v>20174.11</v>
      </c>
      <c r="CA42" s="25" t="n">
        <v>18888.01</v>
      </c>
      <c r="CB42" s="25" t="n">
        <v>17652.35</v>
      </c>
      <c r="CC42" s="25" t="n">
        <v>769770.31</v>
      </c>
      <c r="CD42" s="25" t="n">
        <v>263784.22</v>
      </c>
      <c r="CE42" s="25" t="n">
        <v>12165.7</v>
      </c>
      <c r="CF42" s="25" t="n">
        <v>11369.82</v>
      </c>
      <c r="CG42" s="25" t="n">
        <f aca="false">SUM(CF42,CD42,CB42,BZ42,BX42,BV42,BT42,BR42,BP42,BN42,BL42,BJ42,BH42)</f>
        <v>962896.83</v>
      </c>
      <c r="CH42" s="25" t="n">
        <f aca="false">CG42+BF42</f>
        <v>9708033.73</v>
      </c>
      <c r="CI42" s="25" t="n">
        <f aca="false">SUM(CE42,CC42,CA42,BY42,BW42,BU42,BS42,BQ42,BO42,BM42,BK42,BI42,BG42,BD42,BB42,AZ42,AX42,AV42,AT42,AR42,AP42,AN42)</f>
        <v>10875644.36</v>
      </c>
      <c r="CJ42" s="25" t="n">
        <f aca="false">CI42-CH42</f>
        <v>1167610.63</v>
      </c>
      <c r="CK42" s="25" t="n">
        <f aca="false">IF(CE42-CF42+CC42-CD42+CA42-CB42+BU42-BV42+BK42-BL42+BI42-BJ42 &gt; 0, CE42-CF42+CC42-CD42+CA42-CB42+BU42-BV42+BK42-BL42+BI42-BJ42, "-")</f>
        <v>523807.32</v>
      </c>
      <c r="CL42" s="25" t="str">
        <f aca="false">IF(CJ42&lt;0,"⚠ Over Budget","✓ Within Budget")</f>
        <v>✓ Within Budget</v>
      </c>
      <c r="CM42" s="27"/>
    </row>
    <row r="43" customFormat="false" ht="14.25" hidden="false" customHeight="false" outlineLevel="0" collapsed="false">
      <c r="A43" s="16" t="s">
        <v>98</v>
      </c>
      <c r="B43" s="16" t="n">
        <v>2025</v>
      </c>
      <c r="C43" s="16" t="n">
        <v>54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54</v>
      </c>
      <c r="T43" s="16" t="n">
        <v>11</v>
      </c>
      <c r="U43" s="16" t="n">
        <v>43</v>
      </c>
      <c r="V43" s="16" t="n">
        <v>51</v>
      </c>
      <c r="W43" s="16" t="n">
        <v>3</v>
      </c>
      <c r="X43" s="16" t="n">
        <v>6</v>
      </c>
      <c r="Y43" s="16" t="n">
        <v>14</v>
      </c>
      <c r="Z43" s="16" t="n">
        <v>18</v>
      </c>
      <c r="AA43" s="16" t="n">
        <v>11</v>
      </c>
      <c r="AB43" s="16" t="n">
        <v>4</v>
      </c>
      <c r="AC43" s="16" t="n">
        <v>1</v>
      </c>
      <c r="AD43" s="17" t="n">
        <v>0</v>
      </c>
      <c r="AE43" s="17" t="n">
        <v>0</v>
      </c>
      <c r="AF43" s="18" t="n">
        <v>57.6</v>
      </c>
      <c r="AG43" s="19" t="n">
        <v>628075</v>
      </c>
      <c r="AH43" s="19" t="n">
        <v>946050</v>
      </c>
      <c r="AI43" s="19" t="n">
        <v>1480964</v>
      </c>
      <c r="AJ43" s="19" t="n">
        <v>2400325</v>
      </c>
      <c r="AK43" s="19" t="n">
        <v>3848730</v>
      </c>
      <c r="AL43" s="19" t="n">
        <v>6560862</v>
      </c>
      <c r="AM43" s="19" t="n">
        <v>2186502.9</v>
      </c>
      <c r="AN43" s="19" t="n">
        <v>7603563.83</v>
      </c>
      <c r="AO43" s="19" t="n">
        <v>7106134.42</v>
      </c>
      <c r="AP43" s="19" t="n">
        <v>760356.38</v>
      </c>
      <c r="AQ43" s="19" t="n">
        <v>710613.44</v>
      </c>
      <c r="AR43" s="19" t="n">
        <v>27649.32</v>
      </c>
      <c r="AS43" s="19" t="n">
        <v>0</v>
      </c>
      <c r="AT43" s="19" t="n">
        <v>380178.19</v>
      </c>
      <c r="AU43" s="19" t="n">
        <v>355306.72</v>
      </c>
      <c r="AV43" s="19" t="n">
        <v>61599.92</v>
      </c>
      <c r="AW43" s="19" t="n">
        <v>45391.75</v>
      </c>
      <c r="AX43" s="19" t="n">
        <v>32379.45</v>
      </c>
      <c r="AY43" s="19" t="n">
        <v>30261.16</v>
      </c>
      <c r="AZ43" s="19" t="n">
        <v>22254.33</v>
      </c>
      <c r="BA43" s="19" t="n">
        <v>0</v>
      </c>
      <c r="BB43" s="19" t="n">
        <v>1264.63</v>
      </c>
      <c r="BC43" s="19" t="n">
        <v>0</v>
      </c>
      <c r="BD43" s="19" t="n">
        <v>208.89</v>
      </c>
      <c r="BE43" s="19" t="n">
        <v>0</v>
      </c>
      <c r="BF43" s="19" t="n">
        <f aca="false">SUM(BE43,BC43,BA43,AY43,AW43,AU43,AS43,AQ43,AO43)</f>
        <v>8247707.49</v>
      </c>
      <c r="BG43" s="19" t="n">
        <v>49734.83</v>
      </c>
      <c r="BH43" s="19" t="n">
        <v>29050.72</v>
      </c>
      <c r="BI43" s="19" t="n">
        <v>29681.16</v>
      </c>
      <c r="BJ43" s="19" t="n">
        <v>27739.4</v>
      </c>
      <c r="BK43" s="19" t="n">
        <v>21586.3</v>
      </c>
      <c r="BL43" s="19" t="n">
        <v>20174.11</v>
      </c>
      <c r="BM43" s="19" t="n">
        <v>60441.63</v>
      </c>
      <c r="BN43" s="19" t="n">
        <v>56487.51</v>
      </c>
      <c r="BO43" s="19" t="n">
        <v>7547.66</v>
      </c>
      <c r="BP43" s="19" t="n">
        <v>0</v>
      </c>
      <c r="BQ43" s="19" t="n">
        <v>321718.85</v>
      </c>
      <c r="BR43" s="19" t="n">
        <v>300671.82</v>
      </c>
      <c r="BS43" s="19" t="n">
        <v>15728.48</v>
      </c>
      <c r="BT43" s="19" t="n">
        <v>14031.35</v>
      </c>
      <c r="BU43" s="19" t="n">
        <v>190089.1</v>
      </c>
      <c r="BV43" s="19" t="n">
        <v>177653.36</v>
      </c>
      <c r="BW43" s="19" t="n">
        <v>27198.73</v>
      </c>
      <c r="BX43" s="19" t="n">
        <v>17652.35</v>
      </c>
      <c r="BY43" s="19" t="n">
        <v>9593.91</v>
      </c>
      <c r="BZ43" s="19" t="n">
        <v>20174.11</v>
      </c>
      <c r="CA43" s="19" t="n">
        <v>18888.01</v>
      </c>
      <c r="CB43" s="19" t="n">
        <v>17652.35</v>
      </c>
      <c r="CC43" s="19" t="n">
        <v>99537.56</v>
      </c>
      <c r="CD43" s="19" t="n">
        <v>106592.02</v>
      </c>
      <c r="CE43" s="19" t="n">
        <v>12165.7</v>
      </c>
      <c r="CF43" s="19" t="n">
        <v>11369.82</v>
      </c>
      <c r="CG43" s="19" t="n">
        <f aca="false">SUM(CF43,CD43,CB43,BZ43,BX43,BV43,BT43,BR43,BP43,BN43,BL43,BJ43,BH43)</f>
        <v>799248.92</v>
      </c>
      <c r="CH43" s="19" t="n">
        <f aca="false">CG43+BF43</f>
        <v>9046956.41</v>
      </c>
      <c r="CI43" s="19" t="n">
        <f aca="false">SUM(CE43,CC43,CA43,BY43,BW43,BU43,BS43,BQ43,BO43,BM43,BK43,BI43,BG43,BD43,BB43,AZ43,AX43,AV43,AT43,AR43,AP43,AN43)</f>
        <v>9753366.86</v>
      </c>
      <c r="CJ43" s="19" t="n">
        <f aca="false">CI43-CH43</f>
        <v>706410.449999999</v>
      </c>
      <c r="CK43" s="19" t="n">
        <f aca="false">IF(CE43-CF43+CC43-CD43+CA43-CB43+BU43-BV43+BK43-BL43+BI43-BJ43 &gt; 0, CE43-CF43+CC43-CD43+CA43-CB43+BU43-BV43+BK43-BL43+BI43-BJ43, "-")</f>
        <v>10766.77</v>
      </c>
      <c r="CL43" s="19" t="str">
        <f aca="false">IF(CJ43&lt;0,"⚠ Over Budget","✓ Within Budget")</f>
        <v>✓ Within Budget</v>
      </c>
      <c r="CM43" s="21"/>
    </row>
    <row r="44" customFormat="false" ht="14.25" hidden="false" customHeight="false" outlineLevel="0" collapsed="false">
      <c r="A44" s="22" t="s">
        <v>99</v>
      </c>
      <c r="B44" s="22" t="n">
        <v>2025</v>
      </c>
      <c r="C44" s="22" t="n">
        <v>54</v>
      </c>
      <c r="D44" s="22" t="n">
        <v>0</v>
      </c>
      <c r="E44" s="22" t="n">
        <v>1</v>
      </c>
      <c r="F44" s="22" t="n">
        <v>1</v>
      </c>
      <c r="G44" s="22" t="n">
        <v>0</v>
      </c>
      <c r="H44" s="22" t="n">
        <v>0</v>
      </c>
      <c r="I44" s="22" t="n">
        <v>0</v>
      </c>
      <c r="J44" s="22" t="n">
        <v>2</v>
      </c>
      <c r="K44" s="22" t="n">
        <v>1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1</v>
      </c>
      <c r="Q44" s="22" t="n">
        <v>1</v>
      </c>
      <c r="R44" s="22" t="n">
        <v>1</v>
      </c>
      <c r="S44" s="22" t="n">
        <v>54</v>
      </c>
      <c r="T44" s="22" t="n">
        <v>12</v>
      </c>
      <c r="U44" s="22" t="n">
        <v>42</v>
      </c>
      <c r="V44" s="22" t="n">
        <v>51</v>
      </c>
      <c r="W44" s="22" t="n">
        <v>3</v>
      </c>
      <c r="X44" s="22" t="n">
        <v>6</v>
      </c>
      <c r="Y44" s="22" t="n">
        <v>14</v>
      </c>
      <c r="Z44" s="22" t="n">
        <v>18</v>
      </c>
      <c r="AA44" s="22" t="n">
        <v>11</v>
      </c>
      <c r="AB44" s="22" t="n">
        <v>4</v>
      </c>
      <c r="AC44" s="22" t="n">
        <v>1</v>
      </c>
      <c r="AD44" s="23" t="n">
        <v>0.222222</v>
      </c>
      <c r="AE44" s="23" t="n">
        <v>0</v>
      </c>
      <c r="AF44" s="24" t="n">
        <v>57.9</v>
      </c>
      <c r="AG44" s="25" t="n">
        <v>628075</v>
      </c>
      <c r="AH44" s="25" t="n">
        <v>946050</v>
      </c>
      <c r="AI44" s="25" t="n">
        <v>1480964</v>
      </c>
      <c r="AJ44" s="25" t="n">
        <v>2400325</v>
      </c>
      <c r="AK44" s="25" t="n">
        <v>3848730</v>
      </c>
      <c r="AL44" s="25" t="n">
        <v>6560862</v>
      </c>
      <c r="AM44" s="25" t="n">
        <v>2186502.9</v>
      </c>
      <c r="AN44" s="25" t="n">
        <v>7798527</v>
      </c>
      <c r="AO44" s="25" t="n">
        <v>7288342.99</v>
      </c>
      <c r="AP44" s="25" t="n">
        <v>779852.7</v>
      </c>
      <c r="AQ44" s="25" t="n">
        <v>728834.3</v>
      </c>
      <c r="AR44" s="25" t="n">
        <v>28358.28</v>
      </c>
      <c r="AS44" s="25" t="n">
        <v>0</v>
      </c>
      <c r="AT44" s="25" t="n">
        <v>389926.35</v>
      </c>
      <c r="AU44" s="25" t="n">
        <v>364417.15</v>
      </c>
      <c r="AV44" s="25" t="n">
        <v>72899.31</v>
      </c>
      <c r="AW44" s="25" t="n">
        <v>46555.64</v>
      </c>
      <c r="AX44" s="25" t="n">
        <v>33209.69</v>
      </c>
      <c r="AY44" s="25" t="n">
        <v>31037.09</v>
      </c>
      <c r="AZ44" s="25" t="n">
        <v>22824.96</v>
      </c>
      <c r="BA44" s="25" t="n">
        <v>0</v>
      </c>
      <c r="BB44" s="25" t="n">
        <v>18969.39</v>
      </c>
      <c r="BC44" s="25" t="n">
        <v>18220.86</v>
      </c>
      <c r="BD44" s="25" t="n">
        <v>417.78</v>
      </c>
      <c r="BE44" s="25" t="n">
        <v>0</v>
      </c>
      <c r="BF44" s="25" t="n">
        <f aca="false">SUM(BE44,BC44,BA44,AY44,AW44,AU44,AS44,AQ44,AO44)</f>
        <v>8477408.03</v>
      </c>
      <c r="BG44" s="25" t="n">
        <v>8816.56</v>
      </c>
      <c r="BH44" s="25" t="n">
        <v>11587.18</v>
      </c>
      <c r="BI44" s="25" t="n">
        <v>30442.21</v>
      </c>
      <c r="BJ44" s="25" t="n">
        <v>28450.67</v>
      </c>
      <c r="BK44" s="25" t="n">
        <v>22139.79</v>
      </c>
      <c r="BL44" s="25" t="n">
        <v>20691.39</v>
      </c>
      <c r="BM44" s="25" t="n">
        <v>61991.42</v>
      </c>
      <c r="BN44" s="25" t="n">
        <v>57935.9</v>
      </c>
      <c r="BO44" s="25" t="n">
        <v>26416.8</v>
      </c>
      <c r="BP44" s="25" t="n">
        <v>45262.42</v>
      </c>
      <c r="BQ44" s="25" t="n">
        <v>321718.85</v>
      </c>
      <c r="BR44" s="25" t="n">
        <v>300671.82</v>
      </c>
      <c r="BS44" s="25" t="n">
        <v>18588.2</v>
      </c>
      <c r="BT44" s="25" t="n">
        <v>14031.35</v>
      </c>
      <c r="BU44" s="25" t="n">
        <v>194963.18</v>
      </c>
      <c r="BV44" s="25" t="n">
        <v>182208.57</v>
      </c>
      <c r="BW44" s="25" t="n">
        <v>18597.43</v>
      </c>
      <c r="BX44" s="25" t="n">
        <v>18104.97</v>
      </c>
      <c r="BY44" s="25" t="n">
        <v>338715.69</v>
      </c>
      <c r="BZ44" s="25" t="n">
        <v>142450.52</v>
      </c>
      <c r="CA44" s="25" t="n">
        <v>19372.32</v>
      </c>
      <c r="CB44" s="25" t="n">
        <v>18104.97</v>
      </c>
      <c r="CC44" s="25" t="n">
        <v>63806.13</v>
      </c>
      <c r="CD44" s="25" t="n">
        <v>109325.14</v>
      </c>
      <c r="CE44" s="25" t="n">
        <v>12477.64</v>
      </c>
      <c r="CF44" s="25" t="n">
        <v>11661.35</v>
      </c>
      <c r="CG44" s="25" t="n">
        <f aca="false">SUM(CF44,CD44,CB44,BZ44,BX44,BV44,BT44,BR44,BP44,BN44,BL44,BJ44,BH44)</f>
        <v>960486.25</v>
      </c>
      <c r="CH44" s="25" t="n">
        <f aca="false">CG44+BF44</f>
        <v>9437894.28</v>
      </c>
      <c r="CI44" s="25" t="n">
        <f aca="false">SUM(CE44,CC44,CA44,BY44,BW44,BU44,BS44,BQ44,BO44,BM44,BK44,BI44,BG44,BD44,BB44,AZ44,AX44,AV44,AT44,AR44,AP44,AN44)</f>
        <v>10283031.68</v>
      </c>
      <c r="CJ44" s="25" t="n">
        <f aca="false">CI44-CH44</f>
        <v>845137.399999999</v>
      </c>
      <c r="CK44" s="25" t="str">
        <f aca="false">IF(CE44-CF44+CC44-CD44+CA44-CB44+BU44-BV44+BK44-BL44+BI44-BJ44 &gt; 0, CE44-CF44+CC44-CD44+CA44-CB44+BU44-BV44+BK44-BL44+BI44-BJ44, "-")</f>
        <v>-</v>
      </c>
      <c r="CL44" s="25" t="str">
        <f aca="false">IF(CJ44&lt;0,"⚠ Over Budget","✓ Within Budget")</f>
        <v>✓ Within Budget</v>
      </c>
      <c r="CM44" s="27"/>
    </row>
    <row r="45" customFormat="false" ht="18.75" hidden="false" customHeight="true" outlineLevel="0" collapsed="false">
      <c r="A45" s="28" t="s">
        <v>100</v>
      </c>
      <c r="B45" s="28" t="n">
        <v>2025</v>
      </c>
      <c r="C45" s="28" t="n">
        <v>54</v>
      </c>
      <c r="D45" s="28" t="n">
        <v>1</v>
      </c>
      <c r="E45" s="28" t="n">
        <v>1</v>
      </c>
      <c r="F45" s="28" t="n">
        <v>1</v>
      </c>
      <c r="G45" s="28" t="n">
        <v>0</v>
      </c>
      <c r="H45" s="28" t="n">
        <v>0</v>
      </c>
      <c r="I45" s="28" t="n">
        <v>0</v>
      </c>
      <c r="J45" s="28" t="n">
        <v>3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57</v>
      </c>
      <c r="T45" s="28" t="n">
        <v>12</v>
      </c>
      <c r="U45" s="28" t="n">
        <v>45</v>
      </c>
      <c r="V45" s="28" t="n">
        <v>54</v>
      </c>
      <c r="W45" s="28" t="n">
        <v>3</v>
      </c>
      <c r="X45" s="28" t="n">
        <v>7</v>
      </c>
      <c r="Y45" s="28" t="n">
        <v>15</v>
      </c>
      <c r="Z45" s="28" t="n">
        <v>19</v>
      </c>
      <c r="AA45" s="28" t="n">
        <v>11</v>
      </c>
      <c r="AB45" s="28" t="n">
        <v>4</v>
      </c>
      <c r="AC45" s="28" t="n">
        <v>1</v>
      </c>
      <c r="AD45" s="29" t="n">
        <v>0</v>
      </c>
      <c r="AE45" s="29" t="n">
        <v>0</v>
      </c>
      <c r="AF45" s="30" t="n">
        <v>58.4</v>
      </c>
      <c r="AG45" s="31" t="n">
        <v>628075</v>
      </c>
      <c r="AH45" s="31" t="n">
        <v>946050</v>
      </c>
      <c r="AI45" s="31" t="n">
        <v>1480964</v>
      </c>
      <c r="AJ45" s="31" t="n">
        <v>2400325</v>
      </c>
      <c r="AK45" s="31" t="n">
        <v>3848730</v>
      </c>
      <c r="AL45" s="31" t="n">
        <v>6560862</v>
      </c>
      <c r="AM45" s="31" t="n">
        <v>2186502.9</v>
      </c>
      <c r="AN45" s="31" t="n">
        <v>8188453.35</v>
      </c>
      <c r="AO45" s="31" t="n">
        <v>8739562.97</v>
      </c>
      <c r="AP45" s="31" t="n">
        <v>818845.34</v>
      </c>
      <c r="AQ45" s="31" t="n">
        <v>765276.01</v>
      </c>
      <c r="AR45" s="31" t="n">
        <v>29776.19</v>
      </c>
      <c r="AS45" s="31" t="n">
        <v>0</v>
      </c>
      <c r="AT45" s="31" t="n">
        <v>409422.67</v>
      </c>
      <c r="AU45" s="31" t="n">
        <v>382638.01</v>
      </c>
      <c r="AV45" s="31" t="n">
        <v>61235.42</v>
      </c>
      <c r="AW45" s="31" t="n">
        <v>48883.42</v>
      </c>
      <c r="AX45" s="31" t="n">
        <v>34870.17</v>
      </c>
      <c r="AY45" s="31" t="n">
        <v>32588.95</v>
      </c>
      <c r="AZ45" s="31" t="n">
        <v>19971.84</v>
      </c>
      <c r="BA45" s="31" t="n">
        <v>0</v>
      </c>
      <c r="BB45" s="31" t="n">
        <v>63231.3</v>
      </c>
      <c r="BC45" s="31" t="n">
        <v>1847779.76</v>
      </c>
      <c r="BD45" s="31" t="n">
        <v>626.67</v>
      </c>
      <c r="BE45" s="31" t="n">
        <v>0</v>
      </c>
      <c r="BF45" s="31" t="n">
        <f aca="false">SUM(BE45,BC45,BA45,AY45,AW45,AU45,AS45,AQ45,AO45)</f>
        <v>11816729.12</v>
      </c>
      <c r="BG45" s="31" t="n">
        <v>6943.04</v>
      </c>
      <c r="BH45" s="31" t="n">
        <v>12166.54</v>
      </c>
      <c r="BI45" s="31" t="n">
        <v>31964.32</v>
      </c>
      <c r="BJ45" s="31" t="n">
        <v>29873.2</v>
      </c>
      <c r="BK45" s="31" t="n">
        <v>23246.78</v>
      </c>
      <c r="BL45" s="31" t="n">
        <v>21725.96</v>
      </c>
      <c r="BM45" s="31" t="n">
        <v>65090.99</v>
      </c>
      <c r="BN45" s="31" t="n">
        <v>60832.7</v>
      </c>
      <c r="BO45" s="31" t="n">
        <v>264167.97</v>
      </c>
      <c r="BP45" s="31" t="n">
        <v>815060.07</v>
      </c>
      <c r="BQ45" s="31" t="n">
        <v>342474.9</v>
      </c>
      <c r="BR45" s="31" t="n">
        <v>320070</v>
      </c>
      <c r="BS45" s="31" t="n">
        <v>19787.44</v>
      </c>
      <c r="BT45" s="31" t="n">
        <v>14936.6</v>
      </c>
      <c r="BU45" s="31" t="n">
        <v>204711.33</v>
      </c>
      <c r="BV45" s="31" t="n">
        <v>191319</v>
      </c>
      <c r="BW45" s="31" t="n">
        <v>9763.65</v>
      </c>
      <c r="BX45" s="31" t="n">
        <v>19010.22</v>
      </c>
      <c r="BY45" s="31" t="n">
        <v>10331.9</v>
      </c>
      <c r="BZ45" s="31" t="n">
        <v>21725.96</v>
      </c>
      <c r="CA45" s="31" t="n">
        <v>20340.93</v>
      </c>
      <c r="CB45" s="31" t="n">
        <v>19010.22</v>
      </c>
      <c r="CC45" s="31" t="n">
        <v>66996.44</v>
      </c>
      <c r="CD45" s="31" t="n">
        <v>114791.4</v>
      </c>
      <c r="CE45" s="31" t="n">
        <v>13101.53</v>
      </c>
      <c r="CF45" s="31" t="n">
        <v>12244.42</v>
      </c>
      <c r="CG45" s="31" t="n">
        <f aca="false">SUM(CF45,CD45,CB45,BZ45,BX45,BV45,BT45,BR45,BP45,BN45,BL45,BJ45,BH45)</f>
        <v>1652766.29</v>
      </c>
      <c r="CH45" s="31" t="n">
        <f aca="false">CG45+BF45</f>
        <v>13469495.41</v>
      </c>
      <c r="CI45" s="31" t="n">
        <f aca="false">SUM(CE45,CC45,CA45,BY45,BW45,BU45,BS45,BQ45,BO45,BM45,BK45,BI45,BG45,BD45,BB45,AZ45,AX45,AV45,AT45,AR45,AP45,AN45)</f>
        <v>10705354.17</v>
      </c>
      <c r="CJ45" s="31" t="n">
        <f aca="false">CI45-CH45</f>
        <v>-2764141.24</v>
      </c>
      <c r="CK45" s="31" t="str">
        <f aca="false">IF(CE45-CF45+CC45-CD45+CA45-CB45+BU45-BV45+BK45-BL45+BI45-BJ45 &gt; 0, CE45-CF45+CC45-CD45+CA45-CB45+BU45-BV45+BK45-BL45+BI45-BJ45, "-")</f>
        <v>-</v>
      </c>
      <c r="CL45" s="31" t="str">
        <f aca="false">IF(CJ45&lt;0,"⚠ Over Budget","✓ Within Budget")</f>
        <v>⚠ Over Budget</v>
      </c>
      <c r="CM45" s="33" t="s">
        <v>110</v>
      </c>
    </row>
    <row r="46" customFormat="false" ht="14.25" hidden="false" customHeight="false" outlineLevel="0" collapsed="false">
      <c r="A46" s="22" t="s">
        <v>101</v>
      </c>
      <c r="B46" s="22" t="n">
        <v>2025</v>
      </c>
      <c r="C46" s="22" t="n">
        <v>57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57</v>
      </c>
      <c r="T46" s="22" t="n">
        <v>12</v>
      </c>
      <c r="U46" s="22" t="n">
        <v>45</v>
      </c>
      <c r="V46" s="22" t="n">
        <v>54</v>
      </c>
      <c r="W46" s="22" t="n">
        <v>3</v>
      </c>
      <c r="X46" s="22" t="n">
        <v>7</v>
      </c>
      <c r="Y46" s="22" t="n">
        <v>15</v>
      </c>
      <c r="Z46" s="22" t="n">
        <v>19</v>
      </c>
      <c r="AA46" s="22" t="n">
        <v>11</v>
      </c>
      <c r="AB46" s="22" t="n">
        <v>4</v>
      </c>
      <c r="AC46" s="22" t="n">
        <v>1</v>
      </c>
      <c r="AD46" s="23" t="n">
        <v>0</v>
      </c>
      <c r="AE46" s="23" t="n">
        <v>0</v>
      </c>
      <c r="AF46" s="24" t="n">
        <v>58.8</v>
      </c>
      <c r="AG46" s="25" t="n">
        <v>628075</v>
      </c>
      <c r="AH46" s="25" t="n">
        <v>946050</v>
      </c>
      <c r="AI46" s="25" t="n">
        <v>1480964</v>
      </c>
      <c r="AJ46" s="25" t="n">
        <v>2400325</v>
      </c>
      <c r="AK46" s="25" t="n">
        <v>3848730</v>
      </c>
      <c r="AL46" s="25" t="n">
        <v>6560862</v>
      </c>
      <c r="AM46" s="25" t="n">
        <v>2186502.9</v>
      </c>
      <c r="AN46" s="25" t="n">
        <v>8188453.35</v>
      </c>
      <c r="AO46" s="25" t="n">
        <v>7652760.14</v>
      </c>
      <c r="AP46" s="25" t="n">
        <v>818845.34</v>
      </c>
      <c r="AQ46" s="25" t="n">
        <v>765276.01</v>
      </c>
      <c r="AR46" s="25" t="n">
        <v>29776.19</v>
      </c>
      <c r="AS46" s="25" t="n">
        <v>0</v>
      </c>
      <c r="AT46" s="25" t="n">
        <v>409422.67</v>
      </c>
      <c r="AU46" s="25" t="n">
        <v>382638.01</v>
      </c>
      <c r="AV46" s="25" t="n">
        <v>51029.52</v>
      </c>
      <c r="AW46" s="25" t="n">
        <v>48883.42</v>
      </c>
      <c r="AX46" s="25" t="n">
        <v>34870.17</v>
      </c>
      <c r="AY46" s="25" t="n">
        <v>32588.95</v>
      </c>
      <c r="AZ46" s="25" t="n">
        <v>19971.84</v>
      </c>
      <c r="BA46" s="25" t="n">
        <v>0</v>
      </c>
      <c r="BB46" s="25" t="n">
        <v>3161.57</v>
      </c>
      <c r="BC46" s="25" t="n">
        <v>0</v>
      </c>
      <c r="BD46" s="25" t="n">
        <v>626.67</v>
      </c>
      <c r="BE46" s="25" t="n">
        <v>0</v>
      </c>
      <c r="BF46" s="25" t="n">
        <f aca="false">SUM(BE46,BC46,BA46,AY46,AW46,AU46,AS46,AQ46,AO46)</f>
        <v>8882146.53</v>
      </c>
      <c r="BG46" s="25" t="n">
        <v>37194.85</v>
      </c>
      <c r="BH46" s="25" t="n">
        <v>26071.16</v>
      </c>
      <c r="BI46" s="25" t="n">
        <v>31964.32</v>
      </c>
      <c r="BJ46" s="25" t="n">
        <v>29873.2</v>
      </c>
      <c r="BK46" s="25" t="n">
        <v>23246.78</v>
      </c>
      <c r="BL46" s="25" t="n">
        <v>21725.96</v>
      </c>
      <c r="BM46" s="25" t="n">
        <v>65090.99</v>
      </c>
      <c r="BN46" s="25" t="n">
        <v>60832.7</v>
      </c>
      <c r="BO46" s="25" t="n">
        <v>7547.66</v>
      </c>
      <c r="BP46" s="25" t="n">
        <v>0</v>
      </c>
      <c r="BQ46" s="25" t="n">
        <v>342474.9</v>
      </c>
      <c r="BR46" s="25" t="n">
        <v>320070</v>
      </c>
      <c r="BS46" s="25" t="n">
        <v>19787.44</v>
      </c>
      <c r="BT46" s="25" t="n">
        <v>14936.6</v>
      </c>
      <c r="BU46" s="25" t="n">
        <v>204711.33</v>
      </c>
      <c r="BV46" s="25" t="n">
        <v>191319</v>
      </c>
      <c r="BW46" s="25" t="n">
        <v>19527.3</v>
      </c>
      <c r="BX46" s="25" t="n">
        <v>19010.22</v>
      </c>
      <c r="BY46" s="25" t="n">
        <v>30260.41</v>
      </c>
      <c r="BZ46" s="25" t="n">
        <v>53026.42</v>
      </c>
      <c r="CA46" s="25" t="n">
        <v>20340.93</v>
      </c>
      <c r="CB46" s="25" t="n">
        <v>19010.22</v>
      </c>
      <c r="CC46" s="25" t="n">
        <v>66996.44</v>
      </c>
      <c r="CD46" s="25" t="n">
        <v>114791.4</v>
      </c>
      <c r="CE46" s="25" t="n">
        <v>13101.53</v>
      </c>
      <c r="CF46" s="25" t="n">
        <v>12244.42</v>
      </c>
      <c r="CG46" s="25" t="n">
        <f aca="false">SUM(CF46,CD46,CB46,BZ46,BX46,BV46,BT46,BR46,BP46,BN46,BL46,BJ46,BH46)</f>
        <v>882911.3</v>
      </c>
      <c r="CH46" s="25" t="n">
        <f aca="false">CG46+BF46</f>
        <v>9765057.83</v>
      </c>
      <c r="CI46" s="25" t="n">
        <f aca="false">SUM(CE46,CC46,CA46,BY46,BW46,BU46,BS46,BQ46,BO46,BM46,BK46,BI46,BG46,BD46,BB46,AZ46,AX46,AV46,AT46,AR46,AP46,AN46)</f>
        <v>10438402.2</v>
      </c>
      <c r="CJ46" s="25" t="n">
        <f aca="false">CI46-CH46</f>
        <v>673344.369999999</v>
      </c>
      <c r="CK46" s="25" t="str">
        <f aca="false">IF(CE46-CF46+CC46-CD46+CA46-CB46+BU46-BV46+BK46-BL46+BI46-BJ46 &gt; 0, CE46-CF46+CC46-CD46+CA46-CB46+BU46-BV46+BK46-BL46+BI46-BJ46, "-")</f>
        <v>-</v>
      </c>
      <c r="CL46" s="25" t="str">
        <f aca="false">IF(CJ46&lt;0,"⚠ Over Budget","✓ Within Budget")</f>
        <v>✓ Within Budget</v>
      </c>
      <c r="CM46" s="27"/>
    </row>
    <row r="47" customFormat="false" ht="18.75" hidden="false" customHeight="true" outlineLevel="0" collapsed="false">
      <c r="A47" s="28" t="s">
        <v>102</v>
      </c>
      <c r="B47" s="28" t="n">
        <v>2025</v>
      </c>
      <c r="C47" s="28" t="n">
        <v>57</v>
      </c>
      <c r="D47" s="28" t="n">
        <v>0</v>
      </c>
      <c r="E47" s="28" t="n">
        <v>1</v>
      </c>
      <c r="F47" s="28" t="n">
        <v>1</v>
      </c>
      <c r="G47" s="28" t="n">
        <v>0</v>
      </c>
      <c r="H47" s="28" t="n">
        <v>0</v>
      </c>
      <c r="I47" s="28" t="n">
        <v>0</v>
      </c>
      <c r="J47" s="28" t="n">
        <v>2</v>
      </c>
      <c r="K47" s="28" t="n">
        <v>1</v>
      </c>
      <c r="L47" s="28" t="n">
        <v>0</v>
      </c>
      <c r="M47" s="28" t="n">
        <v>0</v>
      </c>
      <c r="N47" s="28" t="n">
        <v>0</v>
      </c>
      <c r="O47" s="28" t="n">
        <v>0</v>
      </c>
      <c r="P47" s="28" t="n">
        <v>1</v>
      </c>
      <c r="Q47" s="28" t="n">
        <v>1</v>
      </c>
      <c r="R47" s="28" t="n">
        <v>1</v>
      </c>
      <c r="S47" s="28" t="n">
        <v>57</v>
      </c>
      <c r="T47" s="28" t="n">
        <v>12</v>
      </c>
      <c r="U47" s="28" t="n">
        <v>45</v>
      </c>
      <c r="V47" s="28" t="n">
        <v>54</v>
      </c>
      <c r="W47" s="28" t="n">
        <v>3</v>
      </c>
      <c r="X47" s="28" t="n">
        <v>7</v>
      </c>
      <c r="Y47" s="28" t="n">
        <v>15</v>
      </c>
      <c r="Z47" s="28" t="n">
        <v>19</v>
      </c>
      <c r="AA47" s="28" t="n">
        <v>11</v>
      </c>
      <c r="AB47" s="28" t="n">
        <v>4</v>
      </c>
      <c r="AC47" s="28" t="n">
        <v>1</v>
      </c>
      <c r="AD47" s="29" t="n">
        <v>0.210526</v>
      </c>
      <c r="AE47" s="29" t="n">
        <v>0</v>
      </c>
      <c r="AF47" s="30" t="n">
        <v>59.1</v>
      </c>
      <c r="AG47" s="31" t="n">
        <v>628075</v>
      </c>
      <c r="AH47" s="31" t="n">
        <v>946050</v>
      </c>
      <c r="AI47" s="31" t="n">
        <v>1480964</v>
      </c>
      <c r="AJ47" s="31" t="n">
        <v>2400325</v>
      </c>
      <c r="AK47" s="31" t="n">
        <v>3848730</v>
      </c>
      <c r="AL47" s="31" t="n">
        <v>6560862</v>
      </c>
      <c r="AM47" s="31" t="n">
        <v>2186502.9</v>
      </c>
      <c r="AN47" s="31" t="n">
        <v>8383416.53</v>
      </c>
      <c r="AO47" s="31" t="n">
        <v>7834968.72</v>
      </c>
      <c r="AP47" s="31" t="n">
        <v>838341.65</v>
      </c>
      <c r="AQ47" s="31" t="n">
        <v>783496.87</v>
      </c>
      <c r="AR47" s="31" t="n">
        <v>30485.15</v>
      </c>
      <c r="AS47" s="31" t="n">
        <v>0</v>
      </c>
      <c r="AT47" s="31" t="n">
        <v>419170.83</v>
      </c>
      <c r="AU47" s="31" t="n">
        <v>391748.44</v>
      </c>
      <c r="AV47" s="31" t="n">
        <v>57468.96</v>
      </c>
      <c r="AW47" s="31" t="n">
        <v>50047.31</v>
      </c>
      <c r="AX47" s="31" t="n">
        <v>35700.41</v>
      </c>
      <c r="AY47" s="31" t="n">
        <v>33364.87</v>
      </c>
      <c r="AZ47" s="31" t="n">
        <v>40894.71</v>
      </c>
      <c r="BA47" s="31" t="n">
        <v>0</v>
      </c>
      <c r="BB47" s="31" t="n">
        <v>37938.78</v>
      </c>
      <c r="BC47" s="31" t="n">
        <v>36441.71</v>
      </c>
      <c r="BD47" s="31" t="n">
        <v>208.89</v>
      </c>
      <c r="BE47" s="31" t="n">
        <v>0</v>
      </c>
      <c r="BF47" s="31" t="n">
        <f aca="false">SUM(BE47,BC47,BA47,AY47,AW47,AU47,AS47,AQ47,AO47)</f>
        <v>9130067.92</v>
      </c>
      <c r="BG47" s="31" t="n">
        <v>54835.84</v>
      </c>
      <c r="BH47" s="31" t="n">
        <v>32030.28</v>
      </c>
      <c r="BI47" s="31" t="n">
        <v>32725.38</v>
      </c>
      <c r="BJ47" s="31" t="n">
        <v>30584.47</v>
      </c>
      <c r="BK47" s="31" t="n">
        <v>23800.28</v>
      </c>
      <c r="BL47" s="31" t="n">
        <v>22243.25</v>
      </c>
      <c r="BM47" s="31" t="n">
        <v>66640.77</v>
      </c>
      <c r="BN47" s="31" t="n">
        <v>766014.41</v>
      </c>
      <c r="BO47" s="31" t="n">
        <v>52833.59</v>
      </c>
      <c r="BP47" s="31" t="n">
        <v>1397458.15</v>
      </c>
      <c r="BQ47" s="31" t="n">
        <v>352852.93</v>
      </c>
      <c r="BR47" s="31" t="n">
        <v>329769.1</v>
      </c>
      <c r="BS47" s="31" t="n">
        <v>17250.59</v>
      </c>
      <c r="BT47" s="31" t="n">
        <v>15389.22</v>
      </c>
      <c r="BU47" s="31" t="n">
        <v>209585.41</v>
      </c>
      <c r="BV47" s="31" t="n">
        <v>195874.22</v>
      </c>
      <c r="BW47" s="31" t="n">
        <v>39984.46</v>
      </c>
      <c r="BX47" s="31" t="n">
        <v>19462.84</v>
      </c>
      <c r="BY47" s="31" t="n">
        <v>10577.9</v>
      </c>
      <c r="BZ47" s="31" t="n">
        <v>22243.25</v>
      </c>
      <c r="CA47" s="31" t="n">
        <v>20825.24</v>
      </c>
      <c r="CB47" s="31" t="n">
        <v>19462.84</v>
      </c>
      <c r="CC47" s="31" t="n">
        <v>82309.91</v>
      </c>
      <c r="CD47" s="31" t="n">
        <v>117524.53</v>
      </c>
      <c r="CE47" s="31" t="n">
        <v>13413.47</v>
      </c>
      <c r="CF47" s="31" t="n">
        <v>12535.95</v>
      </c>
      <c r="CG47" s="31" t="n">
        <f aca="false">SUM(CF47,CD47,CB47,BZ47,BX47,BV47,BT47,BR47,BP47,BN47,BL47,BJ47,BH47)</f>
        <v>2980592.51</v>
      </c>
      <c r="CH47" s="31" t="n">
        <f aca="false">CG47+BF47</f>
        <v>12110660.43</v>
      </c>
      <c r="CI47" s="31" t="n">
        <f aca="false">SUM(CE47,CC47,CA47,BY47,BW47,BU47,BS47,BQ47,BO47,BM47,BK47,BI47,BG47,BD47,BB47,AZ47,AX47,AV47,AT47,AR47,AP47,AN47)</f>
        <v>10821261.68</v>
      </c>
      <c r="CJ47" s="31" t="n">
        <f aca="false">CI47-CH47</f>
        <v>-1289398.75</v>
      </c>
      <c r="CK47" s="31" t="str">
        <f aca="false">IF(CE47-CF47+CC47-CD47+CA47-CB47+BU47-BV47+BK47-BL47+BI47-BJ47 &gt; 0, CE47-CF47+CC47-CD47+CA47-CB47+BU47-BV47+BK47-BL47+BI47-BJ47, "-")</f>
        <v>-</v>
      </c>
      <c r="CL47" s="31" t="str">
        <f aca="false">IF(CJ47&lt;0,"⚠ Over Budget","✓ Within Budget")</f>
        <v>⚠ Over Budget</v>
      </c>
      <c r="CM47" s="33" t="s">
        <v>117</v>
      </c>
    </row>
    <row r="48" customFormat="false" ht="14.25" hidden="false" customHeight="false" outlineLevel="0" collapsed="false">
      <c r="A48" s="28" t="s">
        <v>103</v>
      </c>
      <c r="B48" s="28" t="n">
        <v>2025</v>
      </c>
      <c r="C48" s="28" t="n">
        <v>57</v>
      </c>
      <c r="D48" s="28" t="n">
        <v>0</v>
      </c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0</v>
      </c>
      <c r="N48" s="28" t="n">
        <v>0</v>
      </c>
      <c r="O48" s="28" t="n">
        <v>0</v>
      </c>
      <c r="P48" s="28" t="n">
        <v>0</v>
      </c>
      <c r="Q48" s="28" t="n">
        <v>0</v>
      </c>
      <c r="R48" s="28" t="n">
        <v>0</v>
      </c>
      <c r="S48" s="28" t="n">
        <v>57</v>
      </c>
      <c r="T48" s="28" t="n">
        <v>11</v>
      </c>
      <c r="U48" s="28" t="n">
        <v>46</v>
      </c>
      <c r="V48" s="28" t="n">
        <v>54</v>
      </c>
      <c r="W48" s="28" t="n">
        <v>3</v>
      </c>
      <c r="X48" s="28" t="n">
        <v>7</v>
      </c>
      <c r="Y48" s="28" t="n">
        <v>15</v>
      </c>
      <c r="Z48" s="28" t="n">
        <v>19</v>
      </c>
      <c r="AA48" s="28" t="n">
        <v>11</v>
      </c>
      <c r="AB48" s="28" t="n">
        <v>4</v>
      </c>
      <c r="AC48" s="28" t="n">
        <v>1</v>
      </c>
      <c r="AD48" s="29" t="n">
        <v>0</v>
      </c>
      <c r="AE48" s="29" t="n">
        <v>0.0134772602043868</v>
      </c>
      <c r="AF48" s="30" t="n">
        <v>59.5</v>
      </c>
      <c r="AG48" s="31" t="n">
        <v>639587</v>
      </c>
      <c r="AH48" s="31" t="n">
        <v>963353</v>
      </c>
      <c r="AI48" s="31" t="n">
        <v>1497074</v>
      </c>
      <c r="AJ48" s="31" t="n">
        <v>2424480</v>
      </c>
      <c r="AK48" s="31" t="n">
        <v>3888273</v>
      </c>
      <c r="AL48" s="31" t="n">
        <v>6626619</v>
      </c>
      <c r="AM48" s="31" t="n">
        <v>2212510.26</v>
      </c>
      <c r="AN48" s="31" t="n">
        <v>8877697.42</v>
      </c>
      <c r="AO48" s="31" t="n">
        <v>8296913.48</v>
      </c>
      <c r="AP48" s="31" t="n">
        <v>887769.74</v>
      </c>
      <c r="AQ48" s="31" t="n">
        <v>829691.35</v>
      </c>
      <c r="AR48" s="31" t="n">
        <v>1033041.15</v>
      </c>
      <c r="AS48" s="31" t="n">
        <v>2140408.67</v>
      </c>
      <c r="AT48" s="31" t="n">
        <v>443884.87</v>
      </c>
      <c r="AU48" s="31" t="n">
        <v>414845.67</v>
      </c>
      <c r="AV48" s="31" t="n">
        <v>49207.04</v>
      </c>
      <c r="AW48" s="31" t="n">
        <v>52375.09</v>
      </c>
      <c r="AX48" s="31" t="n">
        <v>37360.9</v>
      </c>
      <c r="AY48" s="31" t="n">
        <v>34916.73</v>
      </c>
      <c r="AZ48" s="31" t="n">
        <v>86611.68</v>
      </c>
      <c r="BA48" s="31" t="n">
        <v>775085.2</v>
      </c>
      <c r="BB48" s="31" t="n">
        <v>57585.06</v>
      </c>
      <c r="BC48" s="31" t="n">
        <v>55312.76</v>
      </c>
      <c r="BD48" s="31" t="n">
        <v>211.37</v>
      </c>
      <c r="BE48" s="31" t="n">
        <v>0</v>
      </c>
      <c r="BF48" s="31" t="n">
        <f aca="false">SUM(BE48,BC48,BA48,AY48,AW48,AU48,AS48,AQ48,AO48)</f>
        <v>12599548.95</v>
      </c>
      <c r="BG48" s="31" t="n">
        <v>34715.19</v>
      </c>
      <c r="BH48" s="31" t="n">
        <v>26071.16</v>
      </c>
      <c r="BI48" s="31" t="n">
        <v>34247.49</v>
      </c>
      <c r="BJ48" s="31" t="n">
        <v>32007</v>
      </c>
      <c r="BK48" s="31" t="n">
        <v>24907.27</v>
      </c>
      <c r="BL48" s="31" t="n">
        <v>23277.82</v>
      </c>
      <c r="BM48" s="31" t="n">
        <v>69740.34</v>
      </c>
      <c r="BN48" s="31" t="n">
        <v>65177.89</v>
      </c>
      <c r="BO48" s="31" t="n">
        <v>79250.39</v>
      </c>
      <c r="BP48" s="31" t="n">
        <v>135787.27</v>
      </c>
      <c r="BQ48" s="31" t="n">
        <v>373608.99</v>
      </c>
      <c r="BR48" s="31" t="n">
        <v>349167.28</v>
      </c>
      <c r="BS48" s="31" t="n">
        <v>16604.84</v>
      </c>
      <c r="BT48" s="31" t="n">
        <v>16294.47</v>
      </c>
      <c r="BU48" s="31" t="n">
        <v>221942.44</v>
      </c>
      <c r="BV48" s="31" t="n">
        <v>207422.84</v>
      </c>
      <c r="BW48" s="31" t="n">
        <v>31383.15</v>
      </c>
      <c r="BX48" s="31" t="n">
        <v>20368.09</v>
      </c>
      <c r="BY48" s="31" t="n">
        <v>562359.67</v>
      </c>
      <c r="BZ48" s="31" t="n">
        <v>184770.63</v>
      </c>
      <c r="CA48" s="31" t="n">
        <v>21793.86</v>
      </c>
      <c r="CB48" s="31" t="n">
        <v>20368.09</v>
      </c>
      <c r="CC48" s="31" t="n">
        <v>116217.13</v>
      </c>
      <c r="CD48" s="31" t="n">
        <v>124453.7</v>
      </c>
      <c r="CE48" s="31" t="n">
        <v>14204.32</v>
      </c>
      <c r="CF48" s="31" t="n">
        <v>13275.06</v>
      </c>
      <c r="CG48" s="31" t="n">
        <f aca="false">SUM(CF48,CD48,CB48,BZ48,BX48,BV48,BT48,BR48,BP48,BN48,BL48,BJ48,BH48)</f>
        <v>1218441.3</v>
      </c>
      <c r="CH48" s="31" t="n">
        <f aca="false">CG48+BF48</f>
        <v>13817990.25</v>
      </c>
      <c r="CI48" s="31" t="n">
        <f aca="false">SUM(CE48,CC48,CA48,BY48,BW48,BU48,BS48,BQ48,BO48,BM48,BK48,BI48,BG48,BD48,BB48,AZ48,AX48,AV48,AT48,AR48,AP48,AN48)</f>
        <v>13074344.31</v>
      </c>
      <c r="CJ48" s="31" t="n">
        <f aca="false">CI48-CH48</f>
        <v>-743645.940000001</v>
      </c>
      <c r="CK48" s="31" t="n">
        <f aca="false">IF(CE48-CF48+CC48-CD48+CA48-CB48+BU48-BV48+BK48-BL48+BI48-BJ48 &gt; 0, CE48-CF48+CC48-CD48+CA48-CB48+BU48-BV48+BK48-BL48+BI48-BJ48, "-")</f>
        <v>12508</v>
      </c>
      <c r="CL48" s="31" t="str">
        <f aca="false">IF(CJ48&lt;0,"⚠ Over Budget","✓ Within Budget")</f>
        <v>⚠ Over Budget</v>
      </c>
      <c r="CM48" s="33" t="s">
        <v>111</v>
      </c>
    </row>
    <row r="49" customFormat="false" ht="14.25" hidden="false" customHeight="false" outlineLevel="0" collapsed="false">
      <c r="A49" s="16" t="s">
        <v>104</v>
      </c>
      <c r="B49" s="16" t="n">
        <v>2025</v>
      </c>
      <c r="C49" s="16" t="n">
        <v>57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57</v>
      </c>
      <c r="T49" s="16" t="n">
        <v>11</v>
      </c>
      <c r="U49" s="16" t="n">
        <v>46</v>
      </c>
      <c r="V49" s="16" t="n">
        <v>54</v>
      </c>
      <c r="W49" s="16" t="n">
        <v>3</v>
      </c>
      <c r="X49" s="16" t="n">
        <v>7</v>
      </c>
      <c r="Y49" s="16" t="n">
        <v>15</v>
      </c>
      <c r="Z49" s="16" t="n">
        <v>19</v>
      </c>
      <c r="AA49" s="16" t="n">
        <v>11</v>
      </c>
      <c r="AB49" s="16" t="n">
        <v>4</v>
      </c>
      <c r="AC49" s="16" t="n">
        <v>1</v>
      </c>
      <c r="AD49" s="17" t="n">
        <v>0</v>
      </c>
      <c r="AE49" s="17" t="n">
        <v>0</v>
      </c>
      <c r="AF49" s="18" t="n">
        <v>59.8</v>
      </c>
      <c r="AG49" s="19" t="n">
        <v>639587</v>
      </c>
      <c r="AH49" s="19" t="n">
        <v>963353</v>
      </c>
      <c r="AI49" s="19" t="n">
        <v>1497074</v>
      </c>
      <c r="AJ49" s="19" t="n">
        <v>2424480</v>
      </c>
      <c r="AK49" s="19" t="n">
        <v>3888273</v>
      </c>
      <c r="AL49" s="19" t="n">
        <v>6626619</v>
      </c>
      <c r="AM49" s="19" t="n">
        <v>2212510.26</v>
      </c>
      <c r="AN49" s="19" t="n">
        <v>8877697.42</v>
      </c>
      <c r="AO49" s="19" t="n">
        <v>8296913.48</v>
      </c>
      <c r="AP49" s="19" t="n">
        <v>887769.74</v>
      </c>
      <c r="AQ49" s="19" t="n">
        <v>829691.35</v>
      </c>
      <c r="AR49" s="19" t="n">
        <v>104918.24</v>
      </c>
      <c r="AS49" s="19" t="n">
        <v>0</v>
      </c>
      <c r="AT49" s="19" t="n">
        <v>443884.87</v>
      </c>
      <c r="AU49" s="19" t="n">
        <v>414845.67</v>
      </c>
      <c r="AV49" s="19" t="n">
        <v>58319.45</v>
      </c>
      <c r="AW49" s="19" t="n">
        <v>69833.46</v>
      </c>
      <c r="AX49" s="19" t="n">
        <v>37360.9</v>
      </c>
      <c r="AY49" s="19" t="n">
        <v>34916.73</v>
      </c>
      <c r="AZ49" s="19" t="n">
        <v>43305.84</v>
      </c>
      <c r="BA49" s="19" t="n">
        <v>0</v>
      </c>
      <c r="BB49" s="19" t="n">
        <v>639.83</v>
      </c>
      <c r="BC49" s="19" t="n">
        <v>0</v>
      </c>
      <c r="BD49" s="19" t="n">
        <v>211.37</v>
      </c>
      <c r="BE49" s="19" t="n">
        <v>0</v>
      </c>
      <c r="BF49" s="19" t="n">
        <f aca="false">SUM(BE49,BC49,BA49,AY49,AW49,AU49,AS49,AQ49,AO49)</f>
        <v>9646200.69</v>
      </c>
      <c r="BG49" s="19" t="n">
        <v>45342.29</v>
      </c>
      <c r="BH49" s="19" t="n">
        <v>29795.61</v>
      </c>
      <c r="BI49" s="19" t="n">
        <v>34247.49</v>
      </c>
      <c r="BJ49" s="19" t="n">
        <v>32007</v>
      </c>
      <c r="BK49" s="19" t="n">
        <v>24907.27</v>
      </c>
      <c r="BL49" s="19" t="n">
        <v>23277.82</v>
      </c>
      <c r="BM49" s="19" t="n">
        <v>69740.34</v>
      </c>
      <c r="BN49" s="19" t="n">
        <v>65177.89</v>
      </c>
      <c r="BO49" s="19" t="n">
        <v>3773.83</v>
      </c>
      <c r="BP49" s="19" t="n">
        <v>0</v>
      </c>
      <c r="BQ49" s="19" t="n">
        <v>373608.99</v>
      </c>
      <c r="BR49" s="19" t="n">
        <v>349167.28</v>
      </c>
      <c r="BS49" s="19" t="n">
        <v>14944.36</v>
      </c>
      <c r="BT49" s="19" t="n">
        <v>16294.47</v>
      </c>
      <c r="BU49" s="19" t="n">
        <v>221942.44</v>
      </c>
      <c r="BV49" s="19" t="n">
        <v>207422.84</v>
      </c>
      <c r="BW49" s="19" t="n">
        <v>20922.1</v>
      </c>
      <c r="BX49" s="19" t="n">
        <v>20368.09</v>
      </c>
      <c r="BY49" s="19" t="n">
        <v>95746.4</v>
      </c>
      <c r="BZ49" s="19" t="n">
        <v>67111.96</v>
      </c>
      <c r="CA49" s="19" t="n">
        <v>21793.86</v>
      </c>
      <c r="CB49" s="19" t="n">
        <v>20368.09</v>
      </c>
      <c r="CC49" s="19" t="n">
        <v>116217.13</v>
      </c>
      <c r="CD49" s="19" t="n">
        <v>124453.7</v>
      </c>
      <c r="CE49" s="19" t="n">
        <v>14204.32</v>
      </c>
      <c r="CF49" s="19" t="n">
        <v>13275.06</v>
      </c>
      <c r="CG49" s="19" t="n">
        <f aca="false">SUM(CF49,CD49,CB49,BZ49,BX49,BV49,BT49,BR49,BP49,BN49,BL49,BJ49,BH49)</f>
        <v>968719.81</v>
      </c>
      <c r="CH49" s="19" t="n">
        <f aca="false">CG49+BF49</f>
        <v>10614920.5</v>
      </c>
      <c r="CI49" s="19" t="n">
        <f aca="false">SUM(CE49,CC49,CA49,BY49,BW49,BU49,BS49,BQ49,BO49,BM49,BK49,BI49,BG49,BD49,BB49,AZ49,AX49,AV49,AT49,AR49,AP49,AN49)</f>
        <v>11511498.48</v>
      </c>
      <c r="CJ49" s="19" t="n">
        <f aca="false">CI49-CH49</f>
        <v>896577.979999999</v>
      </c>
      <c r="CK49" s="19" t="n">
        <f aca="false">IF(CE49-CF49+CC49-CD49+CA49-CB49+BU49-BV49+BK49-BL49+BI49-BJ49 &gt; 0, CE49-CF49+CC49-CD49+CA49-CB49+BU49-BV49+BK49-BL49+BI49-BJ49, "-")</f>
        <v>12508</v>
      </c>
      <c r="CL49" s="19" t="str">
        <f aca="false">IF(CJ49&lt;0,"⚠ Over Budget","✓ Within Budget")</f>
        <v>✓ Within Budget</v>
      </c>
      <c r="CM49" s="21"/>
    </row>
    <row r="50" customFormat="false" ht="14.25" hidden="false" customHeight="false" outlineLevel="0" collapsed="false">
      <c r="A50" s="22" t="s">
        <v>105</v>
      </c>
      <c r="B50" s="22" t="n">
        <v>2025</v>
      </c>
      <c r="C50" s="22" t="n">
        <v>57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57</v>
      </c>
      <c r="T50" s="22" t="n">
        <v>11</v>
      </c>
      <c r="U50" s="22" t="n">
        <v>46</v>
      </c>
      <c r="V50" s="22" t="n">
        <v>54</v>
      </c>
      <c r="W50" s="22" t="n">
        <v>3</v>
      </c>
      <c r="X50" s="22" t="n">
        <v>7</v>
      </c>
      <c r="Y50" s="22" t="n">
        <v>15</v>
      </c>
      <c r="Z50" s="22" t="n">
        <v>19</v>
      </c>
      <c r="AA50" s="22" t="n">
        <v>11</v>
      </c>
      <c r="AB50" s="22" t="n">
        <v>4</v>
      </c>
      <c r="AC50" s="22" t="n">
        <v>1</v>
      </c>
      <c r="AD50" s="23" t="n">
        <v>0</v>
      </c>
      <c r="AE50" s="23" t="n">
        <v>0</v>
      </c>
      <c r="AF50" s="24" t="n">
        <v>60.1</v>
      </c>
      <c r="AG50" s="25" t="n">
        <v>639587</v>
      </c>
      <c r="AH50" s="25" t="n">
        <v>963353</v>
      </c>
      <c r="AI50" s="25" t="n">
        <v>1497074</v>
      </c>
      <c r="AJ50" s="25" t="n">
        <v>2424480</v>
      </c>
      <c r="AK50" s="25" t="n">
        <v>3888273</v>
      </c>
      <c r="AL50" s="25" t="n">
        <v>6626619</v>
      </c>
      <c r="AM50" s="25" t="n">
        <v>2212510.26</v>
      </c>
      <c r="AN50" s="25" t="n">
        <v>8877697.42</v>
      </c>
      <c r="AO50" s="25" t="n">
        <v>8296913.48</v>
      </c>
      <c r="AP50" s="25" t="n">
        <v>887769.74</v>
      </c>
      <c r="AQ50" s="25" t="n">
        <v>829691.35</v>
      </c>
      <c r="AR50" s="25" t="n">
        <v>3873904.33</v>
      </c>
      <c r="AS50" s="25" t="n">
        <v>829691.35</v>
      </c>
      <c r="AT50" s="25" t="n">
        <v>443884.87</v>
      </c>
      <c r="AU50" s="25" t="n">
        <v>414845.67</v>
      </c>
      <c r="AV50" s="25" t="n">
        <v>51029.52</v>
      </c>
      <c r="AW50" s="25" t="n">
        <v>69833.46</v>
      </c>
      <c r="AX50" s="25" t="n">
        <v>37360.9</v>
      </c>
      <c r="AY50" s="25" t="n">
        <v>34916.73</v>
      </c>
      <c r="AZ50" s="25" t="n">
        <v>64958.76</v>
      </c>
      <c r="BA50" s="25" t="n">
        <v>0</v>
      </c>
      <c r="BB50" s="25" t="n">
        <v>639.83</v>
      </c>
      <c r="BC50" s="25" t="n">
        <v>0</v>
      </c>
      <c r="BD50" s="25" t="n">
        <v>211.37</v>
      </c>
      <c r="BE50" s="25" t="n">
        <v>0</v>
      </c>
      <c r="BF50" s="25" t="n">
        <f aca="false">SUM(BE50,BC50,BA50,AY50,AW50,AU50,AS50,AQ50,AO50)</f>
        <v>10475892.04</v>
      </c>
      <c r="BG50" s="25" t="n">
        <v>7438.97</v>
      </c>
      <c r="BH50" s="25" t="n">
        <v>13035.58</v>
      </c>
      <c r="BI50" s="25" t="n">
        <v>34247.49</v>
      </c>
      <c r="BJ50" s="25" t="n">
        <v>32007</v>
      </c>
      <c r="BK50" s="25" t="n">
        <v>24907.27</v>
      </c>
      <c r="BL50" s="25" t="n">
        <v>23277.82</v>
      </c>
      <c r="BM50" s="25" t="n">
        <v>69740.34</v>
      </c>
      <c r="BN50" s="25" t="n">
        <v>65177.89</v>
      </c>
      <c r="BO50" s="25" t="n">
        <v>3773.83</v>
      </c>
      <c r="BP50" s="25" t="n">
        <v>0</v>
      </c>
      <c r="BQ50" s="25" t="n">
        <v>373608.99</v>
      </c>
      <c r="BR50" s="25" t="n">
        <v>349167.28</v>
      </c>
      <c r="BS50" s="25" t="n">
        <v>13283.88</v>
      </c>
      <c r="BT50" s="25" t="n">
        <v>16294.47</v>
      </c>
      <c r="BU50" s="25" t="n">
        <v>221942.44</v>
      </c>
      <c r="BV50" s="25" t="n">
        <v>207422.84</v>
      </c>
      <c r="BW50" s="25" t="n">
        <v>10461.05</v>
      </c>
      <c r="BX50" s="25" t="n">
        <v>20368.09</v>
      </c>
      <c r="BY50" s="25" t="n">
        <v>105171.14</v>
      </c>
      <c r="BZ50" s="25" t="n">
        <v>73718.09</v>
      </c>
      <c r="CA50" s="25" t="n">
        <v>21793.86</v>
      </c>
      <c r="CB50" s="25" t="n">
        <v>20368.09</v>
      </c>
      <c r="CC50" s="25" t="n">
        <v>72635.71</v>
      </c>
      <c r="CD50" s="25" t="n">
        <v>124453.7</v>
      </c>
      <c r="CE50" s="25" t="n">
        <v>14204.32</v>
      </c>
      <c r="CF50" s="25" t="n">
        <v>13275.06</v>
      </c>
      <c r="CG50" s="25" t="n">
        <f aca="false">SUM(CF50,CD50,CB50,BZ50,BX50,BV50,BT50,BR50,BP50,BN50,BL50,BJ50,BH50)</f>
        <v>958565.91</v>
      </c>
      <c r="CH50" s="25" t="n">
        <f aca="false">CG50+BF50</f>
        <v>11434457.95</v>
      </c>
      <c r="CI50" s="25" t="n">
        <f aca="false">SUM(CE50,CC50,CA50,BY50,BW50,BU50,BS50,BQ50,BO50,BM50,BK50,BI50,BG50,BD50,BB50,AZ50,AX50,AV50,AT50,AR50,AP50,AN50)</f>
        <v>15210666.03</v>
      </c>
      <c r="CJ50" s="25" t="n">
        <f aca="false">CI50-CH50</f>
        <v>3776208.08</v>
      </c>
      <c r="CK50" s="25" t="str">
        <f aca="false">IF(CE50-CF50+CC50-CD50+CA50-CB50+BU50-BV50+BK50-BL50+BI50-BJ50 &gt; 0, CE50-CF50+CC50-CD50+CA50-CB50+BU50-BV50+BK50-BL50+BI50-BJ50, "-")</f>
        <v>-</v>
      </c>
      <c r="CL50" s="25" t="str">
        <f aca="false">IF(CJ50&lt;0,"⚠ Over Budget","✓ Within Budget")</f>
        <v>✓ Within Budget</v>
      </c>
      <c r="CM50" s="27"/>
    </row>
    <row r="51" customFormat="false" ht="14.25" hidden="false" customHeight="false" outlineLevel="0" collapsed="false">
      <c r="A51" s="28" t="s">
        <v>92</v>
      </c>
      <c r="B51" s="28" t="n">
        <v>2026</v>
      </c>
      <c r="C51" s="28" t="n">
        <v>57</v>
      </c>
      <c r="D51" s="28" t="n">
        <v>1</v>
      </c>
      <c r="E51" s="28" t="n">
        <v>1</v>
      </c>
      <c r="F51" s="28" t="n">
        <v>1</v>
      </c>
      <c r="G51" s="28" t="n">
        <v>0</v>
      </c>
      <c r="H51" s="28" t="n">
        <v>0</v>
      </c>
      <c r="I51" s="28" t="n">
        <v>0</v>
      </c>
      <c r="J51" s="28" t="n">
        <v>3</v>
      </c>
      <c r="K51" s="28" t="n">
        <v>1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1</v>
      </c>
      <c r="Q51" s="28" t="n">
        <v>1</v>
      </c>
      <c r="R51" s="28" t="n">
        <v>0</v>
      </c>
      <c r="S51" s="28" t="n">
        <v>59</v>
      </c>
      <c r="T51" s="28" t="n">
        <v>12</v>
      </c>
      <c r="U51" s="28" t="n">
        <v>47</v>
      </c>
      <c r="V51" s="28" t="n">
        <v>56</v>
      </c>
      <c r="W51" s="28" t="n">
        <v>3</v>
      </c>
      <c r="X51" s="28" t="n">
        <v>7</v>
      </c>
      <c r="Y51" s="28" t="n">
        <v>15</v>
      </c>
      <c r="Z51" s="28" t="n">
        <v>19</v>
      </c>
      <c r="AA51" s="28" t="n">
        <v>12</v>
      </c>
      <c r="AB51" s="28" t="n">
        <v>4</v>
      </c>
      <c r="AC51" s="28" t="n">
        <v>2</v>
      </c>
      <c r="AD51" s="29" t="n">
        <v>0.210526</v>
      </c>
      <c r="AE51" s="29" t="n">
        <v>0</v>
      </c>
      <c r="AF51" s="30" t="n">
        <v>60.5</v>
      </c>
      <c r="AG51" s="31" t="n">
        <v>639587</v>
      </c>
      <c r="AH51" s="31" t="n">
        <v>963353</v>
      </c>
      <c r="AI51" s="31" t="n">
        <v>1497074</v>
      </c>
      <c r="AJ51" s="31" t="n">
        <v>2424480</v>
      </c>
      <c r="AK51" s="31" t="n">
        <v>3888273</v>
      </c>
      <c r="AL51" s="31" t="n">
        <v>6626619</v>
      </c>
      <c r="AM51" s="31" t="n">
        <v>2137247.71</v>
      </c>
      <c r="AN51" s="31" t="n">
        <v>9337991.47</v>
      </c>
      <c r="AO51" s="31" t="n">
        <v>9724662.54</v>
      </c>
      <c r="AP51" s="31" t="n">
        <v>933799.15</v>
      </c>
      <c r="AQ51" s="31" t="n">
        <v>872709.48</v>
      </c>
      <c r="AR51" s="31" t="n">
        <v>152803.5</v>
      </c>
      <c r="AS51" s="31" t="n">
        <v>523625.69</v>
      </c>
      <c r="AT51" s="31" t="n">
        <v>466899.57</v>
      </c>
      <c r="AU51" s="31" t="n">
        <v>436354.74</v>
      </c>
      <c r="AV51" s="31" t="n">
        <v>61343.22</v>
      </c>
      <c r="AW51" s="31" t="n">
        <v>73454.21</v>
      </c>
      <c r="AX51" s="31" t="n">
        <v>39298</v>
      </c>
      <c r="AY51" s="31" t="n">
        <v>36727.1</v>
      </c>
      <c r="AZ51" s="31" t="n">
        <v>22775.59</v>
      </c>
      <c r="BA51" s="31" t="n">
        <v>0</v>
      </c>
      <c r="BB51" s="31" t="n">
        <v>37084.14</v>
      </c>
      <c r="BC51" s="31" t="n">
        <v>1769475.24</v>
      </c>
      <c r="BD51" s="31" t="n">
        <v>490.04</v>
      </c>
      <c r="BE51" s="31" t="n">
        <v>0</v>
      </c>
      <c r="BF51" s="31" t="n">
        <f aca="false">SUM(BE51,BC51,BA51,AY51,AW51,AU51,AS51,AQ51,AO51)</f>
        <v>13437009</v>
      </c>
      <c r="BG51" s="31" t="n">
        <v>5216.45</v>
      </c>
      <c r="BH51" s="31" t="n">
        <v>13711.45</v>
      </c>
      <c r="BI51" s="31" t="n">
        <v>36023.17</v>
      </c>
      <c r="BJ51" s="31" t="n">
        <v>33666.51</v>
      </c>
      <c r="BK51" s="31" t="n">
        <v>26198.67</v>
      </c>
      <c r="BL51" s="31" t="n">
        <v>24484.74</v>
      </c>
      <c r="BM51" s="31" t="n">
        <v>73356.27</v>
      </c>
      <c r="BN51" s="31" t="n">
        <v>68557.26</v>
      </c>
      <c r="BO51" s="31" t="n">
        <v>153109.09</v>
      </c>
      <c r="BP51" s="31" t="n">
        <v>927381.59</v>
      </c>
      <c r="BQ51" s="31" t="n">
        <v>390975</v>
      </c>
      <c r="BR51" s="31" t="n">
        <v>365397.2</v>
      </c>
      <c r="BS51" s="31" t="n">
        <v>15639</v>
      </c>
      <c r="BT51" s="31" t="n">
        <v>17051.87</v>
      </c>
      <c r="BU51" s="31" t="n">
        <v>233449.79</v>
      </c>
      <c r="BV51" s="31" t="n">
        <v>218177.37</v>
      </c>
      <c r="BW51" s="31" t="n">
        <v>11003.44</v>
      </c>
      <c r="BX51" s="31" t="n">
        <v>21424.14</v>
      </c>
      <c r="BY51" s="31" t="n">
        <v>11643.85</v>
      </c>
      <c r="BZ51" s="31" t="n">
        <v>24484.74</v>
      </c>
      <c r="CA51" s="31" t="n">
        <v>22923.83</v>
      </c>
      <c r="CB51" s="31" t="n">
        <v>21424.14</v>
      </c>
      <c r="CC51" s="31" t="n">
        <v>76401.75</v>
      </c>
      <c r="CD51" s="31" t="n">
        <v>130906.42</v>
      </c>
      <c r="CE51" s="31" t="n">
        <v>14940.79</v>
      </c>
      <c r="CF51" s="31" t="n">
        <v>13963.35</v>
      </c>
      <c r="CG51" s="31" t="n">
        <f aca="false">SUM(CF51,CD51,CB51,BZ51,BX51,BV51,BT51,BR51,BP51,BN51,BL51,BJ51,BH51)</f>
        <v>1880630.78</v>
      </c>
      <c r="CH51" s="31" t="n">
        <f aca="false">CG51+BF51</f>
        <v>15317639.78</v>
      </c>
      <c r="CI51" s="31" t="n">
        <f aca="false">SUM(CE51,CC51,CA51,BY51,BW51,BU51,BS51,BQ51,BO51,BM51,BK51,BI51,BG51,BD51,BB51,AZ51,AX51,AV51,AT51,AR51,AP51,AN51)</f>
        <v>12123365.78</v>
      </c>
      <c r="CJ51" s="31" t="n">
        <f aca="false">CI51-CH51</f>
        <v>-3194274</v>
      </c>
      <c r="CK51" s="31" t="str">
        <f aca="false">IF(CE51-CF51+CC51-CD51+CA51-CB51+BU51-BV51+BK51-BL51+BI51-BJ51 &gt; 0, CE51-CF51+CC51-CD51+CA51-CB51+BU51-BV51+BK51-BL51+BI51-BJ51, "-")</f>
        <v>-</v>
      </c>
      <c r="CL51" s="31" t="str">
        <f aca="false">IF(CJ51&lt;0,"⚠ Over Budget","✓ Within Budget")</f>
        <v>⚠ Over Budget</v>
      </c>
      <c r="CM51" s="33" t="s">
        <v>106</v>
      </c>
    </row>
    <row r="52" customFormat="false" ht="14.25" hidden="false" customHeight="false" outlineLevel="0" collapsed="false">
      <c r="A52" s="22" t="s">
        <v>93</v>
      </c>
      <c r="B52" s="22" t="n">
        <v>2026</v>
      </c>
      <c r="C52" s="22" t="n">
        <v>59</v>
      </c>
      <c r="D52" s="22" t="n">
        <v>0</v>
      </c>
      <c r="E52" s="22" t="n">
        <v>1</v>
      </c>
      <c r="F52" s="22" t="n">
        <v>1</v>
      </c>
      <c r="G52" s="22" t="n">
        <v>0</v>
      </c>
      <c r="H52" s="22" t="n">
        <v>0</v>
      </c>
      <c r="I52" s="22" t="n">
        <v>0</v>
      </c>
      <c r="J52" s="22" t="n">
        <v>2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1</v>
      </c>
      <c r="S52" s="22" t="n">
        <v>60</v>
      </c>
      <c r="T52" s="22" t="n">
        <v>12</v>
      </c>
      <c r="U52" s="22" t="n">
        <v>48</v>
      </c>
      <c r="V52" s="22" t="n">
        <v>57</v>
      </c>
      <c r="W52" s="22" t="n">
        <v>3</v>
      </c>
      <c r="X52" s="22" t="n">
        <v>7</v>
      </c>
      <c r="Y52" s="22" t="n">
        <v>16</v>
      </c>
      <c r="Z52" s="22" t="n">
        <v>20</v>
      </c>
      <c r="AA52" s="22" t="n">
        <v>12</v>
      </c>
      <c r="AB52" s="22" t="n">
        <v>4</v>
      </c>
      <c r="AC52" s="22" t="n">
        <v>1</v>
      </c>
      <c r="AD52" s="23" t="n">
        <v>0</v>
      </c>
      <c r="AE52" s="23" t="n">
        <v>0</v>
      </c>
      <c r="AF52" s="24" t="n">
        <v>60.8</v>
      </c>
      <c r="AG52" s="25" t="n">
        <v>639587</v>
      </c>
      <c r="AH52" s="25" t="n">
        <v>963353</v>
      </c>
      <c r="AI52" s="25" t="n">
        <v>1497074</v>
      </c>
      <c r="AJ52" s="25" t="n">
        <v>2424480</v>
      </c>
      <c r="AK52" s="25" t="n">
        <v>3888273</v>
      </c>
      <c r="AL52" s="25" t="n">
        <v>6626619</v>
      </c>
      <c r="AM52" s="25" t="n">
        <v>2137247.71</v>
      </c>
      <c r="AN52" s="25" t="n">
        <v>9719133.98</v>
      </c>
      <c r="AO52" s="25" t="n">
        <v>9083302.78</v>
      </c>
      <c r="AP52" s="25" t="n">
        <v>971913.4</v>
      </c>
      <c r="AQ52" s="25" t="n">
        <v>908330.28</v>
      </c>
      <c r="AR52" s="25" t="n">
        <v>26506.73</v>
      </c>
      <c r="AS52" s="25" t="n">
        <v>0</v>
      </c>
      <c r="AT52" s="25" t="n">
        <v>485956.7</v>
      </c>
      <c r="AU52" s="25" t="n">
        <v>454165.14</v>
      </c>
      <c r="AV52" s="25" t="n">
        <v>63847.02</v>
      </c>
      <c r="AW52" s="25" t="n">
        <v>76452.34</v>
      </c>
      <c r="AX52" s="25" t="n">
        <v>40902</v>
      </c>
      <c r="AY52" s="25" t="n">
        <v>38226.17</v>
      </c>
      <c r="AZ52" s="25" t="n">
        <v>23705.2</v>
      </c>
      <c r="BA52" s="25" t="n">
        <v>0</v>
      </c>
      <c r="BB52" s="25" t="n">
        <v>37084.14</v>
      </c>
      <c r="BC52" s="25" t="n">
        <v>35620.8</v>
      </c>
      <c r="BD52" s="25" t="n">
        <v>612.55</v>
      </c>
      <c r="BE52" s="25" t="n">
        <v>0</v>
      </c>
      <c r="BF52" s="25" t="n">
        <f aca="false">SUM(BE52,BC52,BA52,AY52,AW52,AU52,AS52,AQ52,AO52)</f>
        <v>10596097.51</v>
      </c>
      <c r="BG52" s="25" t="n">
        <v>5429.36</v>
      </c>
      <c r="BH52" s="25" t="n">
        <v>14271.1</v>
      </c>
      <c r="BI52" s="25" t="n">
        <v>37493.5</v>
      </c>
      <c r="BJ52" s="25" t="n">
        <v>35040.65</v>
      </c>
      <c r="BK52" s="25" t="n">
        <v>27268</v>
      </c>
      <c r="BL52" s="25" t="n">
        <v>25484.11</v>
      </c>
      <c r="BM52" s="25" t="n">
        <v>76350.4</v>
      </c>
      <c r="BN52" s="25" t="n">
        <v>71355.51</v>
      </c>
      <c r="BO52" s="25" t="n">
        <v>51036.36</v>
      </c>
      <c r="BP52" s="25" t="n">
        <v>87445.48</v>
      </c>
      <c r="BQ52" s="25" t="n">
        <v>411025</v>
      </c>
      <c r="BR52" s="25" t="n">
        <v>384135.51</v>
      </c>
      <c r="BS52" s="25" t="n">
        <v>16441</v>
      </c>
      <c r="BT52" s="25" t="n">
        <v>17926.32</v>
      </c>
      <c r="BU52" s="25" t="n">
        <v>242978.35</v>
      </c>
      <c r="BV52" s="25" t="n">
        <v>227082.57</v>
      </c>
      <c r="BW52" s="25" t="n">
        <v>11452.56</v>
      </c>
      <c r="BX52" s="25" t="n">
        <v>22298.6</v>
      </c>
      <c r="BY52" s="25" t="n">
        <v>12119.11</v>
      </c>
      <c r="BZ52" s="25" t="n">
        <v>25484.11</v>
      </c>
      <c r="CA52" s="25" t="n">
        <v>23859.5</v>
      </c>
      <c r="CB52" s="25" t="n">
        <v>22298.6</v>
      </c>
      <c r="CC52" s="25" t="n">
        <v>79520.19</v>
      </c>
      <c r="CD52" s="25" t="n">
        <v>136249.54</v>
      </c>
      <c r="CE52" s="25" t="n">
        <v>15550.61</v>
      </c>
      <c r="CF52" s="25" t="n">
        <v>14533.28</v>
      </c>
      <c r="CG52" s="25" t="n">
        <f aca="false">SUM(CF52,CD52,CB52,BZ52,BX52,BV52,BT52,BR52,BP52,BN52,BL52,BJ52,BH52)</f>
        <v>1083605.38</v>
      </c>
      <c r="CH52" s="25" t="n">
        <f aca="false">CG52+BF52</f>
        <v>11679702.89</v>
      </c>
      <c r="CI52" s="25" t="n">
        <f aca="false">SUM(CE52,CC52,CA52,BY52,BW52,BU52,BS52,BQ52,BO52,BM52,BK52,BI52,BG52,BD52,BB52,AZ52,AX52,AV52,AT52,AR52,AP52,AN52)</f>
        <v>12380185.66</v>
      </c>
      <c r="CJ52" s="25" t="n">
        <f aca="false">CI52-CH52</f>
        <v>700482.77</v>
      </c>
      <c r="CK52" s="25" t="str">
        <f aca="false">IF(CE52-CF52+CC52-CD52+CA52-CB52+BU52-BV52+BK52-BL52+BI52-BJ52 &gt; 0, CE52-CF52+CC52-CD52+CA52-CB52+BU52-BV52+BK52-BL52+BI52-BJ52, "-")</f>
        <v>-</v>
      </c>
      <c r="CL52" s="25" t="str">
        <f aca="false">IF(CJ52&lt;0,"⚠ Over Budget","✓ Within Budget")</f>
        <v>✓ Within Budget</v>
      </c>
      <c r="CM52" s="27"/>
    </row>
    <row r="53" customFormat="false" ht="18.75" hidden="false" customHeight="true" outlineLevel="0" collapsed="false">
      <c r="A53" s="28" t="s">
        <v>94</v>
      </c>
      <c r="B53" s="28" t="n">
        <v>2026</v>
      </c>
      <c r="C53" s="28" t="n">
        <v>60</v>
      </c>
      <c r="D53" s="28" t="n">
        <v>0</v>
      </c>
      <c r="E53" s="28" t="n">
        <v>1</v>
      </c>
      <c r="F53" s="28" t="n">
        <v>1</v>
      </c>
      <c r="G53" s="28" t="n">
        <v>0</v>
      </c>
      <c r="H53" s="28" t="n">
        <v>0</v>
      </c>
      <c r="I53" s="28" t="n">
        <v>0</v>
      </c>
      <c r="J53" s="28" t="n">
        <v>2</v>
      </c>
      <c r="K53" s="28" t="n">
        <v>1</v>
      </c>
      <c r="L53" s="28" t="n">
        <v>1</v>
      </c>
      <c r="M53" s="28" t="n">
        <v>0</v>
      </c>
      <c r="N53" s="28" t="n">
        <v>0</v>
      </c>
      <c r="O53" s="28" t="n">
        <v>0</v>
      </c>
      <c r="P53" s="28" t="n">
        <v>1</v>
      </c>
      <c r="Q53" s="28" t="n">
        <v>2</v>
      </c>
      <c r="R53" s="28" t="n">
        <v>0</v>
      </c>
      <c r="S53" s="28" t="n">
        <v>60</v>
      </c>
      <c r="T53" s="28" t="n">
        <v>12</v>
      </c>
      <c r="U53" s="28" t="n">
        <v>48</v>
      </c>
      <c r="V53" s="28" t="n">
        <v>57</v>
      </c>
      <c r="W53" s="28" t="n">
        <v>3</v>
      </c>
      <c r="X53" s="28" t="n">
        <v>7</v>
      </c>
      <c r="Y53" s="28" t="n">
        <v>16</v>
      </c>
      <c r="Z53" s="28" t="n">
        <v>20</v>
      </c>
      <c r="AA53" s="28" t="n">
        <v>12</v>
      </c>
      <c r="AB53" s="28" t="n">
        <v>4</v>
      </c>
      <c r="AC53" s="28" t="n">
        <v>1</v>
      </c>
      <c r="AD53" s="29" t="n">
        <v>0.4</v>
      </c>
      <c r="AE53" s="29" t="n">
        <v>0</v>
      </c>
      <c r="AF53" s="30" t="n">
        <v>61.2</v>
      </c>
      <c r="AG53" s="31" t="n">
        <v>639587</v>
      </c>
      <c r="AH53" s="31" t="n">
        <v>963353</v>
      </c>
      <c r="AI53" s="31" t="n">
        <v>1497074</v>
      </c>
      <c r="AJ53" s="31" t="n">
        <v>2424480</v>
      </c>
      <c r="AK53" s="31" t="n">
        <v>3888273</v>
      </c>
      <c r="AL53" s="31" t="n">
        <v>6626619</v>
      </c>
      <c r="AM53" s="31" t="n">
        <v>2137247.71</v>
      </c>
      <c r="AN53" s="31" t="n">
        <v>9337991.47</v>
      </c>
      <c r="AO53" s="31" t="n">
        <v>9687306.73</v>
      </c>
      <c r="AP53" s="31" t="n">
        <v>933799.15</v>
      </c>
      <c r="AQ53" s="31" t="n">
        <v>872709.48</v>
      </c>
      <c r="AR53" s="31" t="n">
        <v>42445.42</v>
      </c>
      <c r="AS53" s="31" t="n">
        <v>960211.9</v>
      </c>
      <c r="AT53" s="31" t="n">
        <v>466899.57</v>
      </c>
      <c r="AU53" s="31" t="n">
        <v>436354.74</v>
      </c>
      <c r="AV53" s="31" t="n">
        <v>57509.27</v>
      </c>
      <c r="AW53" s="31" t="n">
        <v>55090.65</v>
      </c>
      <c r="AX53" s="31" t="n">
        <v>39298</v>
      </c>
      <c r="AY53" s="31" t="n">
        <v>36727.1</v>
      </c>
      <c r="AZ53" s="31" t="n">
        <v>72881.88</v>
      </c>
      <c r="BA53" s="31" t="n">
        <v>0</v>
      </c>
      <c r="BB53" s="31" t="n">
        <v>3090.34</v>
      </c>
      <c r="BC53" s="31" t="n">
        <v>0</v>
      </c>
      <c r="BD53" s="31" t="n">
        <v>612.55</v>
      </c>
      <c r="BE53" s="31" t="n">
        <v>0</v>
      </c>
      <c r="BF53" s="31" t="n">
        <f aca="false">SUM(BE53,BC53,BA53,AY53,AW53,AU53,AS53,AQ53,AO53)</f>
        <v>12048400.6</v>
      </c>
      <c r="BG53" s="31" t="n">
        <v>5216.45</v>
      </c>
      <c r="BH53" s="31" t="n">
        <v>13711.45</v>
      </c>
      <c r="BI53" s="31" t="n">
        <v>36023.17</v>
      </c>
      <c r="BJ53" s="31" t="n">
        <v>33666.51</v>
      </c>
      <c r="BK53" s="31" t="n">
        <v>26198.67</v>
      </c>
      <c r="BL53" s="31" t="n">
        <v>24484.74</v>
      </c>
      <c r="BM53" s="31" t="n">
        <v>73356.27</v>
      </c>
      <c r="BN53" s="31" t="n">
        <v>68557.26</v>
      </c>
      <c r="BO53" s="31" t="n">
        <v>3645.45</v>
      </c>
      <c r="BP53" s="31" t="n">
        <v>0</v>
      </c>
      <c r="BQ53" s="31" t="n">
        <v>390975</v>
      </c>
      <c r="BR53" s="31" t="n">
        <v>365397.2</v>
      </c>
      <c r="BS53" s="31" t="n">
        <v>17376.67</v>
      </c>
      <c r="BT53" s="31" t="n">
        <v>17051.87</v>
      </c>
      <c r="BU53" s="31" t="n">
        <v>233449.79</v>
      </c>
      <c r="BV53" s="31" t="n">
        <v>218177.37</v>
      </c>
      <c r="BW53" s="31" t="n">
        <v>11003.44</v>
      </c>
      <c r="BX53" s="31" t="n">
        <v>21424.14</v>
      </c>
      <c r="BY53" s="31" t="n">
        <v>70608.96</v>
      </c>
      <c r="BZ53" s="31" t="n">
        <v>61865.32</v>
      </c>
      <c r="CA53" s="31" t="n">
        <v>22923.83</v>
      </c>
      <c r="CB53" s="31" t="n">
        <v>21424.14</v>
      </c>
      <c r="CC53" s="31" t="n">
        <v>931105.29</v>
      </c>
      <c r="CD53" s="31" t="n">
        <v>1599352.88</v>
      </c>
      <c r="CE53" s="31" t="n">
        <v>14940.79</v>
      </c>
      <c r="CF53" s="31" t="n">
        <v>13963.35</v>
      </c>
      <c r="CG53" s="31" t="n">
        <f aca="false">SUM(CF53,CD53,CB53,BZ53,BX53,BV53,BT53,BR53,BP53,BN53,BL53,BJ53,BH53)</f>
        <v>2459076.23</v>
      </c>
      <c r="CH53" s="31" t="n">
        <f aca="false">CG53+BF53</f>
        <v>14507476.83</v>
      </c>
      <c r="CI53" s="31" t="n">
        <f aca="false">SUM(CE53,CC53,CA53,BY53,BW53,BU53,BS53,BQ53,BO53,BM53,BK53,BI53,BG53,BD53,BB53,AZ53,AX53,AV53,AT53,AR53,AP53,AN53)</f>
        <v>12791351.43</v>
      </c>
      <c r="CJ53" s="31" t="n">
        <f aca="false">CI53-CH53</f>
        <v>-1716125.4</v>
      </c>
      <c r="CK53" s="31" t="str">
        <f aca="false">IF(CE53-CF53+CC53-CD53+CA53-CB53+BU53-BV53+BK53-BL53+BI53-BJ53 &gt; 0, CE53-CF53+CC53-CD53+CA53-CB53+BU53-BV53+BK53-BL53+BI53-BJ53, "-")</f>
        <v>-</v>
      </c>
      <c r="CL53" s="31" t="str">
        <f aca="false">IF(CJ53&lt;0,"⚠ Over Budget","✓ Within Budget")</f>
        <v>⚠ Over Budget</v>
      </c>
      <c r="CM53" s="33" t="s">
        <v>112</v>
      </c>
    </row>
    <row r="54" customFormat="false" ht="18.75" hidden="false" customHeight="true" outlineLevel="0" collapsed="false">
      <c r="A54" s="28" t="s">
        <v>96</v>
      </c>
      <c r="B54" s="28" t="n">
        <v>2026</v>
      </c>
      <c r="C54" s="28" t="n">
        <v>60</v>
      </c>
      <c r="D54" s="28" t="n">
        <v>0</v>
      </c>
      <c r="E54" s="28" t="n">
        <v>0</v>
      </c>
      <c r="F54" s="28" t="n">
        <v>0</v>
      </c>
      <c r="G54" s="28" t="n">
        <v>0</v>
      </c>
      <c r="H54" s="28" t="n">
        <v>0</v>
      </c>
      <c r="I54" s="28" t="n">
        <v>0</v>
      </c>
      <c r="J54" s="28" t="n">
        <v>0</v>
      </c>
      <c r="K54" s="28" t="n">
        <v>0</v>
      </c>
      <c r="L54" s="28" t="n">
        <v>0</v>
      </c>
      <c r="M54" s="28" t="n">
        <v>0</v>
      </c>
      <c r="N54" s="28" t="n">
        <v>0</v>
      </c>
      <c r="O54" s="28" t="n">
        <v>0</v>
      </c>
      <c r="P54" s="28" t="n">
        <v>0</v>
      </c>
      <c r="Q54" s="28" t="n">
        <v>0</v>
      </c>
      <c r="R54" s="28" t="n">
        <v>0</v>
      </c>
      <c r="S54" s="28" t="n">
        <v>60</v>
      </c>
      <c r="T54" s="28" t="n">
        <v>12</v>
      </c>
      <c r="U54" s="28" t="n">
        <v>48</v>
      </c>
      <c r="V54" s="28" t="n">
        <v>57</v>
      </c>
      <c r="W54" s="28" t="n">
        <v>3</v>
      </c>
      <c r="X54" s="28" t="n">
        <v>7</v>
      </c>
      <c r="Y54" s="28" t="n">
        <v>16</v>
      </c>
      <c r="Z54" s="28" t="n">
        <v>20</v>
      </c>
      <c r="AA54" s="28" t="n">
        <v>12</v>
      </c>
      <c r="AB54" s="28" t="n">
        <v>4</v>
      </c>
      <c r="AC54" s="28" t="n">
        <v>1</v>
      </c>
      <c r="AD54" s="29" t="n">
        <v>0</v>
      </c>
      <c r="AE54" s="29" t="n">
        <v>0.0990218577578437</v>
      </c>
      <c r="AF54" s="30" t="n">
        <v>61.5</v>
      </c>
      <c r="AG54" s="31" t="n">
        <v>717467</v>
      </c>
      <c r="AH54" s="31" t="n">
        <v>1070375</v>
      </c>
      <c r="AI54" s="31" t="n">
        <v>1637258</v>
      </c>
      <c r="AJ54" s="31" t="n">
        <v>2631831</v>
      </c>
      <c r="AK54" s="31" t="n">
        <v>4217134</v>
      </c>
      <c r="AL54" s="31" t="n">
        <v>7156528</v>
      </c>
      <c r="AM54" s="31" t="n">
        <v>2335275.12</v>
      </c>
      <c r="AN54" s="31" t="n">
        <v>10203206.2</v>
      </c>
      <c r="AO54" s="31" t="n">
        <v>11078861.01</v>
      </c>
      <c r="AP54" s="31" t="n">
        <v>1020320.62</v>
      </c>
      <c r="AQ54" s="31" t="n">
        <v>953570.67</v>
      </c>
      <c r="AR54" s="31" t="n">
        <v>519435.95</v>
      </c>
      <c r="AS54" s="31" t="n">
        <v>667499.47</v>
      </c>
      <c r="AT54" s="31" t="n">
        <v>510160.31</v>
      </c>
      <c r="AU54" s="31" t="n">
        <v>476785.34</v>
      </c>
      <c r="AV54" s="31" t="n">
        <v>69011.12</v>
      </c>
      <c r="AW54" s="31" t="n">
        <v>55090.65</v>
      </c>
      <c r="AX54" s="31" t="n">
        <v>39298</v>
      </c>
      <c r="AY54" s="31" t="n">
        <v>36727.1</v>
      </c>
      <c r="AZ54" s="31" t="n">
        <v>99543.48</v>
      </c>
      <c r="BA54" s="31" t="n">
        <v>0</v>
      </c>
      <c r="BB54" s="31" t="n">
        <v>3376.68</v>
      </c>
      <c r="BC54" s="31" t="n">
        <v>0</v>
      </c>
      <c r="BD54" s="31" t="n">
        <v>223.1</v>
      </c>
      <c r="BE54" s="31" t="n">
        <v>0</v>
      </c>
      <c r="BF54" s="31" t="n">
        <f aca="false">SUM(BE54,BC54,BA54,AY54,AW54,AU54,AS54,AQ54,AO54)</f>
        <v>13268534.24</v>
      </c>
      <c r="BG54" s="31" t="n">
        <v>90169.99</v>
      </c>
      <c r="BH54" s="31" t="n">
        <v>43093.13</v>
      </c>
      <c r="BI54" s="31" t="n">
        <v>36023.17</v>
      </c>
      <c r="BJ54" s="31" t="n">
        <v>33666.51</v>
      </c>
      <c r="BK54" s="31" t="n">
        <v>26198.67</v>
      </c>
      <c r="BL54" s="31" t="n">
        <v>24484.74</v>
      </c>
      <c r="BM54" s="31" t="n">
        <v>73356.27</v>
      </c>
      <c r="BN54" s="31" t="n">
        <v>68557.26</v>
      </c>
      <c r="BO54" s="31" t="n">
        <v>18227.27</v>
      </c>
      <c r="BP54" s="31" t="n">
        <v>1322703.67</v>
      </c>
      <c r="BQ54" s="31" t="n">
        <v>390975</v>
      </c>
      <c r="BR54" s="31" t="n">
        <v>365397.2</v>
      </c>
      <c r="BS54" s="31" t="n">
        <v>17376.67</v>
      </c>
      <c r="BT54" s="31" t="n">
        <v>17051.87</v>
      </c>
      <c r="BU54" s="31" t="n">
        <v>255080.16</v>
      </c>
      <c r="BV54" s="31" t="n">
        <v>238392.67</v>
      </c>
      <c r="BW54" s="31" t="n">
        <v>44013.76</v>
      </c>
      <c r="BX54" s="31" t="n">
        <v>21424.14</v>
      </c>
      <c r="BY54" s="31" t="n">
        <v>11643.85</v>
      </c>
      <c r="BZ54" s="31" t="n">
        <v>24484.74</v>
      </c>
      <c r="CA54" s="31" t="n">
        <v>22923.83</v>
      </c>
      <c r="CB54" s="31" t="n">
        <v>21424.14</v>
      </c>
      <c r="CC54" s="31" t="n">
        <v>1177011.71</v>
      </c>
      <c r="CD54" s="31" t="n">
        <v>1946491.62</v>
      </c>
      <c r="CE54" s="31" t="n">
        <v>16325.13</v>
      </c>
      <c r="CF54" s="31" t="n">
        <v>15257.13</v>
      </c>
      <c r="CG54" s="31" t="n">
        <f aca="false">SUM(CF54,CD54,CB54,BZ54,BX54,BV54,BT54,BR54,BP54,BN54,BL54,BJ54,BH54)</f>
        <v>4142428.82</v>
      </c>
      <c r="CH54" s="31" t="n">
        <f aca="false">CG54+BF54</f>
        <v>17410963.06</v>
      </c>
      <c r="CI54" s="31" t="n">
        <f aca="false">SUM(CE54,CC54,CA54,BY54,BW54,BU54,BS54,BQ54,BO54,BM54,BK54,BI54,BG54,BD54,BB54,AZ54,AX54,AV54,AT54,AR54,AP54,AN54)</f>
        <v>14643900.94</v>
      </c>
      <c r="CJ54" s="31" t="n">
        <f aca="false">CI54-CH54</f>
        <v>-2767062.12</v>
      </c>
      <c r="CK54" s="31" t="str">
        <f aca="false">IF(CE54-CF54+CC54-CD54+CA54-CB54+BU54-BV54+BK54-BL54+BI54-BJ54 &gt; 0, CE54-CF54+CC54-CD54+CA54-CB54+BU54-BV54+BK54-BL54+BI54-BJ54, "-")</f>
        <v>-</v>
      </c>
      <c r="CL54" s="31" t="str">
        <f aca="false">IF(CJ54&lt;0,"⚠ Over Budget","✓ Within Budget")</f>
        <v>⚠ Over Budget</v>
      </c>
      <c r="CM54" s="33" t="s">
        <v>97</v>
      </c>
    </row>
    <row r="55" customFormat="false" ht="14.25" hidden="false" customHeight="false" outlineLevel="0" collapsed="false">
      <c r="A55" s="16" t="s">
        <v>98</v>
      </c>
      <c r="B55" s="16" t="n">
        <v>2026</v>
      </c>
      <c r="C55" s="16" t="n">
        <v>60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60</v>
      </c>
      <c r="T55" s="16" t="n">
        <v>12</v>
      </c>
      <c r="U55" s="16" t="n">
        <v>48</v>
      </c>
      <c r="V55" s="16" t="n">
        <v>57</v>
      </c>
      <c r="W55" s="16" t="n">
        <v>3</v>
      </c>
      <c r="X55" s="16" t="n">
        <v>7</v>
      </c>
      <c r="Y55" s="16" t="n">
        <v>16</v>
      </c>
      <c r="Z55" s="16" t="n">
        <v>20</v>
      </c>
      <c r="AA55" s="16" t="n">
        <v>12</v>
      </c>
      <c r="AB55" s="16" t="n">
        <v>4</v>
      </c>
      <c r="AC55" s="16" t="n">
        <v>1</v>
      </c>
      <c r="AD55" s="17" t="n">
        <v>0</v>
      </c>
      <c r="AE55" s="17" t="n">
        <v>0</v>
      </c>
      <c r="AF55" s="18" t="n">
        <v>61.8</v>
      </c>
      <c r="AG55" s="19" t="n">
        <v>717467</v>
      </c>
      <c r="AH55" s="19" t="n">
        <v>1070375</v>
      </c>
      <c r="AI55" s="19" t="n">
        <v>1637258</v>
      </c>
      <c r="AJ55" s="19" t="n">
        <v>2631831</v>
      </c>
      <c r="AK55" s="19" t="n">
        <v>4217134</v>
      </c>
      <c r="AL55" s="19" t="n">
        <v>7156528</v>
      </c>
      <c r="AM55" s="19" t="n">
        <v>2335275.12</v>
      </c>
      <c r="AN55" s="19" t="n">
        <v>10203206.2</v>
      </c>
      <c r="AO55" s="19" t="n">
        <v>9535706.73</v>
      </c>
      <c r="AP55" s="19" t="n">
        <v>1020320.62</v>
      </c>
      <c r="AQ55" s="19" t="n">
        <v>953570.67</v>
      </c>
      <c r="AR55" s="19" t="n">
        <v>37102.57</v>
      </c>
      <c r="AS55" s="19" t="n">
        <v>0</v>
      </c>
      <c r="AT55" s="19" t="n">
        <v>510160.31</v>
      </c>
      <c r="AU55" s="19" t="n">
        <v>476785.34</v>
      </c>
      <c r="AV55" s="19" t="n">
        <v>74762.05</v>
      </c>
      <c r="AW55" s="19" t="n">
        <v>55090.65</v>
      </c>
      <c r="AX55" s="19" t="n">
        <v>39298</v>
      </c>
      <c r="AY55" s="19" t="n">
        <v>36727.1</v>
      </c>
      <c r="AZ55" s="19" t="n">
        <v>29863.04</v>
      </c>
      <c r="BA55" s="19" t="n">
        <v>0</v>
      </c>
      <c r="BB55" s="19" t="n">
        <v>1350.67</v>
      </c>
      <c r="BC55" s="19" t="n">
        <v>0</v>
      </c>
      <c r="BD55" s="19" t="n">
        <v>223.1</v>
      </c>
      <c r="BE55" s="19" t="n">
        <v>0</v>
      </c>
      <c r="BF55" s="19" t="n">
        <f aca="false">SUM(BE55,BC55,BA55,AY55,AW55,AU55,AS55,AQ55,AO55)</f>
        <v>11057880.49</v>
      </c>
      <c r="BG55" s="19" t="n">
        <v>60361.73</v>
      </c>
      <c r="BH55" s="19" t="n">
        <v>35258.02</v>
      </c>
      <c r="BI55" s="19" t="n">
        <v>36023.17</v>
      </c>
      <c r="BJ55" s="19" t="n">
        <v>33666.51</v>
      </c>
      <c r="BK55" s="19" t="n">
        <v>26198.67</v>
      </c>
      <c r="BL55" s="19" t="n">
        <v>24484.74</v>
      </c>
      <c r="BM55" s="19" t="n">
        <v>73356.27</v>
      </c>
      <c r="BN55" s="19" t="n">
        <v>68557.26</v>
      </c>
      <c r="BO55" s="19" t="n">
        <v>7290.91</v>
      </c>
      <c r="BP55" s="19" t="n">
        <v>0</v>
      </c>
      <c r="BQ55" s="19" t="n">
        <v>390975</v>
      </c>
      <c r="BR55" s="19" t="n">
        <v>365397.2</v>
      </c>
      <c r="BS55" s="19" t="n">
        <v>19114.33</v>
      </c>
      <c r="BT55" s="19" t="n">
        <v>17051.87</v>
      </c>
      <c r="BU55" s="19" t="n">
        <v>255080.16</v>
      </c>
      <c r="BV55" s="19" t="n">
        <v>238392.67</v>
      </c>
      <c r="BW55" s="19" t="n">
        <v>33010.32</v>
      </c>
      <c r="BX55" s="19" t="n">
        <v>21424.14</v>
      </c>
      <c r="BY55" s="19" t="n">
        <v>11643.85</v>
      </c>
      <c r="BZ55" s="19" t="n">
        <v>24484.74</v>
      </c>
      <c r="CA55" s="19" t="n">
        <v>22923.83</v>
      </c>
      <c r="CB55" s="19" t="n">
        <v>21424.14</v>
      </c>
      <c r="CC55" s="19" t="n">
        <v>133569.24</v>
      </c>
      <c r="CD55" s="19" t="n">
        <v>143035.6</v>
      </c>
      <c r="CE55" s="19" t="n">
        <v>16325.13</v>
      </c>
      <c r="CF55" s="19" t="n">
        <v>15257.13</v>
      </c>
      <c r="CG55" s="19" t="n">
        <f aca="false">SUM(CF55,CD55,CB55,BZ55,BX55,BV55,BT55,BR55,BP55,BN55,BL55,BJ55,BH55)</f>
        <v>1008434.02</v>
      </c>
      <c r="CH55" s="19" t="n">
        <f aca="false">CG55+BF55</f>
        <v>12066314.51</v>
      </c>
      <c r="CI55" s="19" t="n">
        <f aca="false">SUM(CE55,CC55,CA55,BY55,BW55,BU55,BS55,BQ55,BO55,BM55,BK55,BI55,BG55,BD55,BB55,AZ55,AX55,AV55,AT55,AR55,AP55,AN55)</f>
        <v>13002159.17</v>
      </c>
      <c r="CJ55" s="19" t="n">
        <f aca="false">CI55-CH55</f>
        <v>935844.66</v>
      </c>
      <c r="CK55" s="19" t="n">
        <f aca="false">IF(CE55-CF55+CC55-CD55+CA55-CB55+BU55-BV55+BK55-BL55+BI55-BJ55 &gt; 0, CE55-CF55+CC55-CD55+CA55-CB55+BU55-BV55+BK55-BL55+BI55-BJ55, "-")</f>
        <v>13859.41</v>
      </c>
      <c r="CL55" s="19" t="str">
        <f aca="false">IF(CJ55&lt;0,"⚠ Over Budget","✓ Within Budget")</f>
        <v>✓ Within Budget</v>
      </c>
      <c r="CM55" s="21"/>
    </row>
    <row r="56" customFormat="false" ht="14.25" hidden="false" customHeight="false" outlineLevel="0" collapsed="false">
      <c r="A56" s="22" t="s">
        <v>99</v>
      </c>
      <c r="B56" s="22" t="n">
        <v>2026</v>
      </c>
      <c r="C56" s="22" t="n">
        <v>60</v>
      </c>
      <c r="D56" s="22" t="n">
        <v>1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1</v>
      </c>
      <c r="J56" s="22" t="n">
        <v>1</v>
      </c>
      <c r="K56" s="22" t="n">
        <v>1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1</v>
      </c>
      <c r="Q56" s="22" t="n">
        <v>1</v>
      </c>
      <c r="R56" s="22" t="n">
        <v>1</v>
      </c>
      <c r="S56" s="22" t="n">
        <v>59</v>
      </c>
      <c r="T56" s="22" t="n">
        <v>12</v>
      </c>
      <c r="U56" s="22" t="n">
        <v>47</v>
      </c>
      <c r="V56" s="22" t="n">
        <v>56</v>
      </c>
      <c r="W56" s="22" t="n">
        <v>3</v>
      </c>
      <c r="X56" s="22" t="n">
        <v>7</v>
      </c>
      <c r="Y56" s="22" t="n">
        <v>15</v>
      </c>
      <c r="Z56" s="22" t="n">
        <v>19</v>
      </c>
      <c r="AA56" s="22" t="n">
        <v>12</v>
      </c>
      <c r="AB56" s="22" t="n">
        <v>4</v>
      </c>
      <c r="AC56" s="22" t="n">
        <v>2</v>
      </c>
      <c r="AD56" s="23" t="n">
        <v>0.2</v>
      </c>
      <c r="AE56" s="23" t="n">
        <v>0</v>
      </c>
      <c r="AF56" s="24" t="n">
        <v>62.1</v>
      </c>
      <c r="AG56" s="25" t="n">
        <v>717467</v>
      </c>
      <c r="AH56" s="25" t="n">
        <v>1070375</v>
      </c>
      <c r="AI56" s="25" t="n">
        <v>1637258</v>
      </c>
      <c r="AJ56" s="25" t="n">
        <v>2631831</v>
      </c>
      <c r="AK56" s="25" t="n">
        <v>4217134</v>
      </c>
      <c r="AL56" s="25" t="n">
        <v>7156528</v>
      </c>
      <c r="AM56" s="25" t="n">
        <v>2335275.12</v>
      </c>
      <c r="AN56" s="25" t="n">
        <v>10827892.3</v>
      </c>
      <c r="AO56" s="25" t="n">
        <v>10119525.51</v>
      </c>
      <c r="AP56" s="25" t="n">
        <v>1082789.23</v>
      </c>
      <c r="AQ56" s="25" t="n">
        <v>1011952.55</v>
      </c>
      <c r="AR56" s="25" t="n">
        <v>39374.15</v>
      </c>
      <c r="AS56" s="25" t="n">
        <v>0</v>
      </c>
      <c r="AT56" s="25" t="n">
        <v>541394.61</v>
      </c>
      <c r="AU56" s="25" t="n">
        <v>505976.28</v>
      </c>
      <c r="AV56" s="25" t="n">
        <v>91545.37</v>
      </c>
      <c r="AW56" s="25" t="n">
        <v>58463.55</v>
      </c>
      <c r="AX56" s="25" t="n">
        <v>41704</v>
      </c>
      <c r="AY56" s="25" t="n">
        <v>38975.7</v>
      </c>
      <c r="AZ56" s="25" t="n">
        <v>31691.39</v>
      </c>
      <c r="BA56" s="25" t="n">
        <v>0</v>
      </c>
      <c r="BB56" s="25" t="n">
        <v>60780.27</v>
      </c>
      <c r="BC56" s="25" t="n">
        <v>58381.88</v>
      </c>
      <c r="BD56" s="25" t="n">
        <v>446.2</v>
      </c>
      <c r="BE56" s="25" t="n">
        <v>0</v>
      </c>
      <c r="BF56" s="25" t="n">
        <f aca="false">SUM(BE56,BC56,BA56,AY56,AW56,AU56,AS56,AQ56,AO56)</f>
        <v>11793275.47</v>
      </c>
      <c r="BG56" s="25" t="n">
        <v>11071.64</v>
      </c>
      <c r="BH56" s="25" t="n">
        <v>14550.93</v>
      </c>
      <c r="BI56" s="25" t="n">
        <v>38228.67</v>
      </c>
      <c r="BJ56" s="25" t="n">
        <v>35727.73</v>
      </c>
      <c r="BK56" s="25" t="n">
        <v>27802.67</v>
      </c>
      <c r="BL56" s="25" t="n">
        <v>25983.8</v>
      </c>
      <c r="BM56" s="25" t="n">
        <v>77847.47</v>
      </c>
      <c r="BN56" s="25" t="n">
        <v>72754.64</v>
      </c>
      <c r="BO56" s="25" t="n">
        <v>76554.55</v>
      </c>
      <c r="BP56" s="25" t="n">
        <v>131168.22</v>
      </c>
      <c r="BQ56" s="25" t="n">
        <v>411025</v>
      </c>
      <c r="BR56" s="25" t="n">
        <v>384135.51</v>
      </c>
      <c r="BS56" s="25" t="n">
        <v>23748.11</v>
      </c>
      <c r="BT56" s="25" t="n">
        <v>17926.32</v>
      </c>
      <c r="BU56" s="25" t="n">
        <v>270697.31</v>
      </c>
      <c r="BV56" s="25" t="n">
        <v>252988.14</v>
      </c>
      <c r="BW56" s="25" t="n">
        <v>23354.24</v>
      </c>
      <c r="BX56" s="25" t="n">
        <v>22735.83</v>
      </c>
      <c r="BY56" s="25" t="n">
        <v>321997.35</v>
      </c>
      <c r="BZ56" s="25" t="n">
        <v>135419.44</v>
      </c>
      <c r="CA56" s="25" t="n">
        <v>24327.33</v>
      </c>
      <c r="CB56" s="25" t="n">
        <v>22735.83</v>
      </c>
      <c r="CC56" s="25" t="n">
        <v>88591.85</v>
      </c>
      <c r="CD56" s="25" t="n">
        <v>151792.88</v>
      </c>
      <c r="CE56" s="25" t="n">
        <v>17324.63</v>
      </c>
      <c r="CF56" s="25" t="n">
        <v>16191.24</v>
      </c>
      <c r="CG56" s="25" t="n">
        <f aca="false">SUM(CF56,CD56,CB56,BZ56,BX56,BV56,BT56,BR56,BP56,BN56,BL56,BJ56,BH56)</f>
        <v>1284110.51</v>
      </c>
      <c r="CH56" s="25" t="n">
        <f aca="false">CG56+BF56</f>
        <v>13077385.98</v>
      </c>
      <c r="CI56" s="25" t="n">
        <f aca="false">SUM(CE56,CC56,CA56,BY56,BW56,BU56,BS56,BQ56,BO56,BM56,BK56,BI56,BG56,BD56,BB56,AZ56,AX56,AV56,AT56,AR56,AP56,AN56)</f>
        <v>14130188.34</v>
      </c>
      <c r="CJ56" s="25" t="n">
        <f aca="false">CI56-CH56</f>
        <v>1052802.36</v>
      </c>
      <c r="CK56" s="25" t="str">
        <f aca="false">IF(CE56-CF56+CC56-CD56+CA56-CB56+BU56-BV56+BK56-BL56+BI56-BJ56 &gt; 0, CE56-CF56+CC56-CD56+CA56-CB56+BU56-BV56+BK56-BL56+BI56-BJ56, "-")</f>
        <v>-</v>
      </c>
      <c r="CL56" s="25" t="str">
        <f aca="false">IF(CJ56&lt;0,"⚠ Over Budget","✓ Within Budget")</f>
        <v>✓ Within Budget</v>
      </c>
      <c r="CM56" s="27"/>
    </row>
    <row r="57" customFormat="false" ht="14.25" hidden="false" customHeight="false" outlineLevel="0" collapsed="false">
      <c r="A57" s="16" t="s">
        <v>100</v>
      </c>
      <c r="B57" s="16" t="n">
        <v>2026</v>
      </c>
      <c r="C57" s="16" t="n">
        <v>59</v>
      </c>
      <c r="D57" s="16" t="n">
        <v>1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1</v>
      </c>
      <c r="J57" s="16" t="n">
        <v>1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60</v>
      </c>
      <c r="T57" s="16" t="n">
        <v>12</v>
      </c>
      <c r="U57" s="16" t="n">
        <v>48</v>
      </c>
      <c r="V57" s="16" t="n">
        <v>57</v>
      </c>
      <c r="W57" s="16" t="n">
        <v>3</v>
      </c>
      <c r="X57" s="16" t="n">
        <v>7</v>
      </c>
      <c r="Y57" s="16" t="n">
        <v>16</v>
      </c>
      <c r="Z57" s="16" t="n">
        <v>20</v>
      </c>
      <c r="AA57" s="16" t="n">
        <v>12</v>
      </c>
      <c r="AB57" s="16" t="n">
        <v>4</v>
      </c>
      <c r="AC57" s="16" t="n">
        <v>1</v>
      </c>
      <c r="AD57" s="17" t="n">
        <v>0</v>
      </c>
      <c r="AE57" s="17" t="n">
        <v>0</v>
      </c>
      <c r="AF57" s="18" t="n">
        <v>62.3</v>
      </c>
      <c r="AG57" s="19" t="n">
        <v>717467</v>
      </c>
      <c r="AH57" s="19" t="n">
        <v>1070375</v>
      </c>
      <c r="AI57" s="19" t="n">
        <v>1637258</v>
      </c>
      <c r="AJ57" s="19" t="n">
        <v>2631831</v>
      </c>
      <c r="AK57" s="19" t="n">
        <v>4217134</v>
      </c>
      <c r="AL57" s="19" t="n">
        <v>7156528</v>
      </c>
      <c r="AM57" s="19" t="n">
        <v>2335275.12</v>
      </c>
      <c r="AN57" s="19" t="n">
        <v>11036120.99</v>
      </c>
      <c r="AO57" s="19" t="n">
        <v>10314131.77</v>
      </c>
      <c r="AP57" s="19" t="n">
        <v>1103612.1</v>
      </c>
      <c r="AQ57" s="19" t="n">
        <v>1031413.18</v>
      </c>
      <c r="AR57" s="19" t="n">
        <v>40131.35</v>
      </c>
      <c r="AS57" s="19" t="n">
        <v>0</v>
      </c>
      <c r="AT57" s="19" t="n">
        <v>551806.05</v>
      </c>
      <c r="AU57" s="19" t="n">
        <v>515706.59</v>
      </c>
      <c r="AV57" s="19" t="n">
        <v>74644.68</v>
      </c>
      <c r="AW57" s="19" t="n">
        <v>59587.85</v>
      </c>
      <c r="AX57" s="19" t="n">
        <v>42506</v>
      </c>
      <c r="AY57" s="19" t="n">
        <v>39725.23</v>
      </c>
      <c r="AZ57" s="19" t="n">
        <v>26917.37</v>
      </c>
      <c r="BA57" s="19" t="n">
        <v>0</v>
      </c>
      <c r="BB57" s="19" t="n">
        <v>33766.82</v>
      </c>
      <c r="BC57" s="19" t="n">
        <v>19460.63</v>
      </c>
      <c r="BD57" s="19" t="n">
        <v>669.31</v>
      </c>
      <c r="BE57" s="19" t="n">
        <v>0</v>
      </c>
      <c r="BF57" s="19" t="n">
        <f aca="false">SUM(BE57,BC57,BA57,AY57,AW57,AU57,AS57,AQ57,AO57)</f>
        <v>11980025.25</v>
      </c>
      <c r="BG57" s="19" t="n">
        <v>8463.42</v>
      </c>
      <c r="BH57" s="19" t="n">
        <v>14830.75</v>
      </c>
      <c r="BI57" s="19" t="n">
        <v>38963.83</v>
      </c>
      <c r="BJ57" s="19" t="n">
        <v>36414.8</v>
      </c>
      <c r="BK57" s="19" t="n">
        <v>28337.33</v>
      </c>
      <c r="BL57" s="19" t="n">
        <v>26483.49</v>
      </c>
      <c r="BM57" s="19" t="n">
        <v>79344.53</v>
      </c>
      <c r="BN57" s="19" t="n">
        <v>74153.77</v>
      </c>
      <c r="BO57" s="19" t="n">
        <v>127590.91</v>
      </c>
      <c r="BP57" s="19" t="n">
        <v>43722.74</v>
      </c>
      <c r="BQ57" s="19" t="n">
        <v>421050</v>
      </c>
      <c r="BR57" s="19" t="n">
        <v>393504.67</v>
      </c>
      <c r="BS57" s="19" t="n">
        <v>24327.33</v>
      </c>
      <c r="BT57" s="19" t="n">
        <v>18363.55</v>
      </c>
      <c r="BU57" s="19" t="n">
        <v>275903.02</v>
      </c>
      <c r="BV57" s="19" t="n">
        <v>257853.29</v>
      </c>
      <c r="BW57" s="19" t="n">
        <v>11901.68</v>
      </c>
      <c r="BX57" s="19" t="n">
        <v>23173.05</v>
      </c>
      <c r="BY57" s="19" t="n">
        <v>12594.37</v>
      </c>
      <c r="BZ57" s="19" t="n">
        <v>26483.49</v>
      </c>
      <c r="CA57" s="19" t="n">
        <v>24795.17</v>
      </c>
      <c r="CB57" s="19" t="n">
        <v>23173.05</v>
      </c>
      <c r="CC57" s="19" t="n">
        <v>90295.54</v>
      </c>
      <c r="CD57" s="19" t="n">
        <v>154711.98</v>
      </c>
      <c r="CE57" s="19" t="n">
        <v>17657.79</v>
      </c>
      <c r="CF57" s="19" t="n">
        <v>16502.61</v>
      </c>
      <c r="CG57" s="19" t="n">
        <f aca="false">SUM(CF57,CD57,CB57,BZ57,BX57,BV57,BT57,BR57,BP57,BN57,BL57,BJ57,BH57)</f>
        <v>1109371.24</v>
      </c>
      <c r="CH57" s="19" t="n">
        <f aca="false">CG57+BF57</f>
        <v>13089396.49</v>
      </c>
      <c r="CI57" s="19" t="n">
        <f aca="false">SUM(CE57,CC57,CA57,BY57,BW57,BU57,BS57,BQ57,BO57,BM57,BK57,BI57,BG57,BD57,BB57,AZ57,AX57,AV57,AT57,AR57,AP57,AN57)</f>
        <v>14071399.59</v>
      </c>
      <c r="CJ57" s="19" t="n">
        <f aca="false">CI57-CH57</f>
        <v>982003.1</v>
      </c>
      <c r="CK57" s="19" t="str">
        <f aca="false">IF(CE57-CF57+CC57-CD57+CA57-CB57+BU57-BV57+BK57-BL57+BI57-BJ57 &gt; 0, CE57-CF57+CC57-CD57+CA57-CB57+BU57-BV57+BK57-BL57+BI57-BJ57, "-")</f>
        <v>-</v>
      </c>
      <c r="CL57" s="19" t="str">
        <f aca="false">IF(CJ57&lt;0,"⚠ Over Budget","✓ Within Budget")</f>
        <v>✓ Within Budget</v>
      </c>
      <c r="CM57" s="21"/>
    </row>
    <row r="58" customFormat="false" ht="14.25" hidden="false" customHeight="false" outlineLevel="0" collapsed="false">
      <c r="A58" s="22" t="s">
        <v>101</v>
      </c>
      <c r="B58" s="22" t="n">
        <v>2026</v>
      </c>
      <c r="C58" s="22" t="n">
        <v>60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60</v>
      </c>
      <c r="T58" s="22" t="n">
        <v>12</v>
      </c>
      <c r="U58" s="22" t="n">
        <v>48</v>
      </c>
      <c r="V58" s="22" t="n">
        <v>57</v>
      </c>
      <c r="W58" s="22" t="n">
        <v>3</v>
      </c>
      <c r="X58" s="22" t="n">
        <v>7</v>
      </c>
      <c r="Y58" s="22" t="n">
        <v>16</v>
      </c>
      <c r="Z58" s="22" t="n">
        <v>20</v>
      </c>
      <c r="AA58" s="22" t="n">
        <v>12</v>
      </c>
      <c r="AB58" s="22" t="n">
        <v>4</v>
      </c>
      <c r="AC58" s="22" t="n">
        <v>1</v>
      </c>
      <c r="AD58" s="23" t="n">
        <v>0</v>
      </c>
      <c r="AE58" s="23" t="n">
        <v>0</v>
      </c>
      <c r="AF58" s="24" t="n">
        <v>62.5</v>
      </c>
      <c r="AG58" s="25" t="n">
        <v>717467</v>
      </c>
      <c r="AH58" s="25" t="n">
        <v>1070375</v>
      </c>
      <c r="AI58" s="25" t="n">
        <v>1637258</v>
      </c>
      <c r="AJ58" s="25" t="n">
        <v>2631831</v>
      </c>
      <c r="AK58" s="25" t="n">
        <v>4217134</v>
      </c>
      <c r="AL58" s="25" t="n">
        <v>7156528</v>
      </c>
      <c r="AM58" s="25" t="n">
        <v>2335275.12</v>
      </c>
      <c r="AN58" s="25" t="n">
        <v>11036120.99</v>
      </c>
      <c r="AO58" s="25" t="n">
        <v>10314131.77</v>
      </c>
      <c r="AP58" s="25" t="n">
        <v>1103612.1</v>
      </c>
      <c r="AQ58" s="25" t="n">
        <v>1031413.18</v>
      </c>
      <c r="AR58" s="25" t="n">
        <v>40131.35</v>
      </c>
      <c r="AS58" s="25" t="n">
        <v>0</v>
      </c>
      <c r="AT58" s="25" t="n">
        <v>551806.05</v>
      </c>
      <c r="AU58" s="25" t="n">
        <v>515706.59</v>
      </c>
      <c r="AV58" s="25" t="n">
        <v>62203.9</v>
      </c>
      <c r="AW58" s="25" t="n">
        <v>59587.85</v>
      </c>
      <c r="AX58" s="25" t="n">
        <v>42506</v>
      </c>
      <c r="AY58" s="25" t="n">
        <v>39725.23</v>
      </c>
      <c r="AZ58" s="25" t="n">
        <v>26917.37</v>
      </c>
      <c r="BA58" s="25" t="n">
        <v>0</v>
      </c>
      <c r="BB58" s="25" t="n">
        <v>3376.68</v>
      </c>
      <c r="BC58" s="25" t="n">
        <v>0</v>
      </c>
      <c r="BD58" s="25" t="n">
        <v>669.31</v>
      </c>
      <c r="BE58" s="25" t="n">
        <v>0</v>
      </c>
      <c r="BF58" s="25" t="n">
        <f aca="false">SUM(BE58,BC58,BA58,AY58,AW58,AU58,AS58,AQ58,AO58)</f>
        <v>11960564.62</v>
      </c>
      <c r="BG58" s="25" t="n">
        <v>45339.73</v>
      </c>
      <c r="BH58" s="25" t="n">
        <v>31780.19</v>
      </c>
      <c r="BI58" s="25" t="n">
        <v>38963.83</v>
      </c>
      <c r="BJ58" s="25" t="n">
        <v>36414.8</v>
      </c>
      <c r="BK58" s="25" t="n">
        <v>28337.33</v>
      </c>
      <c r="BL58" s="25" t="n">
        <v>26483.49</v>
      </c>
      <c r="BM58" s="25" t="n">
        <v>79344.53</v>
      </c>
      <c r="BN58" s="25" t="n">
        <v>74153.77</v>
      </c>
      <c r="BO58" s="25" t="n">
        <v>7290.91</v>
      </c>
      <c r="BP58" s="25" t="n">
        <v>0</v>
      </c>
      <c r="BQ58" s="25" t="n">
        <v>421050</v>
      </c>
      <c r="BR58" s="25" t="n">
        <v>393504.67</v>
      </c>
      <c r="BS58" s="25" t="n">
        <v>24327.33</v>
      </c>
      <c r="BT58" s="25" t="n">
        <v>18363.55</v>
      </c>
      <c r="BU58" s="25" t="n">
        <v>275903.02</v>
      </c>
      <c r="BV58" s="25" t="n">
        <v>257853.29</v>
      </c>
      <c r="BW58" s="25" t="n">
        <v>23803.36</v>
      </c>
      <c r="BX58" s="25" t="n">
        <v>23173.05</v>
      </c>
      <c r="BY58" s="25" t="n">
        <v>31644.77</v>
      </c>
      <c r="BZ58" s="25" t="n">
        <v>55452.28</v>
      </c>
      <c r="CA58" s="25" t="n">
        <v>24795.17</v>
      </c>
      <c r="CB58" s="25" t="n">
        <v>23173.05</v>
      </c>
      <c r="CC58" s="25" t="n">
        <v>90295.54</v>
      </c>
      <c r="CD58" s="25" t="n">
        <v>154711.98</v>
      </c>
      <c r="CE58" s="25" t="n">
        <v>17657.79</v>
      </c>
      <c r="CF58" s="25" t="n">
        <v>16502.61</v>
      </c>
      <c r="CG58" s="25" t="n">
        <f aca="false">SUM(CF58,CD58,CB58,BZ58,BX58,BV58,BT58,BR58,BP58,BN58,BL58,BJ58,BH58)</f>
        <v>1111566.73</v>
      </c>
      <c r="CH58" s="25" t="n">
        <f aca="false">CG58+BF58</f>
        <v>13072131.35</v>
      </c>
      <c r="CI58" s="25" t="n">
        <f aca="false">SUM(CE58,CC58,CA58,BY58,BW58,BU58,BS58,BQ58,BO58,BM58,BK58,BI58,BG58,BD58,BB58,AZ58,AX58,AV58,AT58,AR58,AP58,AN58)</f>
        <v>13976097.06</v>
      </c>
      <c r="CJ58" s="25" t="n">
        <f aca="false">CI58-CH58</f>
        <v>903965.710000001</v>
      </c>
      <c r="CK58" s="25" t="str">
        <f aca="false">IF(CE58-CF58+CC58-CD58+CA58-CB58+BU58-BV58+BK58-BL58+BI58-BJ58 &gt; 0, CE58-CF58+CC58-CD58+CA58-CB58+BU58-BV58+BK58-BL58+BI58-BJ58, "-")</f>
        <v>-</v>
      </c>
      <c r="CL58" s="25" t="str">
        <f aca="false">IF(CJ58&lt;0,"⚠ Over Budget","✓ Within Budget")</f>
        <v>✓ Within Budget</v>
      </c>
      <c r="CM58" s="27"/>
    </row>
    <row r="59" customFormat="false" ht="18.75" hidden="false" customHeight="true" outlineLevel="0" collapsed="false">
      <c r="A59" s="28" t="s">
        <v>102</v>
      </c>
      <c r="B59" s="28" t="n">
        <v>2026</v>
      </c>
      <c r="C59" s="28" t="n">
        <v>60</v>
      </c>
      <c r="D59" s="28" t="n">
        <v>1</v>
      </c>
      <c r="E59" s="28" t="n">
        <v>0</v>
      </c>
      <c r="F59" s="28" t="n">
        <v>0</v>
      </c>
      <c r="G59" s="28" t="n">
        <v>0</v>
      </c>
      <c r="H59" s="28" t="n">
        <v>0</v>
      </c>
      <c r="I59" s="28" t="n">
        <v>1</v>
      </c>
      <c r="J59" s="28" t="n">
        <v>1</v>
      </c>
      <c r="K59" s="28" t="n">
        <v>1</v>
      </c>
      <c r="L59" s="28" t="n">
        <v>0</v>
      </c>
      <c r="M59" s="28" t="n">
        <v>0</v>
      </c>
      <c r="N59" s="28" t="n">
        <v>0</v>
      </c>
      <c r="O59" s="28" t="n">
        <v>0</v>
      </c>
      <c r="P59" s="28" t="n">
        <v>1</v>
      </c>
      <c r="Q59" s="28" t="n">
        <v>1</v>
      </c>
      <c r="R59" s="28" t="n">
        <v>0</v>
      </c>
      <c r="S59" s="28" t="n">
        <v>60</v>
      </c>
      <c r="T59" s="28" t="n">
        <v>12</v>
      </c>
      <c r="U59" s="28" t="n">
        <v>48</v>
      </c>
      <c r="V59" s="28" t="n">
        <v>57</v>
      </c>
      <c r="W59" s="28" t="n">
        <v>3</v>
      </c>
      <c r="X59" s="28" t="n">
        <v>7</v>
      </c>
      <c r="Y59" s="28" t="n">
        <v>16</v>
      </c>
      <c r="Z59" s="28" t="n">
        <v>20</v>
      </c>
      <c r="AA59" s="28" t="n">
        <v>12</v>
      </c>
      <c r="AB59" s="28" t="n">
        <v>4</v>
      </c>
      <c r="AC59" s="28" t="n">
        <v>1</v>
      </c>
      <c r="AD59" s="29" t="n">
        <v>0.2</v>
      </c>
      <c r="AE59" s="29" t="n">
        <v>0</v>
      </c>
      <c r="AF59" s="30" t="n">
        <v>62.7</v>
      </c>
      <c r="AG59" s="31" t="n">
        <v>717467</v>
      </c>
      <c r="AH59" s="31" t="n">
        <v>1070375</v>
      </c>
      <c r="AI59" s="31" t="n">
        <v>1637258</v>
      </c>
      <c r="AJ59" s="31" t="n">
        <v>2631831</v>
      </c>
      <c r="AK59" s="31" t="n">
        <v>4217134</v>
      </c>
      <c r="AL59" s="31" t="n">
        <v>7156528</v>
      </c>
      <c r="AM59" s="31" t="n">
        <v>2335275.12</v>
      </c>
      <c r="AN59" s="31" t="n">
        <v>11452578.39</v>
      </c>
      <c r="AO59" s="31" t="n">
        <v>10703344.29</v>
      </c>
      <c r="AP59" s="31" t="n">
        <v>1145257.84</v>
      </c>
      <c r="AQ59" s="31" t="n">
        <v>1070334.43</v>
      </c>
      <c r="AR59" s="31" t="n">
        <v>41645.74</v>
      </c>
      <c r="AS59" s="31" t="n">
        <v>0</v>
      </c>
      <c r="AT59" s="31" t="n">
        <v>572628.92</v>
      </c>
      <c r="AU59" s="31" t="n">
        <v>535167.21</v>
      </c>
      <c r="AV59" s="31" t="n">
        <v>71006.34</v>
      </c>
      <c r="AW59" s="31" t="n">
        <v>61836.45</v>
      </c>
      <c r="AX59" s="31" t="n">
        <v>44110</v>
      </c>
      <c r="AY59" s="31" t="n">
        <v>41224.3</v>
      </c>
      <c r="AZ59" s="31" t="n">
        <v>55866.24</v>
      </c>
      <c r="BA59" s="31" t="n">
        <v>0</v>
      </c>
      <c r="BB59" s="31" t="n">
        <v>40520.18</v>
      </c>
      <c r="BC59" s="31" t="n">
        <v>38921.25</v>
      </c>
      <c r="BD59" s="31" t="n">
        <v>223.1</v>
      </c>
      <c r="BE59" s="31" t="n">
        <v>0</v>
      </c>
      <c r="BF59" s="31" t="n">
        <f aca="false">SUM(BE59,BC59,BA59,AY59,AW59,AU59,AS59,AQ59,AO59)</f>
        <v>12450827.93</v>
      </c>
      <c r="BG59" s="31" t="n">
        <v>67752.96</v>
      </c>
      <c r="BH59" s="31" t="n">
        <v>39575.33</v>
      </c>
      <c r="BI59" s="31" t="n">
        <v>40434.17</v>
      </c>
      <c r="BJ59" s="31" t="n">
        <v>37788.94</v>
      </c>
      <c r="BK59" s="31" t="n">
        <v>29406.67</v>
      </c>
      <c r="BL59" s="31" t="n">
        <v>27482.87</v>
      </c>
      <c r="BM59" s="31" t="n">
        <v>82338.67</v>
      </c>
      <c r="BN59" s="31" t="n">
        <v>1145887.14</v>
      </c>
      <c r="BO59" s="31" t="n">
        <v>51036.36</v>
      </c>
      <c r="BP59" s="31" t="n">
        <v>2072610.71</v>
      </c>
      <c r="BQ59" s="31" t="n">
        <v>441100</v>
      </c>
      <c r="BR59" s="31" t="n">
        <v>412242.99</v>
      </c>
      <c r="BS59" s="31" t="n">
        <v>21564.89</v>
      </c>
      <c r="BT59" s="31" t="n">
        <v>19238.01</v>
      </c>
      <c r="BU59" s="31" t="n">
        <v>286314.46</v>
      </c>
      <c r="BV59" s="31" t="n">
        <v>267583.61</v>
      </c>
      <c r="BW59" s="31" t="n">
        <v>49403.2</v>
      </c>
      <c r="BX59" s="31" t="n">
        <v>24047.51</v>
      </c>
      <c r="BY59" s="31" t="n">
        <v>13069.63</v>
      </c>
      <c r="BZ59" s="31" t="n">
        <v>27482.87</v>
      </c>
      <c r="CA59" s="31" t="n">
        <v>25730.83</v>
      </c>
      <c r="CB59" s="31" t="n">
        <v>24047.51</v>
      </c>
      <c r="CC59" s="31" t="n">
        <v>112443.5</v>
      </c>
      <c r="CD59" s="31" t="n">
        <v>160550.16</v>
      </c>
      <c r="CE59" s="31" t="n">
        <v>18324.13</v>
      </c>
      <c r="CF59" s="31" t="n">
        <v>17125.35</v>
      </c>
      <c r="CG59" s="31" t="n">
        <f aca="false">SUM(CF59,CD59,CB59,BZ59,BX59,BV59,BT59,BR59,BP59,BN59,BL59,BJ59,BH59)</f>
        <v>4275663</v>
      </c>
      <c r="CH59" s="31" t="n">
        <f aca="false">CG59+BF59</f>
        <v>16726490.93</v>
      </c>
      <c r="CI59" s="31" t="n">
        <f aca="false">SUM(CE59,CC59,CA59,BY59,BW59,BU59,BS59,BQ59,BO59,BM59,BK59,BI59,BG59,BD59,BB59,AZ59,AX59,AV59,AT59,AR59,AP59,AN59)</f>
        <v>14662756.22</v>
      </c>
      <c r="CJ59" s="31" t="n">
        <f aca="false">CI59-CH59</f>
        <v>-2063734.71</v>
      </c>
      <c r="CK59" s="31" t="str">
        <f aca="false">IF(CE59-CF59+CC59-CD59+CA59-CB59+BU59-BV59+BK59-BL59+BI59-BJ59 &gt; 0, CE59-CF59+CC59-CD59+CA59-CB59+BU59-BV59+BK59-BL59+BI59-BJ59, "-")</f>
        <v>-</v>
      </c>
      <c r="CL59" s="31" t="str">
        <f aca="false">IF(CJ59&lt;0,"⚠ Over Budget","✓ Within Budget")</f>
        <v>⚠ Over Budget</v>
      </c>
      <c r="CM59" s="33" t="s">
        <v>117</v>
      </c>
    </row>
    <row r="60" customFormat="false" ht="14.25" hidden="false" customHeight="false" outlineLevel="0" collapsed="false">
      <c r="A60" s="22" t="s">
        <v>103</v>
      </c>
      <c r="B60" s="22" t="n">
        <v>2026</v>
      </c>
      <c r="C60" s="22" t="n">
        <v>60</v>
      </c>
      <c r="D60" s="22" t="n">
        <v>1</v>
      </c>
      <c r="E60" s="22" t="n">
        <v>1</v>
      </c>
      <c r="F60" s="22" t="n">
        <v>1</v>
      </c>
      <c r="G60" s="22" t="n">
        <v>0</v>
      </c>
      <c r="H60" s="22" t="n">
        <v>0</v>
      </c>
      <c r="I60" s="22" t="n">
        <v>0</v>
      </c>
      <c r="J60" s="22" t="n">
        <v>3</v>
      </c>
      <c r="K60" s="22" t="n">
        <v>1</v>
      </c>
      <c r="L60" s="22" t="n">
        <v>1</v>
      </c>
      <c r="M60" s="22" t="n">
        <v>0</v>
      </c>
      <c r="N60" s="22" t="n">
        <v>0</v>
      </c>
      <c r="O60" s="22" t="n">
        <v>0</v>
      </c>
      <c r="P60" s="22" t="n">
        <v>1</v>
      </c>
      <c r="Q60" s="22" t="n">
        <v>2</v>
      </c>
      <c r="R60" s="22" t="n">
        <v>0</v>
      </c>
      <c r="S60" s="22" t="n">
        <v>61</v>
      </c>
      <c r="T60" s="22" t="n">
        <v>12</v>
      </c>
      <c r="U60" s="22" t="n">
        <v>49</v>
      </c>
      <c r="V60" s="22" t="n">
        <v>58</v>
      </c>
      <c r="W60" s="22" t="n">
        <v>3</v>
      </c>
      <c r="X60" s="22" t="n">
        <v>7</v>
      </c>
      <c r="Y60" s="22" t="n">
        <v>16</v>
      </c>
      <c r="Z60" s="22" t="n">
        <v>20</v>
      </c>
      <c r="AA60" s="22" t="n">
        <v>12</v>
      </c>
      <c r="AB60" s="22" t="n">
        <v>4</v>
      </c>
      <c r="AC60" s="22" t="n">
        <v>2</v>
      </c>
      <c r="AD60" s="23" t="n">
        <v>0.4</v>
      </c>
      <c r="AE60" s="23" t="n">
        <v>0.0147380804876528</v>
      </c>
      <c r="AF60" s="24" t="n">
        <v>62.9</v>
      </c>
      <c r="AG60" s="25" t="n">
        <v>731551</v>
      </c>
      <c r="AH60" s="25" t="n">
        <v>1088533</v>
      </c>
      <c r="AI60" s="25" t="n">
        <v>1660440</v>
      </c>
      <c r="AJ60" s="25" t="n">
        <v>2662442</v>
      </c>
      <c r="AK60" s="25" t="n">
        <v>4263124</v>
      </c>
      <c r="AL60" s="25" t="n">
        <v>7231436</v>
      </c>
      <c r="AM60" s="25" t="n">
        <v>2366381.82</v>
      </c>
      <c r="AN60" s="25" t="n">
        <v>11816133.24</v>
      </c>
      <c r="AO60" s="25" t="n">
        <v>11043115.18</v>
      </c>
      <c r="AP60" s="25" t="n">
        <v>1181613.32</v>
      </c>
      <c r="AQ60" s="25" t="n">
        <v>1104311.52</v>
      </c>
      <c r="AR60" s="25" t="n">
        <v>1374968.23</v>
      </c>
      <c r="AS60" s="25" t="n">
        <v>441724.61</v>
      </c>
      <c r="AT60" s="25" t="n">
        <v>590806.66</v>
      </c>
      <c r="AU60" s="25" t="n">
        <v>552155.76</v>
      </c>
      <c r="AV60" s="25" t="n">
        <v>59152.39</v>
      </c>
      <c r="AW60" s="25" t="n">
        <v>62960.75</v>
      </c>
      <c r="AX60" s="25" t="n">
        <v>44912</v>
      </c>
      <c r="AY60" s="25" t="n">
        <v>41973.83</v>
      </c>
      <c r="AZ60" s="25" t="n">
        <v>115279.35</v>
      </c>
      <c r="BA60" s="25" t="n">
        <v>0</v>
      </c>
      <c r="BB60" s="25" t="n">
        <v>20529.96</v>
      </c>
      <c r="BC60" s="25" t="n">
        <v>19719.85</v>
      </c>
      <c r="BD60" s="25" t="n">
        <v>226.07</v>
      </c>
      <c r="BE60" s="25" t="n">
        <v>0</v>
      </c>
      <c r="BF60" s="25" t="n">
        <f aca="false">SUM(BE60,BC60,BA60,AY60,AW60,AU60,AS60,AQ60,AO60)</f>
        <v>13265961.5</v>
      </c>
      <c r="BG60" s="25" t="n">
        <v>41731.57</v>
      </c>
      <c r="BH60" s="25" t="n">
        <v>31340.46</v>
      </c>
      <c r="BI60" s="25" t="n">
        <v>41169.33</v>
      </c>
      <c r="BJ60" s="25" t="n">
        <v>38476.01</v>
      </c>
      <c r="BK60" s="25" t="n">
        <v>29941.33</v>
      </c>
      <c r="BL60" s="25" t="n">
        <v>27982.55</v>
      </c>
      <c r="BM60" s="25" t="n">
        <v>83835.73</v>
      </c>
      <c r="BN60" s="25" t="n">
        <v>78351.15</v>
      </c>
      <c r="BO60" s="25" t="n">
        <v>25518.18</v>
      </c>
      <c r="BP60" s="25" t="n">
        <v>43722.74</v>
      </c>
      <c r="BQ60" s="25" t="n">
        <v>451125</v>
      </c>
      <c r="BR60" s="25" t="n">
        <v>421612.15</v>
      </c>
      <c r="BS60" s="25" t="n">
        <v>20050</v>
      </c>
      <c r="BT60" s="25" t="n">
        <v>19675.23</v>
      </c>
      <c r="BU60" s="25" t="n">
        <v>295403.33</v>
      </c>
      <c r="BV60" s="25" t="n">
        <v>276077.88</v>
      </c>
      <c r="BW60" s="25" t="n">
        <v>37726.08</v>
      </c>
      <c r="BX60" s="25" t="n">
        <v>24484.74</v>
      </c>
      <c r="BY60" s="25" t="n">
        <v>564635.97</v>
      </c>
      <c r="BZ60" s="25" t="n">
        <v>185518.54</v>
      </c>
      <c r="CA60" s="25" t="n">
        <v>26198.67</v>
      </c>
      <c r="CB60" s="25" t="n">
        <v>24484.74</v>
      </c>
      <c r="CC60" s="25" t="n">
        <v>154683.93</v>
      </c>
      <c r="CD60" s="25" t="n">
        <v>165646.73</v>
      </c>
      <c r="CE60" s="25" t="n">
        <v>18905.81</v>
      </c>
      <c r="CF60" s="25" t="n">
        <v>17668.98</v>
      </c>
      <c r="CG60" s="25" t="n">
        <f aca="false">SUM(CF60,CD60,CB60,BZ60,BX60,BV60,BT60,BR60,BP60,BN60,BL60,BJ60,BH60)</f>
        <v>1355041.9</v>
      </c>
      <c r="CH60" s="25" t="n">
        <f aca="false">CG60+BF60</f>
        <v>14621003.4</v>
      </c>
      <c r="CI60" s="25" t="n">
        <f aca="false">SUM(CE60,CC60,CA60,BY60,BW60,BU60,BS60,BQ60,BO60,BM60,BK60,BI60,BG60,BD60,BB60,AZ60,AX60,AV60,AT60,AR60,AP60,AN60)</f>
        <v>16994546.15</v>
      </c>
      <c r="CJ60" s="25" t="n">
        <f aca="false">CI60-CH60</f>
        <v>2373542.75</v>
      </c>
      <c r="CK60" s="25" t="n">
        <f aca="false">IF(CE60-CF60+CC60-CD60+CA60-CB60+BU60-BV60+BK60-BL60+BI60-BJ60 &gt; 0, CE60-CF60+CC60-CD60+CA60-CB60+BU60-BV60+BK60-BL60+BI60-BJ60, "-")</f>
        <v>15965.51</v>
      </c>
      <c r="CL60" s="25" t="str">
        <f aca="false">IF(CJ60&lt;0,"⚠ Over Budget","✓ Within Budget")</f>
        <v>✓ Within Budget</v>
      </c>
      <c r="CM60" s="27"/>
    </row>
    <row r="61" customFormat="false" ht="14.25" hidden="false" customHeight="false" outlineLevel="0" collapsed="false">
      <c r="A61" s="16" t="s">
        <v>104</v>
      </c>
      <c r="B61" s="16" t="n">
        <v>2026</v>
      </c>
      <c r="C61" s="16" t="n">
        <v>61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61</v>
      </c>
      <c r="T61" s="16" t="n">
        <v>12</v>
      </c>
      <c r="U61" s="16" t="n">
        <v>49</v>
      </c>
      <c r="V61" s="16" t="n">
        <v>58</v>
      </c>
      <c r="W61" s="16" t="n">
        <v>3</v>
      </c>
      <c r="X61" s="16" t="n">
        <v>7</v>
      </c>
      <c r="Y61" s="16" t="n">
        <v>16</v>
      </c>
      <c r="Z61" s="16" t="n">
        <v>20</v>
      </c>
      <c r="AA61" s="16" t="n">
        <v>12</v>
      </c>
      <c r="AB61" s="16" t="n">
        <v>4</v>
      </c>
      <c r="AC61" s="16" t="n">
        <v>2</v>
      </c>
      <c r="AD61" s="17" t="n">
        <v>0</v>
      </c>
      <c r="AE61" s="17" t="n">
        <v>0</v>
      </c>
      <c r="AF61" s="18" t="n">
        <v>63.1</v>
      </c>
      <c r="AG61" s="19" t="n">
        <v>731551</v>
      </c>
      <c r="AH61" s="19" t="n">
        <v>1088533</v>
      </c>
      <c r="AI61" s="19" t="n">
        <v>1660440</v>
      </c>
      <c r="AJ61" s="19" t="n">
        <v>2662442</v>
      </c>
      <c r="AK61" s="19" t="n">
        <v>4263124</v>
      </c>
      <c r="AL61" s="19" t="n">
        <v>7231436</v>
      </c>
      <c r="AM61" s="19" t="n">
        <v>2366381.82</v>
      </c>
      <c r="AN61" s="19" t="n">
        <v>11816133.24</v>
      </c>
      <c r="AO61" s="19" t="n">
        <v>11043115.18</v>
      </c>
      <c r="AP61" s="19" t="n">
        <v>1181613.32</v>
      </c>
      <c r="AQ61" s="19" t="n">
        <v>1104311.52</v>
      </c>
      <c r="AR61" s="19" t="n">
        <v>139645.21</v>
      </c>
      <c r="AS61" s="19" t="n">
        <v>0</v>
      </c>
      <c r="AT61" s="19" t="n">
        <v>590806.66</v>
      </c>
      <c r="AU61" s="19" t="n">
        <v>552155.76</v>
      </c>
      <c r="AV61" s="19" t="n">
        <v>70106.54</v>
      </c>
      <c r="AW61" s="19" t="n">
        <v>83947.66</v>
      </c>
      <c r="AX61" s="19" t="n">
        <v>44912</v>
      </c>
      <c r="AY61" s="19" t="n">
        <v>41973.83</v>
      </c>
      <c r="AZ61" s="19" t="n">
        <v>57639.67</v>
      </c>
      <c r="BA61" s="19" t="n">
        <v>0</v>
      </c>
      <c r="BB61" s="19" t="n">
        <v>684.33</v>
      </c>
      <c r="BC61" s="19" t="n">
        <v>0</v>
      </c>
      <c r="BD61" s="19" t="n">
        <v>226.07</v>
      </c>
      <c r="BE61" s="19" t="n">
        <v>0</v>
      </c>
      <c r="BF61" s="19" t="n">
        <f aca="false">SUM(BE61,BC61,BA61,AY61,AW61,AU61,AS61,AQ61,AO61)</f>
        <v>12825503.95</v>
      </c>
      <c r="BG61" s="19" t="n">
        <v>54506.53</v>
      </c>
      <c r="BH61" s="19" t="n">
        <v>35817.67</v>
      </c>
      <c r="BI61" s="19" t="n">
        <v>41169.33</v>
      </c>
      <c r="BJ61" s="19" t="n">
        <v>38476.01</v>
      </c>
      <c r="BK61" s="19" t="n">
        <v>29941.33</v>
      </c>
      <c r="BL61" s="19" t="n">
        <v>27982.55</v>
      </c>
      <c r="BM61" s="19" t="n">
        <v>83835.73</v>
      </c>
      <c r="BN61" s="19" t="n">
        <v>78351.15</v>
      </c>
      <c r="BO61" s="19" t="n">
        <v>3645.45</v>
      </c>
      <c r="BP61" s="19" t="n">
        <v>0</v>
      </c>
      <c r="BQ61" s="19" t="n">
        <v>451125</v>
      </c>
      <c r="BR61" s="19" t="n">
        <v>421612.15</v>
      </c>
      <c r="BS61" s="19" t="n">
        <v>18045</v>
      </c>
      <c r="BT61" s="19" t="n">
        <v>19675.23</v>
      </c>
      <c r="BU61" s="19" t="n">
        <v>295403.33</v>
      </c>
      <c r="BV61" s="19" t="n">
        <v>276077.88</v>
      </c>
      <c r="BW61" s="19" t="n">
        <v>25150.72</v>
      </c>
      <c r="BX61" s="19" t="n">
        <v>24484.74</v>
      </c>
      <c r="BY61" s="19" t="n">
        <v>102511.77</v>
      </c>
      <c r="BZ61" s="19" t="n">
        <v>71854.04</v>
      </c>
      <c r="CA61" s="19" t="n">
        <v>26198.67</v>
      </c>
      <c r="CB61" s="19" t="n">
        <v>24484.74</v>
      </c>
      <c r="CC61" s="19" t="n">
        <v>154683.93</v>
      </c>
      <c r="CD61" s="19" t="n">
        <v>165646.73</v>
      </c>
      <c r="CE61" s="19" t="n">
        <v>18905.81</v>
      </c>
      <c r="CF61" s="19" t="n">
        <v>17668.98</v>
      </c>
      <c r="CG61" s="19" t="n">
        <f aca="false">SUM(CF61,CD61,CB61,BZ61,BX61,BV61,BT61,BR61,BP61,BN61,BL61,BJ61,BH61)</f>
        <v>1202131.87</v>
      </c>
      <c r="CH61" s="19" t="n">
        <f aca="false">CG61+BF61</f>
        <v>14027635.82</v>
      </c>
      <c r="CI61" s="19" t="n">
        <f aca="false">SUM(CE61,CC61,CA61,BY61,BW61,BU61,BS61,BQ61,BO61,BM61,BK61,BI61,BG61,BD61,BB61,AZ61,AX61,AV61,AT61,AR61,AP61,AN61)</f>
        <v>15206889.64</v>
      </c>
      <c r="CJ61" s="19" t="n">
        <f aca="false">CI61-CH61</f>
        <v>1179253.82</v>
      </c>
      <c r="CK61" s="19" t="n">
        <f aca="false">IF(CE61-CF61+CC61-CD61+CA61-CB61+BU61-BV61+BK61-BL61+BI61-BJ61 &gt; 0, CE61-CF61+CC61-CD61+CA61-CB61+BU61-BV61+BK61-BL61+BI61-BJ61, "-")</f>
        <v>15965.51</v>
      </c>
      <c r="CL61" s="19" t="str">
        <f aca="false">IF(CJ61&lt;0,"⚠ Over Budget","✓ Within Budget")</f>
        <v>✓ Within Budget</v>
      </c>
      <c r="CM61" s="21"/>
    </row>
    <row r="62" customFormat="false" ht="14.25" hidden="false" customHeight="false" outlineLevel="0" collapsed="false">
      <c r="A62" s="22" t="s">
        <v>105</v>
      </c>
      <c r="B62" s="22" t="n">
        <v>2026</v>
      </c>
      <c r="C62" s="22" t="n">
        <v>61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61</v>
      </c>
      <c r="T62" s="22" t="n">
        <v>12</v>
      </c>
      <c r="U62" s="22" t="n">
        <v>49</v>
      </c>
      <c r="V62" s="22" t="n">
        <v>58</v>
      </c>
      <c r="W62" s="22" t="n">
        <v>3</v>
      </c>
      <c r="X62" s="22" t="n">
        <v>7</v>
      </c>
      <c r="Y62" s="22" t="n">
        <v>16</v>
      </c>
      <c r="Z62" s="22" t="n">
        <v>20</v>
      </c>
      <c r="AA62" s="22" t="n">
        <v>12</v>
      </c>
      <c r="AB62" s="22" t="n">
        <v>4</v>
      </c>
      <c r="AC62" s="22" t="n">
        <v>2</v>
      </c>
      <c r="AD62" s="23" t="n">
        <v>0</v>
      </c>
      <c r="AE62" s="23" t="n">
        <v>0</v>
      </c>
      <c r="AF62" s="24" t="n">
        <v>63.3</v>
      </c>
      <c r="AG62" s="25" t="n">
        <v>731551</v>
      </c>
      <c r="AH62" s="25" t="n">
        <v>1088533</v>
      </c>
      <c r="AI62" s="25" t="n">
        <v>1660440</v>
      </c>
      <c r="AJ62" s="25" t="n">
        <v>2662442</v>
      </c>
      <c r="AK62" s="25" t="n">
        <v>4263124</v>
      </c>
      <c r="AL62" s="25" t="n">
        <v>7231436</v>
      </c>
      <c r="AM62" s="25" t="n">
        <v>2366381.82</v>
      </c>
      <c r="AN62" s="25" t="n">
        <v>11816133.24</v>
      </c>
      <c r="AO62" s="25" t="n">
        <v>11043115.18</v>
      </c>
      <c r="AP62" s="25" t="n">
        <v>1181613.32</v>
      </c>
      <c r="AQ62" s="25" t="n">
        <v>1104311.52</v>
      </c>
      <c r="AR62" s="25" t="n">
        <v>5156130.87</v>
      </c>
      <c r="AS62" s="25" t="n">
        <v>1104311.52</v>
      </c>
      <c r="AT62" s="25" t="n">
        <v>590806.66</v>
      </c>
      <c r="AU62" s="25" t="n">
        <v>552155.76</v>
      </c>
      <c r="AV62" s="25" t="n">
        <v>61343.22</v>
      </c>
      <c r="AW62" s="25" t="n">
        <v>83947.66</v>
      </c>
      <c r="AX62" s="25" t="n">
        <v>44912</v>
      </c>
      <c r="AY62" s="25" t="n">
        <v>41973.83</v>
      </c>
      <c r="AZ62" s="25" t="n">
        <v>86459.51</v>
      </c>
      <c r="BA62" s="25" t="n">
        <v>0</v>
      </c>
      <c r="BB62" s="25" t="n">
        <v>684.33</v>
      </c>
      <c r="BC62" s="25" t="n">
        <v>0</v>
      </c>
      <c r="BD62" s="25" t="n">
        <v>226.07</v>
      </c>
      <c r="BE62" s="25" t="n">
        <v>0</v>
      </c>
      <c r="BF62" s="25" t="n">
        <f aca="false">SUM(BE62,BC62,BA62,AY62,AW62,AU62,AS62,AQ62,AO62)</f>
        <v>13929815.47</v>
      </c>
      <c r="BG62" s="25" t="n">
        <v>8942.48</v>
      </c>
      <c r="BH62" s="25" t="n">
        <v>15670.23</v>
      </c>
      <c r="BI62" s="25" t="n">
        <v>41169.33</v>
      </c>
      <c r="BJ62" s="25" t="n">
        <v>38476.01</v>
      </c>
      <c r="BK62" s="25" t="n">
        <v>29941.33</v>
      </c>
      <c r="BL62" s="25" t="n">
        <v>27982.55</v>
      </c>
      <c r="BM62" s="25" t="n">
        <v>83835.73</v>
      </c>
      <c r="BN62" s="25" t="n">
        <v>78351.15</v>
      </c>
      <c r="BO62" s="25" t="n">
        <v>3645.45</v>
      </c>
      <c r="BP62" s="25" t="n">
        <v>0</v>
      </c>
      <c r="BQ62" s="25" t="n">
        <v>451125</v>
      </c>
      <c r="BR62" s="25" t="n">
        <v>421612.15</v>
      </c>
      <c r="BS62" s="25" t="n">
        <v>16040</v>
      </c>
      <c r="BT62" s="25" t="n">
        <v>19675.23</v>
      </c>
      <c r="BU62" s="25" t="n">
        <v>295403.33</v>
      </c>
      <c r="BV62" s="25" t="n">
        <v>276077.88</v>
      </c>
      <c r="BW62" s="25" t="n">
        <v>12575.36</v>
      </c>
      <c r="BX62" s="25" t="n">
        <v>24484.74</v>
      </c>
      <c r="BY62" s="25" t="n">
        <v>147898.4</v>
      </c>
      <c r="BZ62" s="25" t="n">
        <v>103667.1</v>
      </c>
      <c r="CA62" s="25" t="n">
        <v>26198.67</v>
      </c>
      <c r="CB62" s="25" t="n">
        <v>24484.74</v>
      </c>
      <c r="CC62" s="25" t="n">
        <v>96677.45</v>
      </c>
      <c r="CD62" s="25" t="n">
        <v>165646.73</v>
      </c>
      <c r="CE62" s="25" t="n">
        <v>18905.81</v>
      </c>
      <c r="CF62" s="25" t="n">
        <v>17668.98</v>
      </c>
      <c r="CG62" s="25" t="n">
        <f aca="false">SUM(CF62,CD62,CB62,BZ62,BX62,BV62,BT62,BR62,BP62,BN62,BL62,BJ62,BH62)</f>
        <v>1213797.49</v>
      </c>
      <c r="CH62" s="25" t="n">
        <f aca="false">CG62+BF62</f>
        <v>15143612.96</v>
      </c>
      <c r="CI62" s="25" t="n">
        <f aca="false">SUM(CE62,CC62,CA62,BY62,BW62,BU62,BS62,BQ62,BO62,BM62,BK62,BI62,BG62,BD62,BB62,AZ62,AX62,AV62,AT62,AR62,AP62,AN62)</f>
        <v>20170667.56</v>
      </c>
      <c r="CJ62" s="25" t="n">
        <f aca="false">CI62-CH62</f>
        <v>5027054.6</v>
      </c>
      <c r="CK62" s="25" t="str">
        <f aca="false">IF(CE62-CF62+CC62-CD62+CA62-CB62+BU62-BV62+BK62-BL62+BI62-BJ62 &gt; 0, CE62-CF62+CC62-CD62+CA62-CB62+BU62-BV62+BK62-BL62+BI62-BJ62, "-")</f>
        <v>-</v>
      </c>
      <c r="CL62" s="25" t="str">
        <f aca="false">IF(CJ62&lt;0,"⚠ Over Budget","✓ Within Budget")</f>
        <v>✓ Within Budget</v>
      </c>
      <c r="CM62" s="27"/>
    </row>
    <row r="63" customFormat="false" ht="14.25" hidden="false" customHeight="false" outlineLevel="0" collapsed="false">
      <c r="A63" s="34" t="s">
        <v>113</v>
      </c>
      <c r="AN63" s="35" t="n">
        <f aca="false">SUM(AN3:AN62)</f>
        <v>432222510.46</v>
      </c>
      <c r="AO63" s="35" t="n">
        <f aca="false">SUM(AO3:AO62)</f>
        <v>412948082.07</v>
      </c>
      <c r="AP63" s="35" t="n">
        <f aca="false">SUM(AP3:AP62)</f>
        <v>43222250.99</v>
      </c>
      <c r="AQ63" s="35" t="n">
        <f aca="false">SUM(AQ3:AQ62)</f>
        <v>40394627.11</v>
      </c>
      <c r="AR63" s="35" t="n">
        <f aca="false">SUM(AR3:AR62)</f>
        <v>25086747.51</v>
      </c>
      <c r="AS63" s="35" t="n">
        <f aca="false">SUM(AS3:AS62)</f>
        <v>18575629.14</v>
      </c>
      <c r="AT63" s="35" t="n">
        <f aca="false">SUM(AT3:AT62)</f>
        <v>21611125.51</v>
      </c>
      <c r="AU63" s="35" t="n">
        <f aca="false">SUM(AU3:AU62)</f>
        <v>20197313.6</v>
      </c>
      <c r="AV63" s="35" t="n">
        <f aca="false">SUM(AV3:AV62)</f>
        <v>3270285.42</v>
      </c>
      <c r="AW63" s="35" t="n">
        <f aca="false">SUM(AW3:AW62)</f>
        <v>3139147.43</v>
      </c>
      <c r="AX63" s="35" t="n">
        <f aca="false">SUM(AX3:AX62)</f>
        <v>2014750.19</v>
      </c>
      <c r="AY63" s="35" t="n">
        <f aca="false">SUM(AY3:AY62)</f>
        <v>1882944.12</v>
      </c>
      <c r="AZ63" s="35" t="n">
        <f aca="false">SUM(AZ3:AZ62)</f>
        <v>2177691.9</v>
      </c>
      <c r="BA63" s="35" t="n">
        <f aca="false">SUM(BA3:BA62)</f>
        <v>2235678.96</v>
      </c>
      <c r="BB63" s="35" t="n">
        <f aca="false">SUM(BB3:BB62)</f>
        <v>978273.9</v>
      </c>
      <c r="BC63" s="35" t="n">
        <f aca="false">SUM(BC3:BC62)</f>
        <v>4395125.85</v>
      </c>
      <c r="BD63" s="35" t="n">
        <f aca="false">SUM(BD3:BD62)</f>
        <v>835074.33</v>
      </c>
      <c r="BE63" s="35" t="n">
        <f aca="false">SUM(BE3:BE62)</f>
        <v>675297.07</v>
      </c>
      <c r="BF63" s="35" t="n">
        <f aca="false">SUM(BF3:BF62)</f>
        <v>504443845.35</v>
      </c>
      <c r="BG63" s="35" t="n">
        <f aca="false">SUM(BG3:BG62)</f>
        <v>1617763.42</v>
      </c>
      <c r="BH63" s="35" t="n">
        <f aca="false">SUM(BH3:BH62)</f>
        <v>1214261.33</v>
      </c>
      <c r="BI63" s="35" t="n">
        <f aca="false">SUM(BI3:BI62)</f>
        <v>1846854.4</v>
      </c>
      <c r="BJ63" s="35" t="n">
        <f aca="false">SUM(BJ3:BJ62)</f>
        <v>1726032.12</v>
      </c>
      <c r="BK63" s="35" t="n">
        <f aca="false">SUM(BK3:BK62)</f>
        <v>1343166.88</v>
      </c>
      <c r="BL63" s="35" t="n">
        <f aca="false">SUM(BL3:BL62)</f>
        <v>1494516.32</v>
      </c>
      <c r="BM63" s="35" t="n">
        <f aca="false">SUM(BM3:BM62)</f>
        <v>3760867.06</v>
      </c>
      <c r="BN63" s="35" t="n">
        <f aca="false">SUM(BN3:BN62)</f>
        <v>6145625.77</v>
      </c>
      <c r="BO63" s="35" t="n">
        <f aca="false">SUM(BO3:BO62)</f>
        <v>2422127.09</v>
      </c>
      <c r="BP63" s="35" t="n">
        <f aca="false">SUM(BP3:BP62)</f>
        <v>10122283.43</v>
      </c>
      <c r="BQ63" s="35" t="n">
        <f aca="false">SUM(BQ3:BQ62)</f>
        <v>19974454.41</v>
      </c>
      <c r="BR63" s="35" t="n">
        <f aca="false">SUM(BR3:BR62)</f>
        <v>18667714.31</v>
      </c>
      <c r="BS63" s="35" t="n">
        <f aca="false">SUM(BS3:BS62)</f>
        <v>931574.63</v>
      </c>
      <c r="BT63" s="35" t="n">
        <f aca="false">SUM(BT3:BT62)</f>
        <v>871159.99</v>
      </c>
      <c r="BU63" s="35" t="n">
        <f aca="false">SUM(BU3:BU62)</f>
        <v>10805562.74</v>
      </c>
      <c r="BV63" s="35" t="n">
        <f aca="false">SUM(BV3:BV62)</f>
        <v>10098656.78</v>
      </c>
      <c r="BW63" s="35" t="n">
        <f aca="false">SUM(BW3:BW62)</f>
        <v>1176455.3</v>
      </c>
      <c r="BX63" s="35" t="n">
        <f aca="false">SUM(BX3:BX62)</f>
        <v>1098384.09</v>
      </c>
      <c r="BY63" s="35" t="n">
        <f aca="false">SUM(BY3:BY62)</f>
        <v>5540638.71</v>
      </c>
      <c r="BZ63" s="35" t="n">
        <f aca="false">SUM(BZ3:BZ62)</f>
        <v>6698626.6</v>
      </c>
      <c r="CA63" s="35" t="n">
        <f aca="false">SUM(CA3:CA62)</f>
        <v>1175270.95</v>
      </c>
      <c r="CB63" s="35" t="n">
        <f aca="false">SUM(CB3:CB62)</f>
        <v>1098384.09</v>
      </c>
      <c r="CC63" s="35" t="n">
        <f aca="false">SUM(CC3:CC62)</f>
        <v>11209566.35</v>
      </c>
      <c r="CD63" s="35" t="n">
        <f aca="false">SUM(CD3:CD62)</f>
        <v>12701315.87</v>
      </c>
      <c r="CE63" s="35" t="n">
        <f aca="false">SUM(CE3:CE62)</f>
        <v>691556.02</v>
      </c>
      <c r="CF63" s="35" t="n">
        <f aca="false">SUM(CF3:CF62)</f>
        <v>646314.06</v>
      </c>
      <c r="CG63" s="35" t="n">
        <f aca="false">SUM(CG3:CG62)</f>
        <v>72583274.76</v>
      </c>
      <c r="CH63" s="35" t="n">
        <f aca="false">SUM(CH3:CH62)</f>
        <v>577027120.11</v>
      </c>
      <c r="CI63" s="35" t="n">
        <f aca="false">SUM(CI3:CI62)</f>
        <v>593914568.17</v>
      </c>
      <c r="CJ63" s="35" t="n">
        <f aca="false">SUM(CJ3:CJ62)</f>
        <v>16887448.06</v>
      </c>
      <c r="CK63" s="35"/>
      <c r="CL63" s="35"/>
    </row>
  </sheetData>
  <mergeCells count="1">
    <mergeCell ref="A1:C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6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M65" activeCellId="0" sqref="CM65"/>
    </sheetView>
  </sheetViews>
  <sheetFormatPr defaultColWidth="8.70703125" defaultRowHeight="14.25" zeroHeight="false" outlineLevelRow="0" outlineLevelCol="0"/>
  <cols>
    <col collapsed="false" customWidth="true" hidden="false" outlineLevel="0" max="2" min="1" style="0" width="7"/>
    <col collapsed="false" customWidth="true" hidden="false" outlineLevel="0" max="30" min="3" style="0" width="10"/>
    <col collapsed="false" customWidth="true" hidden="false" outlineLevel="0" max="31" min="31" style="0" width="19"/>
    <col collapsed="false" customWidth="true" hidden="false" outlineLevel="0" max="32" min="32" style="0" width="10"/>
    <col collapsed="false" customWidth="true" hidden="false" outlineLevel="0" max="41" min="33" style="0" width="19"/>
    <col collapsed="false" customWidth="true" hidden="false" outlineLevel="0" max="89" min="42" style="0" width="18"/>
    <col collapsed="false" customWidth="true" hidden="false" outlineLevel="0" max="90" min="90" style="0" width="10"/>
    <col collapsed="false" customWidth="true" hidden="false" outlineLevel="0" max="91" min="91" style="0" width="24"/>
  </cols>
  <sheetData>
    <row r="1" customFormat="false" ht="23.25" hidden="false" customHeight="true" outlineLevel="0" collapsed="false">
      <c r="A1" s="38" t="s">
        <v>122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customFormat="false" ht="4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7" t="s">
        <v>115</v>
      </c>
      <c r="CF2" s="8" t="s">
        <v>116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customFormat="false" ht="14.25" hidden="false" customHeight="false" outlineLevel="0" collapsed="false">
      <c r="A3" s="16" t="s">
        <v>92</v>
      </c>
      <c r="B3" s="16" t="n">
        <v>2022</v>
      </c>
      <c r="C3" s="16" t="n">
        <v>17</v>
      </c>
      <c r="D3" s="16" t="n">
        <v>1</v>
      </c>
      <c r="E3" s="16" t="n">
        <v>0</v>
      </c>
      <c r="F3" s="16" t="n">
        <v>1</v>
      </c>
      <c r="G3" s="16" t="n">
        <v>0</v>
      </c>
      <c r="H3" s="16" t="n">
        <v>0</v>
      </c>
      <c r="I3" s="16" t="n">
        <v>1</v>
      </c>
      <c r="J3" s="16" t="n">
        <v>2</v>
      </c>
      <c r="K3" s="16" t="n">
        <v>1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1</v>
      </c>
      <c r="Q3" s="16" t="n">
        <v>1</v>
      </c>
      <c r="R3" s="16" t="n">
        <v>0</v>
      </c>
      <c r="S3" s="16" t="n">
        <v>18</v>
      </c>
      <c r="T3" s="16" t="n">
        <v>4</v>
      </c>
      <c r="U3" s="16" t="n">
        <v>14</v>
      </c>
      <c r="V3" s="16" t="n">
        <v>18</v>
      </c>
      <c r="W3" s="16" t="n">
        <v>0</v>
      </c>
      <c r="X3" s="16" t="n">
        <v>1</v>
      </c>
      <c r="Y3" s="16" t="n">
        <v>3</v>
      </c>
      <c r="Z3" s="16" t="n">
        <v>6</v>
      </c>
      <c r="AA3" s="16" t="n">
        <v>5</v>
      </c>
      <c r="AB3" s="16" t="n">
        <v>2</v>
      </c>
      <c r="AC3" s="16" t="n">
        <v>1</v>
      </c>
      <c r="AD3" s="17" t="n">
        <v>0.705882</v>
      </c>
      <c r="AE3" s="17" t="n">
        <v>0</v>
      </c>
      <c r="AF3" s="18" t="n">
        <v>58.5</v>
      </c>
      <c r="AG3" s="19" t="n">
        <v>620000</v>
      </c>
      <c r="AH3" s="19" t="n">
        <v>980000</v>
      </c>
      <c r="AI3" s="19" t="n">
        <v>1600000</v>
      </c>
      <c r="AJ3" s="19" t="n">
        <v>2600000</v>
      </c>
      <c r="AK3" s="19" t="n">
        <v>4000000</v>
      </c>
      <c r="AL3" s="19" t="n">
        <v>7000000</v>
      </c>
      <c r="AM3" s="19" t="n">
        <v>3248144.84</v>
      </c>
      <c r="AN3" s="19" t="n">
        <v>5502898.72</v>
      </c>
      <c r="AO3" s="19" t="n">
        <v>5142896</v>
      </c>
      <c r="AP3" s="19" t="n">
        <v>550289.87</v>
      </c>
      <c r="AQ3" s="19" t="n">
        <v>514289.6</v>
      </c>
      <c r="AR3" s="19" t="n">
        <v>90047.43</v>
      </c>
      <c r="AS3" s="19" t="n">
        <v>308573.76</v>
      </c>
      <c r="AT3" s="19" t="n">
        <v>275144.94</v>
      </c>
      <c r="AU3" s="19" t="n">
        <v>257144.8</v>
      </c>
      <c r="AV3" s="19" t="n">
        <v>28245.9</v>
      </c>
      <c r="AW3" s="19" t="n">
        <v>33822.48</v>
      </c>
      <c r="AX3" s="19" t="n">
        <v>18095.03</v>
      </c>
      <c r="AY3" s="19" t="n">
        <v>16911.24</v>
      </c>
      <c r="AZ3" s="19" t="n">
        <v>13421.7</v>
      </c>
      <c r="BA3" s="19" t="n">
        <v>0</v>
      </c>
      <c r="BB3" s="19" t="n">
        <v>18786.57</v>
      </c>
      <c r="BC3" s="19" t="n">
        <v>54135.75</v>
      </c>
      <c r="BD3" s="19" t="n">
        <v>744.75</v>
      </c>
      <c r="BE3" s="19" t="n">
        <v>0</v>
      </c>
      <c r="BF3" s="19" t="n">
        <f aca="false">SUM(BE3,BC3,BA3,AY3,AW3,AU3,AS3,AQ3,AO3)</f>
        <v>6327773.63</v>
      </c>
      <c r="BG3" s="19" t="n">
        <v>3602.92</v>
      </c>
      <c r="BH3" s="19" t="n">
        <v>9470.29</v>
      </c>
      <c r="BI3" s="19" t="n">
        <v>16587.11</v>
      </c>
      <c r="BJ3" s="19" t="n">
        <v>15501.97</v>
      </c>
      <c r="BK3" s="19" t="n">
        <v>12063.35</v>
      </c>
      <c r="BL3" s="19" t="n">
        <v>11274.16</v>
      </c>
      <c r="BM3" s="19" t="n">
        <v>50666.08</v>
      </c>
      <c r="BN3" s="19" t="n">
        <v>47351.47</v>
      </c>
      <c r="BO3" s="19" t="n">
        <v>60605.35</v>
      </c>
      <c r="BP3" s="19" t="n">
        <v>103840.95</v>
      </c>
      <c r="BQ3" s="19" t="n">
        <v>238092.46</v>
      </c>
      <c r="BR3" s="19" t="n">
        <v>222516.32</v>
      </c>
      <c r="BS3" s="19" t="n">
        <v>7142.77</v>
      </c>
      <c r="BT3" s="19" t="n">
        <v>7788.07</v>
      </c>
      <c r="BU3" s="19" t="n">
        <v>137572.47</v>
      </c>
      <c r="BV3" s="19" t="n">
        <v>128572.4</v>
      </c>
      <c r="BW3" s="19" t="n">
        <v>5066.61</v>
      </c>
      <c r="BX3" s="19" t="n">
        <v>9864.89</v>
      </c>
      <c r="BY3" s="19" t="n">
        <v>5361.49</v>
      </c>
      <c r="BZ3" s="19" t="n">
        <v>11274.16</v>
      </c>
      <c r="CA3" s="19" t="n">
        <v>33777.38</v>
      </c>
      <c r="CB3" s="19" t="n">
        <v>31567.65</v>
      </c>
      <c r="CC3" s="19" t="n">
        <v>112559.29</v>
      </c>
      <c r="CD3" s="19" t="n">
        <v>192858.6</v>
      </c>
      <c r="CE3" s="19" t="n">
        <v>33017.39</v>
      </c>
      <c r="CF3" s="19" t="n">
        <v>30857.38</v>
      </c>
      <c r="CG3" s="19" t="n">
        <f aca="false">SUM(CF3,CD3,CB3,BZ3,BX3,BV3,BT3,BR3,BP3,BN3,BL3,BJ3,BH3)</f>
        <v>822738.31</v>
      </c>
      <c r="CH3" s="19" t="n">
        <f aca="false">CG3+BF3</f>
        <v>7150511.94</v>
      </c>
      <c r="CI3" s="19" t="n">
        <f aca="false">SUM(CE3,CC3,CA3,BY3,BW3,BU3,BS3,BQ3,BO3,BM3,BK3,BI3,BG3,BD3,BB3,AZ3,AX3,AV3,AT3,AR3,AP3,AN3)</f>
        <v>7213789.58</v>
      </c>
      <c r="CJ3" s="19" t="n">
        <f aca="false">CI3-CH3</f>
        <v>63277.6400000006</v>
      </c>
      <c r="CK3" s="19" t="str">
        <f aca="false">IF(CE3-CF3+CC3-CD3+CA3-CB3+BU3-BV3+BK3-BL3+BI3-BJ3 &gt; 0, CE3-CF3+CC3-CD3+CA3-CB3+BU3-BV3+BK3-BL3+BI3-BJ3, "-")</f>
        <v>-</v>
      </c>
      <c r="CL3" s="19" t="str">
        <f aca="false">IF(CJ3&lt;0,"⚠ Over Budget","✓ Within Budget")</f>
        <v>✓ Within Budget</v>
      </c>
      <c r="CM3" s="21"/>
    </row>
    <row r="4" customFormat="false" ht="14.25" hidden="false" customHeight="false" outlineLevel="0" collapsed="false">
      <c r="A4" s="22" t="s">
        <v>93</v>
      </c>
      <c r="B4" s="22" t="n">
        <v>2022</v>
      </c>
      <c r="C4" s="22" t="n">
        <v>18</v>
      </c>
      <c r="D4" s="22" t="n">
        <v>1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1</v>
      </c>
      <c r="J4" s="22" t="n">
        <v>1</v>
      </c>
      <c r="K4" s="22" t="n">
        <v>1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1</v>
      </c>
      <c r="Q4" s="22" t="n">
        <v>1</v>
      </c>
      <c r="R4" s="22" t="n">
        <v>1</v>
      </c>
      <c r="S4" s="22" t="n">
        <v>17</v>
      </c>
      <c r="T4" s="22" t="n">
        <v>4</v>
      </c>
      <c r="U4" s="22" t="n">
        <v>13</v>
      </c>
      <c r="V4" s="22" t="n">
        <v>17</v>
      </c>
      <c r="W4" s="22" t="n">
        <v>0</v>
      </c>
      <c r="X4" s="22" t="n">
        <v>1</v>
      </c>
      <c r="Y4" s="22" t="n">
        <v>3</v>
      </c>
      <c r="Z4" s="22" t="n">
        <v>6</v>
      </c>
      <c r="AA4" s="22" t="n">
        <v>5</v>
      </c>
      <c r="AB4" s="22" t="n">
        <v>2</v>
      </c>
      <c r="AC4" s="22" t="n">
        <v>1</v>
      </c>
      <c r="AD4" s="23" t="n">
        <v>0.666667</v>
      </c>
      <c r="AE4" s="23" t="n">
        <v>0</v>
      </c>
      <c r="AF4" s="24" t="n">
        <v>59.1</v>
      </c>
      <c r="AG4" s="25" t="n">
        <v>620000</v>
      </c>
      <c r="AH4" s="25" t="n">
        <v>980000</v>
      </c>
      <c r="AI4" s="25" t="n">
        <v>1600000</v>
      </c>
      <c r="AJ4" s="25" t="n">
        <v>2600000</v>
      </c>
      <c r="AK4" s="25" t="n">
        <v>4000000</v>
      </c>
      <c r="AL4" s="25" t="n">
        <v>7000000</v>
      </c>
      <c r="AM4" s="25" t="n">
        <v>3248144.84</v>
      </c>
      <c r="AN4" s="25" t="n">
        <v>5213272.47</v>
      </c>
      <c r="AO4" s="25" t="n">
        <v>4872217.26</v>
      </c>
      <c r="AP4" s="25" t="n">
        <v>521327.25</v>
      </c>
      <c r="AQ4" s="25" t="n">
        <v>487221.73</v>
      </c>
      <c r="AR4" s="25" t="n">
        <v>14218.02</v>
      </c>
      <c r="AS4" s="25" t="n">
        <v>0</v>
      </c>
      <c r="AT4" s="25" t="n">
        <v>260663.62</v>
      </c>
      <c r="AU4" s="25" t="n">
        <v>243610.86</v>
      </c>
      <c r="AV4" s="25" t="n">
        <v>26759.27</v>
      </c>
      <c r="AW4" s="25" t="n">
        <v>32042.35</v>
      </c>
      <c r="AX4" s="25" t="n">
        <v>17142.66</v>
      </c>
      <c r="AY4" s="25" t="n">
        <v>16021.17</v>
      </c>
      <c r="AZ4" s="25" t="n">
        <v>12715.3</v>
      </c>
      <c r="BA4" s="25" t="n">
        <v>0</v>
      </c>
      <c r="BB4" s="25" t="n">
        <v>2817.99</v>
      </c>
      <c r="BC4" s="25" t="n">
        <v>0</v>
      </c>
      <c r="BD4" s="25" t="n">
        <v>930.94</v>
      </c>
      <c r="BE4" s="25" t="n">
        <v>0</v>
      </c>
      <c r="BF4" s="25" t="n">
        <f aca="false">SUM(BE4,BC4,BA4,AY4,AW4,AU4,AS4,AQ4,AO4)</f>
        <v>5651113.37</v>
      </c>
      <c r="BG4" s="25" t="n">
        <v>3413.29</v>
      </c>
      <c r="BH4" s="25" t="n">
        <v>8971.86</v>
      </c>
      <c r="BI4" s="25" t="n">
        <v>15714.1</v>
      </c>
      <c r="BJ4" s="25" t="n">
        <v>14686.08</v>
      </c>
      <c r="BK4" s="25" t="n">
        <v>11428.44</v>
      </c>
      <c r="BL4" s="25" t="n">
        <v>10680.78</v>
      </c>
      <c r="BM4" s="25" t="n">
        <v>47999.44</v>
      </c>
      <c r="BN4" s="25" t="n">
        <v>44859.29</v>
      </c>
      <c r="BO4" s="25" t="n">
        <v>4328.95</v>
      </c>
      <c r="BP4" s="25" t="n">
        <v>0</v>
      </c>
      <c r="BQ4" s="25" t="n">
        <v>222219.63</v>
      </c>
      <c r="BR4" s="25" t="n">
        <v>207681.9</v>
      </c>
      <c r="BS4" s="25" t="n">
        <v>6666.59</v>
      </c>
      <c r="BT4" s="25" t="n">
        <v>7268.87</v>
      </c>
      <c r="BU4" s="25" t="n">
        <v>130331.81</v>
      </c>
      <c r="BV4" s="25" t="n">
        <v>121805.43</v>
      </c>
      <c r="BW4" s="25" t="n">
        <v>4799.94</v>
      </c>
      <c r="BX4" s="25" t="n">
        <v>9345.69</v>
      </c>
      <c r="BY4" s="25" t="n">
        <v>5079.31</v>
      </c>
      <c r="BZ4" s="25" t="n">
        <v>10680.78</v>
      </c>
      <c r="CA4" s="25" t="n">
        <v>31999.63</v>
      </c>
      <c r="CB4" s="25" t="n">
        <v>29906.19</v>
      </c>
      <c r="CC4" s="25" t="n">
        <v>106635.12</v>
      </c>
      <c r="CD4" s="25" t="n">
        <v>182708.15</v>
      </c>
      <c r="CE4" s="25" t="n">
        <v>31279.63</v>
      </c>
      <c r="CF4" s="25" t="n">
        <v>29233.3</v>
      </c>
      <c r="CG4" s="25" t="n">
        <f aca="false">SUM(CF4,CD4,CB4,BZ4,BX4,BV4,BT4,BR4,BP4,BN4,BL4,BJ4,BH4)</f>
        <v>677828.32</v>
      </c>
      <c r="CH4" s="25" t="n">
        <f aca="false">CG4+BF4</f>
        <v>6328941.69</v>
      </c>
      <c r="CI4" s="25" t="n">
        <f aca="false">SUM(CE4,CC4,CA4,BY4,BW4,BU4,BS4,BQ4,BO4,BM4,BK4,BI4,BG4,BD4,BB4,AZ4,AX4,AV4,AT4,AR4,AP4,AN4)</f>
        <v>6691743.4</v>
      </c>
      <c r="CJ4" s="25" t="n">
        <f aca="false">CI4-CH4</f>
        <v>362801.709999999</v>
      </c>
      <c r="CK4" s="25" t="str">
        <f aca="false">IF(CE4-CF4+CC4-CD4+CA4-CB4+BU4-BV4+BK4-BL4+BI4-BJ4 &gt; 0, CE4-CF4+CC4-CD4+CA4-CB4+BU4-BV4+BK4-BL4+BI4-BJ4, "-")</f>
        <v>-</v>
      </c>
      <c r="CL4" s="25" t="str">
        <f aca="false">IF(CJ4&lt;0,"⚠ Over Budget","✓ Within Budget")</f>
        <v>✓ Within Budget</v>
      </c>
      <c r="CM4" s="27"/>
    </row>
    <row r="5" customFormat="false" ht="14.25" hidden="false" customHeight="false" outlineLevel="0" collapsed="false">
      <c r="A5" s="16" t="s">
        <v>94</v>
      </c>
      <c r="B5" s="16" t="n">
        <v>2022</v>
      </c>
      <c r="C5" s="16" t="n">
        <v>17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1</v>
      </c>
      <c r="S5" s="16" t="n">
        <v>16</v>
      </c>
      <c r="T5" s="16" t="n">
        <v>4</v>
      </c>
      <c r="U5" s="16" t="n">
        <v>12</v>
      </c>
      <c r="V5" s="16" t="n">
        <v>16</v>
      </c>
      <c r="W5" s="16" t="n">
        <v>0</v>
      </c>
      <c r="X5" s="16" t="n">
        <v>1</v>
      </c>
      <c r="Y5" s="16" t="n">
        <v>3</v>
      </c>
      <c r="Z5" s="16" t="n">
        <v>5</v>
      </c>
      <c r="AA5" s="16" t="n">
        <v>4</v>
      </c>
      <c r="AB5" s="16" t="n">
        <v>2</v>
      </c>
      <c r="AC5" s="16" t="n">
        <v>1</v>
      </c>
      <c r="AD5" s="17" t="n">
        <v>0</v>
      </c>
      <c r="AE5" s="17" t="n">
        <v>0</v>
      </c>
      <c r="AF5" s="18" t="n">
        <v>60.2</v>
      </c>
      <c r="AG5" s="19" t="n">
        <v>620000</v>
      </c>
      <c r="AH5" s="19" t="n">
        <v>980000</v>
      </c>
      <c r="AI5" s="19" t="n">
        <v>1600000</v>
      </c>
      <c r="AJ5" s="19" t="n">
        <v>2600000</v>
      </c>
      <c r="AK5" s="19" t="n">
        <v>4000000</v>
      </c>
      <c r="AL5" s="19" t="n">
        <v>7000000</v>
      </c>
      <c r="AM5" s="19" t="n">
        <v>3248144.84</v>
      </c>
      <c r="AN5" s="19" t="n">
        <v>5213272.47</v>
      </c>
      <c r="AO5" s="19" t="n">
        <v>4872217.26</v>
      </c>
      <c r="AP5" s="19" t="n">
        <v>521327.25</v>
      </c>
      <c r="AQ5" s="19" t="n">
        <v>487221.73</v>
      </c>
      <c r="AR5" s="19" t="n">
        <v>23696.69</v>
      </c>
      <c r="AS5" s="19" t="n">
        <v>0</v>
      </c>
      <c r="AT5" s="19" t="n">
        <v>260663.62</v>
      </c>
      <c r="AU5" s="19" t="n">
        <v>243610.86</v>
      </c>
      <c r="AV5" s="19" t="n">
        <v>25086.82</v>
      </c>
      <c r="AW5" s="19" t="n">
        <v>24031.76</v>
      </c>
      <c r="AX5" s="19" t="n">
        <v>17142.66</v>
      </c>
      <c r="AY5" s="19" t="n">
        <v>16021.17</v>
      </c>
      <c r="AZ5" s="19" t="n">
        <v>40688.96</v>
      </c>
      <c r="BA5" s="19" t="n">
        <v>0</v>
      </c>
      <c r="BB5" s="19" t="n">
        <v>4696.64</v>
      </c>
      <c r="BC5" s="19" t="n">
        <v>0</v>
      </c>
      <c r="BD5" s="19" t="n">
        <v>930.94</v>
      </c>
      <c r="BE5" s="19" t="n">
        <v>0</v>
      </c>
      <c r="BF5" s="19" t="n">
        <f aca="false">SUM(BE5,BC5,BA5,AY5,AW5,AU5,AS5,AQ5,AO5)</f>
        <v>5643102.78</v>
      </c>
      <c r="BG5" s="19" t="n">
        <v>3413.29</v>
      </c>
      <c r="BH5" s="19" t="n">
        <v>8971.86</v>
      </c>
      <c r="BI5" s="19" t="n">
        <v>15714.1</v>
      </c>
      <c r="BJ5" s="19" t="n">
        <v>14686.08</v>
      </c>
      <c r="BK5" s="19" t="n">
        <v>11428.44</v>
      </c>
      <c r="BL5" s="19" t="n">
        <v>10680.78</v>
      </c>
      <c r="BM5" s="19" t="n">
        <v>47999.44</v>
      </c>
      <c r="BN5" s="19" t="n">
        <v>44859.29</v>
      </c>
      <c r="BO5" s="19" t="n">
        <v>4328.95</v>
      </c>
      <c r="BP5" s="19" t="n">
        <v>0</v>
      </c>
      <c r="BQ5" s="19" t="n">
        <v>222219.63</v>
      </c>
      <c r="BR5" s="19" t="n">
        <v>207681.9</v>
      </c>
      <c r="BS5" s="19" t="n">
        <v>7407.32</v>
      </c>
      <c r="BT5" s="19" t="n">
        <v>7268.87</v>
      </c>
      <c r="BU5" s="19" t="n">
        <v>130331.81</v>
      </c>
      <c r="BV5" s="19" t="n">
        <v>121805.43</v>
      </c>
      <c r="BW5" s="19" t="n">
        <v>4799.94</v>
      </c>
      <c r="BX5" s="19" t="n">
        <v>9345.69</v>
      </c>
      <c r="BY5" s="19" t="n">
        <v>27992.08</v>
      </c>
      <c r="BZ5" s="19" t="n">
        <v>24525.77</v>
      </c>
      <c r="CA5" s="19" t="n">
        <v>31999.63</v>
      </c>
      <c r="CB5" s="19" t="n">
        <v>29906.19</v>
      </c>
      <c r="CC5" s="19" t="n">
        <v>1690934.4</v>
      </c>
      <c r="CD5" s="19" t="n">
        <v>579447.92</v>
      </c>
      <c r="CE5" s="19" t="n">
        <v>31279.63</v>
      </c>
      <c r="CF5" s="19" t="n">
        <v>29233.3</v>
      </c>
      <c r="CG5" s="19" t="n">
        <f aca="false">SUM(CF5,CD5,CB5,BZ5,BX5,BV5,BT5,BR5,BP5,BN5,BL5,BJ5,BH5)</f>
        <v>1088413.08</v>
      </c>
      <c r="CH5" s="19" t="n">
        <f aca="false">CG5+BF5</f>
        <v>6731515.86</v>
      </c>
      <c r="CI5" s="19" t="n">
        <f aca="false">SUM(CE5,CC5,CA5,BY5,BW5,BU5,BS5,BQ5,BO5,BM5,BK5,BI5,BG5,BD5,BB5,AZ5,AX5,AV5,AT5,AR5,AP5,AN5)</f>
        <v>8337354.71</v>
      </c>
      <c r="CJ5" s="19" t="n">
        <f aca="false">CI5-CH5</f>
        <v>1605838.85</v>
      </c>
      <c r="CK5" s="19" t="n">
        <f aca="false">IF(CE5-CF5+CC5-CD5+CA5-CB5+BU5-BV5+BK5-BL5+BI5-BJ5 &gt; 0, CE5-CF5+CC5-CD5+CA5-CB5+BU5-BV5+BK5-BL5+BI5-BJ5, "-")</f>
        <v>1125928.31</v>
      </c>
      <c r="CL5" s="19" t="str">
        <f aca="false">IF(CJ5&lt;0,"⚠ Over Budget","✓ Within Budget")</f>
        <v>✓ Within Budget</v>
      </c>
      <c r="CM5" s="21"/>
    </row>
    <row r="6" customFormat="false" ht="14.25" hidden="false" customHeight="false" outlineLevel="0" collapsed="false">
      <c r="A6" s="22" t="s">
        <v>96</v>
      </c>
      <c r="B6" s="22" t="n">
        <v>2022</v>
      </c>
      <c r="C6" s="22" t="n">
        <v>16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16</v>
      </c>
      <c r="T6" s="22" t="n">
        <v>4</v>
      </c>
      <c r="U6" s="22" t="n">
        <v>12</v>
      </c>
      <c r="V6" s="22" t="n">
        <v>16</v>
      </c>
      <c r="W6" s="22" t="n">
        <v>0</v>
      </c>
      <c r="X6" s="22" t="n">
        <v>1</v>
      </c>
      <c r="Y6" s="22" t="n">
        <v>3</v>
      </c>
      <c r="Z6" s="22" t="n">
        <v>5</v>
      </c>
      <c r="AA6" s="22" t="n">
        <v>4</v>
      </c>
      <c r="AB6" s="22" t="n">
        <v>2</v>
      </c>
      <c r="AC6" s="22" t="n">
        <v>1</v>
      </c>
      <c r="AD6" s="23" t="n">
        <v>0</v>
      </c>
      <c r="AE6" s="23" t="n">
        <v>0.0941977188091317</v>
      </c>
      <c r="AF6" s="24" t="n">
        <v>60.8</v>
      </c>
      <c r="AG6" s="25" t="n">
        <v>690267</v>
      </c>
      <c r="AH6" s="25" t="n">
        <v>1080912</v>
      </c>
      <c r="AI6" s="25" t="n">
        <v>1753613</v>
      </c>
      <c r="AJ6" s="25" t="n">
        <v>2834765</v>
      </c>
      <c r="AK6" s="25" t="n">
        <v>4336254</v>
      </c>
      <c r="AL6" s="25" t="n">
        <v>7463824</v>
      </c>
      <c r="AM6" s="25" t="n">
        <v>3536448.21</v>
      </c>
      <c r="AN6" s="25" t="n">
        <v>5675999.37</v>
      </c>
      <c r="AO6" s="25" t="n">
        <v>5304672.31</v>
      </c>
      <c r="AP6" s="25" t="n">
        <v>567599.94</v>
      </c>
      <c r="AQ6" s="25" t="n">
        <v>530467.23</v>
      </c>
      <c r="AR6" s="25" t="n">
        <v>288959.97</v>
      </c>
      <c r="AS6" s="25" t="n">
        <v>371327.06</v>
      </c>
      <c r="AT6" s="25" t="n">
        <v>283799.97</v>
      </c>
      <c r="AU6" s="25" t="n">
        <v>265233.62</v>
      </c>
      <c r="AV6" s="25" t="n">
        <v>30104.18</v>
      </c>
      <c r="AW6" s="25" t="n">
        <v>24031.76</v>
      </c>
      <c r="AX6" s="25" t="n">
        <v>17142.66</v>
      </c>
      <c r="AY6" s="25" t="n">
        <v>16021.17</v>
      </c>
      <c r="AZ6" s="25" t="n">
        <v>55375.6</v>
      </c>
      <c r="BA6" s="25" t="n">
        <v>0</v>
      </c>
      <c r="BB6" s="25" t="n">
        <v>5113.51</v>
      </c>
      <c r="BC6" s="25" t="n">
        <v>0</v>
      </c>
      <c r="BD6" s="25" t="n">
        <v>337.86</v>
      </c>
      <c r="BE6" s="25" t="n">
        <v>0</v>
      </c>
      <c r="BF6" s="25" t="n">
        <f aca="false">SUM(BE6,BC6,BA6,AY6,AW6,AU6,AS6,AQ6,AO6)</f>
        <v>6511753.15</v>
      </c>
      <c r="BG6" s="25" t="n">
        <v>59001.22</v>
      </c>
      <c r="BH6" s="25" t="n">
        <v>28197.27</v>
      </c>
      <c r="BI6" s="25" t="n">
        <v>15714.1</v>
      </c>
      <c r="BJ6" s="25" t="n">
        <v>14686.08</v>
      </c>
      <c r="BK6" s="25" t="n">
        <v>11428.44</v>
      </c>
      <c r="BL6" s="25" t="n">
        <v>10680.78</v>
      </c>
      <c r="BM6" s="25" t="n">
        <v>47999.44</v>
      </c>
      <c r="BN6" s="25" t="n">
        <v>44859.29</v>
      </c>
      <c r="BO6" s="25" t="n">
        <v>21644.77</v>
      </c>
      <c r="BP6" s="25" t="n">
        <v>0</v>
      </c>
      <c r="BQ6" s="25" t="n">
        <v>222219.63</v>
      </c>
      <c r="BR6" s="25" t="n">
        <v>207681.9</v>
      </c>
      <c r="BS6" s="25" t="n">
        <v>7407.32</v>
      </c>
      <c r="BT6" s="25" t="n">
        <v>7268.87</v>
      </c>
      <c r="BU6" s="25" t="n">
        <v>141899.98</v>
      </c>
      <c r="BV6" s="25" t="n">
        <v>132616.81</v>
      </c>
      <c r="BW6" s="25" t="n">
        <v>19199.78</v>
      </c>
      <c r="BX6" s="25" t="n">
        <v>9345.69</v>
      </c>
      <c r="BY6" s="25" t="n">
        <v>5079.31</v>
      </c>
      <c r="BZ6" s="25" t="n">
        <v>10680.78</v>
      </c>
      <c r="CA6" s="25" t="n">
        <v>31999.63</v>
      </c>
      <c r="CB6" s="25" t="n">
        <v>29906.19</v>
      </c>
      <c r="CC6" s="25" t="n">
        <v>1959850.72</v>
      </c>
      <c r="CD6" s="25" t="n">
        <v>671599.94</v>
      </c>
      <c r="CE6" s="25" t="n">
        <v>34056</v>
      </c>
      <c r="CF6" s="25" t="n">
        <v>31828.03</v>
      </c>
      <c r="CG6" s="25" t="n">
        <f aca="false">SUM(CF6,CD6,CB6,BZ6,BX6,BV6,BT6,BR6,BP6,BN6,BL6,BJ6,BH6)</f>
        <v>1199351.63</v>
      </c>
      <c r="CH6" s="25" t="n">
        <f aca="false">CG6+BF6</f>
        <v>7711104.78</v>
      </c>
      <c r="CI6" s="25" t="n">
        <f aca="false">SUM(CE6,CC6,CA6,BY6,BW6,BU6,BS6,BQ6,BO6,BM6,BK6,BI6,BG6,BD6,BB6,AZ6,AX6,AV6,AT6,AR6,AP6,AN6)</f>
        <v>9501933.4</v>
      </c>
      <c r="CJ6" s="25" t="n">
        <f aca="false">CI6-CH6</f>
        <v>1790828.62</v>
      </c>
      <c r="CK6" s="25" t="n">
        <f aca="false">IF(CE6-CF6+CC6-CD6+CA6-CB6+BU6-BV6+BK6-BL6+BI6-BJ6 &gt; 0, CE6-CF6+CC6-CD6+CA6-CB6+BU6-BV6+BK6-BL6+BI6-BJ6, "-")</f>
        <v>1303631.04</v>
      </c>
      <c r="CL6" s="25" t="str">
        <f aca="false">IF(CJ6&lt;0,"⚠ Over Budget","✓ Within Budget")</f>
        <v>✓ Within Budget</v>
      </c>
      <c r="CM6" s="27"/>
    </row>
    <row r="7" customFormat="false" ht="14.25" hidden="false" customHeight="false" outlineLevel="0" collapsed="false">
      <c r="A7" s="16" t="s">
        <v>98</v>
      </c>
      <c r="B7" s="16" t="n">
        <v>2022</v>
      </c>
      <c r="C7" s="16" t="n">
        <v>16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16</v>
      </c>
      <c r="T7" s="16" t="n">
        <v>4</v>
      </c>
      <c r="U7" s="16" t="n">
        <v>12</v>
      </c>
      <c r="V7" s="16" t="n">
        <v>16</v>
      </c>
      <c r="W7" s="16" t="n">
        <v>0</v>
      </c>
      <c r="X7" s="16" t="n">
        <v>1</v>
      </c>
      <c r="Y7" s="16" t="n">
        <v>3</v>
      </c>
      <c r="Z7" s="16" t="n">
        <v>5</v>
      </c>
      <c r="AA7" s="16" t="n">
        <v>4</v>
      </c>
      <c r="AB7" s="16" t="n">
        <v>2</v>
      </c>
      <c r="AC7" s="16" t="n">
        <v>1</v>
      </c>
      <c r="AD7" s="17" t="n">
        <v>0</v>
      </c>
      <c r="AE7" s="17" t="n">
        <v>0</v>
      </c>
      <c r="AF7" s="18" t="n">
        <v>61.4</v>
      </c>
      <c r="AG7" s="19" t="n">
        <v>690267</v>
      </c>
      <c r="AH7" s="19" t="n">
        <v>1080912</v>
      </c>
      <c r="AI7" s="19" t="n">
        <v>1753613</v>
      </c>
      <c r="AJ7" s="19" t="n">
        <v>2834765</v>
      </c>
      <c r="AK7" s="19" t="n">
        <v>4336254</v>
      </c>
      <c r="AL7" s="19" t="n">
        <v>7463824</v>
      </c>
      <c r="AM7" s="19" t="n">
        <v>3536448.21</v>
      </c>
      <c r="AN7" s="19" t="n">
        <v>5675999.37</v>
      </c>
      <c r="AO7" s="19" t="n">
        <v>5304672.31</v>
      </c>
      <c r="AP7" s="19" t="n">
        <v>567599.94</v>
      </c>
      <c r="AQ7" s="19" t="n">
        <v>530467.23</v>
      </c>
      <c r="AR7" s="19" t="n">
        <v>20640</v>
      </c>
      <c r="AS7" s="19" t="n">
        <v>0</v>
      </c>
      <c r="AT7" s="19" t="n">
        <v>283799.97</v>
      </c>
      <c r="AU7" s="19" t="n">
        <v>265233.62</v>
      </c>
      <c r="AV7" s="19" t="n">
        <v>32612.86</v>
      </c>
      <c r="AW7" s="19" t="n">
        <v>24031.76</v>
      </c>
      <c r="AX7" s="19" t="n">
        <v>17142.66</v>
      </c>
      <c r="AY7" s="19" t="n">
        <v>16021.17</v>
      </c>
      <c r="AZ7" s="19" t="n">
        <v>16612.68</v>
      </c>
      <c r="BA7" s="19" t="n">
        <v>0</v>
      </c>
      <c r="BB7" s="19" t="n">
        <v>2045.41</v>
      </c>
      <c r="BC7" s="19" t="n">
        <v>0</v>
      </c>
      <c r="BD7" s="19" t="n">
        <v>337.86</v>
      </c>
      <c r="BE7" s="19" t="n">
        <v>0</v>
      </c>
      <c r="BF7" s="19" t="n">
        <f aca="false">SUM(BE7,BC7,BA7,AY7,AW7,AU7,AS7,AQ7,AO7)</f>
        <v>6140426.09</v>
      </c>
      <c r="BG7" s="19" t="n">
        <v>39496.68</v>
      </c>
      <c r="BH7" s="19" t="n">
        <v>23070.49</v>
      </c>
      <c r="BI7" s="19" t="n">
        <v>15714.1</v>
      </c>
      <c r="BJ7" s="19" t="n">
        <v>14686.08</v>
      </c>
      <c r="BK7" s="19" t="n">
        <v>11428.44</v>
      </c>
      <c r="BL7" s="19" t="n">
        <v>10680.78</v>
      </c>
      <c r="BM7" s="19" t="n">
        <v>47999.44</v>
      </c>
      <c r="BN7" s="19" t="n">
        <v>44859.29</v>
      </c>
      <c r="BO7" s="19" t="n">
        <v>8657.91</v>
      </c>
      <c r="BP7" s="19" t="n">
        <v>0</v>
      </c>
      <c r="BQ7" s="19" t="n">
        <v>222219.63</v>
      </c>
      <c r="BR7" s="19" t="n">
        <v>207681.9</v>
      </c>
      <c r="BS7" s="19" t="n">
        <v>8148.05</v>
      </c>
      <c r="BT7" s="19" t="n">
        <v>7268.87</v>
      </c>
      <c r="BU7" s="19" t="n">
        <v>141899.98</v>
      </c>
      <c r="BV7" s="19" t="n">
        <v>132616.81</v>
      </c>
      <c r="BW7" s="19" t="n">
        <v>14399.83</v>
      </c>
      <c r="BX7" s="19" t="n">
        <v>9345.69</v>
      </c>
      <c r="BY7" s="19" t="n">
        <v>5079.31</v>
      </c>
      <c r="BZ7" s="19" t="n">
        <v>10680.78</v>
      </c>
      <c r="CA7" s="19" t="n">
        <v>31999.63</v>
      </c>
      <c r="CB7" s="19" t="n">
        <v>29906.19</v>
      </c>
      <c r="CC7" s="19" t="n">
        <v>185759.98</v>
      </c>
      <c r="CD7" s="19" t="n">
        <v>198925.21</v>
      </c>
      <c r="CE7" s="19" t="n">
        <v>34056</v>
      </c>
      <c r="CF7" s="19" t="n">
        <v>31828.03</v>
      </c>
      <c r="CG7" s="19" t="n">
        <f aca="false">SUM(CF7,CD7,CB7,BZ7,BX7,BV7,BT7,BR7,BP7,BN7,BL7,BJ7,BH7)</f>
        <v>721550.12</v>
      </c>
      <c r="CH7" s="19" t="n">
        <f aca="false">CG7+BF7</f>
        <v>6861976.21</v>
      </c>
      <c r="CI7" s="19" t="n">
        <f aca="false">SUM(CE7,CC7,CA7,BY7,BW7,BU7,BS7,BQ7,BO7,BM7,BK7,BI7,BG7,BD7,BB7,AZ7,AX7,AV7,AT7,AR7,AP7,AN7)</f>
        <v>7383649.73</v>
      </c>
      <c r="CJ7" s="19" t="n">
        <f aca="false">CI7-CH7</f>
        <v>521673.520000001</v>
      </c>
      <c r="CK7" s="19" t="n">
        <f aca="false">IF(CE7-CF7+CC7-CD7+CA7-CB7+BU7-BV7+BK7-BL7+BI7-BJ7 &gt; 0, CE7-CF7+CC7-CD7+CA7-CB7+BU7-BV7+BK7-BL7+BI7-BJ7, "-")</f>
        <v>2215.03000000004</v>
      </c>
      <c r="CL7" s="19" t="str">
        <f aca="false">IF(CJ7&lt;0,"⚠ Over Budget","✓ Within Budget")</f>
        <v>✓ Within Budget</v>
      </c>
      <c r="CM7" s="21"/>
    </row>
    <row r="8" customFormat="false" ht="14.25" hidden="false" customHeight="false" outlineLevel="0" collapsed="false">
      <c r="A8" s="22" t="s">
        <v>99</v>
      </c>
      <c r="B8" s="22" t="n">
        <v>2022</v>
      </c>
      <c r="C8" s="22" t="n">
        <v>16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1</v>
      </c>
      <c r="S8" s="22" t="n">
        <v>15</v>
      </c>
      <c r="T8" s="22" t="n">
        <v>4</v>
      </c>
      <c r="U8" s="22" t="n">
        <v>11</v>
      </c>
      <c r="V8" s="22" t="n">
        <v>15</v>
      </c>
      <c r="W8" s="22" t="n">
        <v>0</v>
      </c>
      <c r="X8" s="22" t="n">
        <v>1</v>
      </c>
      <c r="Y8" s="22" t="n">
        <v>3</v>
      </c>
      <c r="Z8" s="22" t="n">
        <v>5</v>
      </c>
      <c r="AA8" s="22" t="n">
        <v>4</v>
      </c>
      <c r="AB8" s="22" t="n">
        <v>2</v>
      </c>
      <c r="AC8" s="22" t="n">
        <v>1</v>
      </c>
      <c r="AD8" s="23" t="n">
        <v>0</v>
      </c>
      <c r="AE8" s="23" t="n">
        <v>0</v>
      </c>
      <c r="AF8" s="24" t="n">
        <v>60.9</v>
      </c>
      <c r="AG8" s="25" t="n">
        <v>690267</v>
      </c>
      <c r="AH8" s="25" t="n">
        <v>1080912</v>
      </c>
      <c r="AI8" s="25" t="n">
        <v>1753613</v>
      </c>
      <c r="AJ8" s="25" t="n">
        <v>2834765</v>
      </c>
      <c r="AK8" s="25" t="n">
        <v>4336254</v>
      </c>
      <c r="AL8" s="25" t="n">
        <v>7463824</v>
      </c>
      <c r="AM8" s="25" t="n">
        <v>3536448.21</v>
      </c>
      <c r="AN8" s="25" t="n">
        <v>5360666.08</v>
      </c>
      <c r="AO8" s="25" t="n">
        <v>5009968.29</v>
      </c>
      <c r="AP8" s="25" t="n">
        <v>536066.61</v>
      </c>
      <c r="AQ8" s="25" t="n">
        <v>500996.83</v>
      </c>
      <c r="AR8" s="25" t="n">
        <v>19493.33</v>
      </c>
      <c r="AS8" s="25" t="n">
        <v>0</v>
      </c>
      <c r="AT8" s="25" t="n">
        <v>268033.3</v>
      </c>
      <c r="AU8" s="25" t="n">
        <v>250498.41</v>
      </c>
      <c r="AV8" s="25" t="n">
        <v>35539.65</v>
      </c>
      <c r="AW8" s="25" t="n">
        <v>22696.66</v>
      </c>
      <c r="AX8" s="25" t="n">
        <v>16190.29</v>
      </c>
      <c r="AY8" s="25" t="n">
        <v>15131.11</v>
      </c>
      <c r="AZ8" s="25" t="n">
        <v>15689.75</v>
      </c>
      <c r="BA8" s="25" t="n">
        <v>0</v>
      </c>
      <c r="BB8" s="25" t="n">
        <v>3068.11</v>
      </c>
      <c r="BC8" s="25" t="n">
        <v>0</v>
      </c>
      <c r="BD8" s="25" t="n">
        <v>202714.26</v>
      </c>
      <c r="BE8" s="25" t="n">
        <v>176822.41</v>
      </c>
      <c r="BF8" s="25" t="n">
        <f aca="false">SUM(BE8,BC8,BA8,AY8,AW8,AU8,AS8,AQ8,AO8)</f>
        <v>5976113.71</v>
      </c>
      <c r="BG8" s="25" t="n">
        <v>6447.33</v>
      </c>
      <c r="BH8" s="25" t="n">
        <v>8473.42</v>
      </c>
      <c r="BI8" s="25" t="n">
        <v>14841.1</v>
      </c>
      <c r="BJ8" s="25" t="n">
        <v>13870.18</v>
      </c>
      <c r="BK8" s="25" t="n">
        <v>10793.52</v>
      </c>
      <c r="BL8" s="25" t="n">
        <v>10087.41</v>
      </c>
      <c r="BM8" s="25" t="n">
        <v>45332.8</v>
      </c>
      <c r="BN8" s="25" t="n">
        <v>42367.11</v>
      </c>
      <c r="BO8" s="25" t="n">
        <v>4328.95</v>
      </c>
      <c r="BP8" s="25" t="n">
        <v>0</v>
      </c>
      <c r="BQ8" s="25" t="n">
        <v>206346.8</v>
      </c>
      <c r="BR8" s="25" t="n">
        <v>192847.47</v>
      </c>
      <c r="BS8" s="25" t="n">
        <v>8941.69</v>
      </c>
      <c r="BT8" s="25" t="n">
        <v>6749.66</v>
      </c>
      <c r="BU8" s="25" t="n">
        <v>134016.65</v>
      </c>
      <c r="BV8" s="25" t="n">
        <v>125249.21</v>
      </c>
      <c r="BW8" s="25" t="n">
        <v>9066.56</v>
      </c>
      <c r="BX8" s="25" t="n">
        <v>8826.48</v>
      </c>
      <c r="BY8" s="25" t="n">
        <v>162637.22</v>
      </c>
      <c r="BZ8" s="25" t="n">
        <v>68398.83</v>
      </c>
      <c r="CA8" s="25" t="n">
        <v>30221.87</v>
      </c>
      <c r="CB8" s="25" t="n">
        <v>28244.74</v>
      </c>
      <c r="CC8" s="25" t="n">
        <v>109649.99</v>
      </c>
      <c r="CD8" s="25" t="n">
        <v>187873.81</v>
      </c>
      <c r="CE8" s="25" t="n">
        <v>32164</v>
      </c>
      <c r="CF8" s="25" t="n">
        <v>30059.81</v>
      </c>
      <c r="CG8" s="25" t="n">
        <f aca="false">SUM(CF8,CD8,CB8,BZ8,BX8,BV8,BT8,BR8,BP8,BN8,BL8,BJ8,BH8)</f>
        <v>723048.13</v>
      </c>
      <c r="CH8" s="25" t="n">
        <f aca="false">CG8+BF8</f>
        <v>6699161.84</v>
      </c>
      <c r="CI8" s="25" t="n">
        <f aca="false">SUM(CE8,CC8,CA8,BY8,BW8,BU8,BS8,BQ8,BO8,BM8,BK8,BI8,BG8,BD8,BB8,AZ8,AX8,AV8,AT8,AR8,AP8,AN8)</f>
        <v>7232249.86</v>
      </c>
      <c r="CJ8" s="25" t="n">
        <f aca="false">CI8-CH8</f>
        <v>533088.020000001</v>
      </c>
      <c r="CK8" s="25" t="str">
        <f aca="false">IF(CE8-CF8+CC8-CD8+CA8-CB8+BU8-BV8+BK8-BL8+BI8-BJ8 &gt; 0, CE8-CF8+CC8-CD8+CA8-CB8+BU8-BV8+BK8-BL8+BI8-BJ8, "-")</f>
        <v>-</v>
      </c>
      <c r="CL8" s="25" t="str">
        <f aca="false">IF(CJ8&lt;0,"⚠ Over Budget","✓ Within Budget")</f>
        <v>✓ Within Budget</v>
      </c>
      <c r="CM8" s="27"/>
    </row>
    <row r="9" customFormat="false" ht="14.25" hidden="false" customHeight="false" outlineLevel="0" collapsed="false">
      <c r="A9" s="16" t="s">
        <v>100</v>
      </c>
      <c r="B9" s="16" t="n">
        <v>2022</v>
      </c>
      <c r="C9" s="16" t="n">
        <v>15</v>
      </c>
      <c r="D9" s="16" t="n">
        <v>1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1</v>
      </c>
      <c r="J9" s="16" t="n">
        <v>1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1</v>
      </c>
      <c r="S9" s="16" t="n">
        <v>15</v>
      </c>
      <c r="T9" s="16" t="n">
        <v>3</v>
      </c>
      <c r="U9" s="16" t="n">
        <v>12</v>
      </c>
      <c r="V9" s="16" t="n">
        <v>15</v>
      </c>
      <c r="W9" s="16" t="n">
        <v>0</v>
      </c>
      <c r="X9" s="16" t="n">
        <v>1</v>
      </c>
      <c r="Y9" s="16" t="n">
        <v>3</v>
      </c>
      <c r="Z9" s="16" t="n">
        <v>5</v>
      </c>
      <c r="AA9" s="16" t="n">
        <v>4</v>
      </c>
      <c r="AB9" s="16" t="n">
        <v>2</v>
      </c>
      <c r="AC9" s="16" t="n">
        <v>1</v>
      </c>
      <c r="AD9" s="17" t="n">
        <v>0</v>
      </c>
      <c r="AE9" s="17" t="n">
        <v>0</v>
      </c>
      <c r="AF9" s="18" t="n">
        <v>59.8</v>
      </c>
      <c r="AG9" s="19" t="n">
        <v>690267</v>
      </c>
      <c r="AH9" s="19" t="n">
        <v>1080912</v>
      </c>
      <c r="AI9" s="19" t="n">
        <v>1753613</v>
      </c>
      <c r="AJ9" s="19" t="n">
        <v>2834765</v>
      </c>
      <c r="AK9" s="19" t="n">
        <v>4336254</v>
      </c>
      <c r="AL9" s="19" t="n">
        <v>7463824</v>
      </c>
      <c r="AM9" s="19" t="n">
        <v>3536448.21</v>
      </c>
      <c r="AN9" s="19" t="n">
        <v>5675999.37</v>
      </c>
      <c r="AO9" s="19" t="n">
        <v>5304672.31</v>
      </c>
      <c r="AP9" s="19" t="n">
        <v>567599.94</v>
      </c>
      <c r="AQ9" s="19" t="n">
        <v>530467.23</v>
      </c>
      <c r="AR9" s="19" t="n">
        <v>20640</v>
      </c>
      <c r="AS9" s="19" t="n">
        <v>0</v>
      </c>
      <c r="AT9" s="19" t="n">
        <v>283799.97</v>
      </c>
      <c r="AU9" s="19" t="n">
        <v>265233.62</v>
      </c>
      <c r="AV9" s="19" t="n">
        <v>30104.18</v>
      </c>
      <c r="AW9" s="19" t="n">
        <v>24031.76</v>
      </c>
      <c r="AX9" s="19" t="n">
        <v>17142.66</v>
      </c>
      <c r="AY9" s="19" t="n">
        <v>16021.17</v>
      </c>
      <c r="AZ9" s="19" t="n">
        <v>13843.9</v>
      </c>
      <c r="BA9" s="19" t="n">
        <v>0</v>
      </c>
      <c r="BB9" s="19" t="n">
        <v>51135.13</v>
      </c>
      <c r="BC9" s="19" t="n">
        <v>29470.4</v>
      </c>
      <c r="BD9" s="19" t="n">
        <v>1013.57</v>
      </c>
      <c r="BE9" s="19" t="n">
        <v>0</v>
      </c>
      <c r="BF9" s="19" t="n">
        <f aca="false">SUM(BE9,BC9,BA9,AY9,AW9,AU9,AS9,AQ9,AO9)</f>
        <v>6169896.49</v>
      </c>
      <c r="BG9" s="19" t="n">
        <v>5119.94</v>
      </c>
      <c r="BH9" s="19" t="n">
        <v>8971.86</v>
      </c>
      <c r="BI9" s="19" t="n">
        <v>15714.1</v>
      </c>
      <c r="BJ9" s="19" t="n">
        <v>14686.08</v>
      </c>
      <c r="BK9" s="19" t="n">
        <v>11428.44</v>
      </c>
      <c r="BL9" s="19" t="n">
        <v>10680.78</v>
      </c>
      <c r="BM9" s="19" t="n">
        <v>47999.44</v>
      </c>
      <c r="BN9" s="19" t="n">
        <v>44859.29</v>
      </c>
      <c r="BO9" s="19" t="n">
        <v>151513.38</v>
      </c>
      <c r="BP9" s="19" t="n">
        <v>51920.47</v>
      </c>
      <c r="BQ9" s="19" t="n">
        <v>222219.63</v>
      </c>
      <c r="BR9" s="19" t="n">
        <v>207681.9</v>
      </c>
      <c r="BS9" s="19" t="n">
        <v>9629.52</v>
      </c>
      <c r="BT9" s="19" t="n">
        <v>7268.87</v>
      </c>
      <c r="BU9" s="19" t="n">
        <v>141899.98</v>
      </c>
      <c r="BV9" s="19" t="n">
        <v>132616.81</v>
      </c>
      <c r="BW9" s="19" t="n">
        <v>4799.94</v>
      </c>
      <c r="BX9" s="19" t="n">
        <v>9345.69</v>
      </c>
      <c r="BY9" s="19" t="n">
        <v>5079.31</v>
      </c>
      <c r="BZ9" s="19" t="n">
        <v>10680.78</v>
      </c>
      <c r="CA9" s="19" t="n">
        <v>31999.63</v>
      </c>
      <c r="CB9" s="19" t="n">
        <v>29906.19</v>
      </c>
      <c r="CC9" s="19" t="n">
        <v>116099.99</v>
      </c>
      <c r="CD9" s="19" t="n">
        <v>198925.21</v>
      </c>
      <c r="CE9" s="19" t="n">
        <v>34056</v>
      </c>
      <c r="CF9" s="19" t="n">
        <v>31828.03</v>
      </c>
      <c r="CG9" s="19" t="n">
        <f aca="false">SUM(CF9,CD9,CB9,BZ9,BX9,BV9,BT9,BR9,BP9,BN9,BL9,BJ9,BH9)</f>
        <v>759371.96</v>
      </c>
      <c r="CH9" s="19" t="n">
        <f aca="false">CG9+BF9</f>
        <v>6929268.45</v>
      </c>
      <c r="CI9" s="19" t="n">
        <f aca="false">SUM(CE9,CC9,CA9,BY9,BW9,BU9,BS9,BQ9,BO9,BM9,BK9,BI9,BG9,BD9,BB9,AZ9,AX9,AV9,AT9,AR9,AP9,AN9)</f>
        <v>7458838.02</v>
      </c>
      <c r="CJ9" s="19" t="n">
        <f aca="false">CI9-CH9</f>
        <v>529569.570000001</v>
      </c>
      <c r="CK9" s="19" t="str">
        <f aca="false">IF(CE9-CF9+CC9-CD9+CA9-CB9+BU9-BV9+BK9-BL9+BI9-BJ9 &gt; 0, CE9-CF9+CC9-CD9+CA9-CB9+BU9-BV9+BK9-BL9+BI9-BJ9, "-")</f>
        <v>-</v>
      </c>
      <c r="CL9" s="19" t="str">
        <f aca="false">IF(CJ9&lt;0,"⚠ Over Budget","✓ Within Budget")</f>
        <v>✓ Within Budget</v>
      </c>
      <c r="CM9" s="21"/>
    </row>
    <row r="10" customFormat="false" ht="14.25" hidden="false" customHeight="false" outlineLevel="0" collapsed="false">
      <c r="A10" s="22" t="s">
        <v>101</v>
      </c>
      <c r="B10" s="22" t="n">
        <v>2022</v>
      </c>
      <c r="C10" s="22" t="n">
        <v>15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15</v>
      </c>
      <c r="T10" s="22" t="n">
        <v>3</v>
      </c>
      <c r="U10" s="22" t="n">
        <v>12</v>
      </c>
      <c r="V10" s="22" t="n">
        <v>15</v>
      </c>
      <c r="W10" s="22" t="n">
        <v>0</v>
      </c>
      <c r="X10" s="22" t="n">
        <v>1</v>
      </c>
      <c r="Y10" s="22" t="n">
        <v>3</v>
      </c>
      <c r="Z10" s="22" t="n">
        <v>5</v>
      </c>
      <c r="AA10" s="22" t="n">
        <v>4</v>
      </c>
      <c r="AB10" s="22" t="n">
        <v>2</v>
      </c>
      <c r="AC10" s="22" t="n">
        <v>1</v>
      </c>
      <c r="AD10" s="23" t="n">
        <v>0</v>
      </c>
      <c r="AE10" s="23" t="n">
        <v>0</v>
      </c>
      <c r="AF10" s="24" t="n">
        <v>59.2</v>
      </c>
      <c r="AG10" s="25" t="n">
        <v>690267</v>
      </c>
      <c r="AH10" s="25" t="n">
        <v>1080912</v>
      </c>
      <c r="AI10" s="25" t="n">
        <v>1753613</v>
      </c>
      <c r="AJ10" s="25" t="n">
        <v>2834765</v>
      </c>
      <c r="AK10" s="25" t="n">
        <v>4336254</v>
      </c>
      <c r="AL10" s="25" t="n">
        <v>7463824</v>
      </c>
      <c r="AM10" s="25" t="n">
        <v>3536448.21</v>
      </c>
      <c r="AN10" s="25" t="n">
        <v>5675999.37</v>
      </c>
      <c r="AO10" s="25" t="n">
        <v>5304672.31</v>
      </c>
      <c r="AP10" s="25" t="n">
        <v>567599.94</v>
      </c>
      <c r="AQ10" s="25" t="n">
        <v>530467.23</v>
      </c>
      <c r="AR10" s="25" t="n">
        <v>20640</v>
      </c>
      <c r="AS10" s="25" t="n">
        <v>0</v>
      </c>
      <c r="AT10" s="25" t="n">
        <v>283799.97</v>
      </c>
      <c r="AU10" s="25" t="n">
        <v>265233.62</v>
      </c>
      <c r="AV10" s="25" t="n">
        <v>25086.82</v>
      </c>
      <c r="AW10" s="25" t="n">
        <v>24031.76</v>
      </c>
      <c r="AX10" s="25" t="n">
        <v>17142.66</v>
      </c>
      <c r="AY10" s="25" t="n">
        <v>16021.17</v>
      </c>
      <c r="AZ10" s="25" t="n">
        <v>13843.9</v>
      </c>
      <c r="BA10" s="25" t="n">
        <v>0</v>
      </c>
      <c r="BB10" s="25" t="n">
        <v>5113.51</v>
      </c>
      <c r="BC10" s="25" t="n">
        <v>0</v>
      </c>
      <c r="BD10" s="25" t="n">
        <v>1013.57</v>
      </c>
      <c r="BE10" s="25" t="n">
        <v>0</v>
      </c>
      <c r="BF10" s="25" t="n">
        <f aca="false">SUM(BE10,BC10,BA10,AY10,AW10,AU10,AS10,AQ10,AO10)</f>
        <v>6140426.09</v>
      </c>
      <c r="BG10" s="25" t="n">
        <v>27428.25</v>
      </c>
      <c r="BH10" s="25" t="n">
        <v>19225.41</v>
      </c>
      <c r="BI10" s="25" t="n">
        <v>15714.1</v>
      </c>
      <c r="BJ10" s="25" t="n">
        <v>14686.08</v>
      </c>
      <c r="BK10" s="25" t="n">
        <v>11428.44</v>
      </c>
      <c r="BL10" s="25" t="n">
        <v>10680.78</v>
      </c>
      <c r="BM10" s="25" t="n">
        <v>47999.44</v>
      </c>
      <c r="BN10" s="25" t="n">
        <v>44859.29</v>
      </c>
      <c r="BO10" s="25" t="n">
        <v>8657.91</v>
      </c>
      <c r="BP10" s="25" t="n">
        <v>0</v>
      </c>
      <c r="BQ10" s="25" t="n">
        <v>222219.63</v>
      </c>
      <c r="BR10" s="25" t="n">
        <v>207681.9</v>
      </c>
      <c r="BS10" s="25" t="n">
        <v>9629.52</v>
      </c>
      <c r="BT10" s="25" t="n">
        <v>7268.87</v>
      </c>
      <c r="BU10" s="25" t="n">
        <v>141899.98</v>
      </c>
      <c r="BV10" s="25" t="n">
        <v>132616.81</v>
      </c>
      <c r="BW10" s="25" t="n">
        <v>9599.89</v>
      </c>
      <c r="BX10" s="25" t="n">
        <v>9345.69</v>
      </c>
      <c r="BY10" s="25" t="n">
        <v>14422.77</v>
      </c>
      <c r="BZ10" s="25" t="n">
        <v>25273.55</v>
      </c>
      <c r="CA10" s="25" t="n">
        <v>31999.63</v>
      </c>
      <c r="CB10" s="25" t="n">
        <v>29906.19</v>
      </c>
      <c r="CC10" s="25" t="n">
        <v>116099.99</v>
      </c>
      <c r="CD10" s="25" t="n">
        <v>198925.21</v>
      </c>
      <c r="CE10" s="25" t="n">
        <v>34056</v>
      </c>
      <c r="CF10" s="25" t="n">
        <v>31828.03</v>
      </c>
      <c r="CG10" s="25" t="n">
        <f aca="false">SUM(CF10,CD10,CB10,BZ10,BX10,BV10,BT10,BR10,BP10,BN10,BL10,BJ10,BH10)</f>
        <v>732297.81</v>
      </c>
      <c r="CH10" s="25" t="n">
        <f aca="false">CG10+BF10</f>
        <v>6872723.9</v>
      </c>
      <c r="CI10" s="25" t="n">
        <f aca="false">SUM(CE10,CC10,CA10,BY10,BW10,BU10,BS10,BQ10,BO10,BM10,BK10,BI10,BG10,BD10,BB10,AZ10,AX10,AV10,AT10,AR10,AP10,AN10)</f>
        <v>7301395.29</v>
      </c>
      <c r="CJ10" s="25" t="n">
        <f aca="false">CI10-CH10</f>
        <v>428671.390000001</v>
      </c>
      <c r="CK10" s="25" t="str">
        <f aca="false">IF(CE10-CF10+CC10-CD10+CA10-CB10+BU10-BV10+BK10-BL10+BI10-BJ10 &gt; 0, CE10-CF10+CC10-CD10+CA10-CB10+BU10-BV10+BK10-BL10+BI10-BJ10, "-")</f>
        <v>-</v>
      </c>
      <c r="CL10" s="25" t="str">
        <f aca="false">IF(CJ10&lt;0,"⚠ Over Budget","✓ Within Budget")</f>
        <v>✓ Within Budget</v>
      </c>
      <c r="CM10" s="27"/>
    </row>
    <row r="11" customFormat="false" ht="14.25" hidden="false" customHeight="false" outlineLevel="0" collapsed="false">
      <c r="A11" s="16" t="s">
        <v>102</v>
      </c>
      <c r="B11" s="16" t="n">
        <v>2022</v>
      </c>
      <c r="C11" s="16" t="n">
        <v>15</v>
      </c>
      <c r="D11" s="16" t="n">
        <v>1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1</v>
      </c>
      <c r="J11" s="16" t="n">
        <v>1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16</v>
      </c>
      <c r="T11" s="16" t="n">
        <v>4</v>
      </c>
      <c r="U11" s="16" t="n">
        <v>12</v>
      </c>
      <c r="V11" s="16" t="n">
        <v>16</v>
      </c>
      <c r="W11" s="16" t="n">
        <v>0</v>
      </c>
      <c r="X11" s="16" t="n">
        <v>1</v>
      </c>
      <c r="Y11" s="16" t="n">
        <v>3</v>
      </c>
      <c r="Z11" s="16" t="n">
        <v>5</v>
      </c>
      <c r="AA11" s="16" t="n">
        <v>4</v>
      </c>
      <c r="AB11" s="16" t="n">
        <v>2</v>
      </c>
      <c r="AC11" s="16" t="n">
        <v>1</v>
      </c>
      <c r="AD11" s="17" t="n">
        <v>0</v>
      </c>
      <c r="AE11" s="17" t="n">
        <v>0</v>
      </c>
      <c r="AF11" s="18" t="n">
        <v>57.3</v>
      </c>
      <c r="AG11" s="19" t="n">
        <v>690267</v>
      </c>
      <c r="AH11" s="19" t="n">
        <v>1080912</v>
      </c>
      <c r="AI11" s="19" t="n">
        <v>1753613</v>
      </c>
      <c r="AJ11" s="19" t="n">
        <v>2834765</v>
      </c>
      <c r="AK11" s="19" t="n">
        <v>4336254</v>
      </c>
      <c r="AL11" s="19" t="n">
        <v>7463824</v>
      </c>
      <c r="AM11" s="19" t="n">
        <v>3536448.21</v>
      </c>
      <c r="AN11" s="19" t="n">
        <v>5675999.37</v>
      </c>
      <c r="AO11" s="19" t="n">
        <v>5304672.31</v>
      </c>
      <c r="AP11" s="19" t="n">
        <v>567599.94</v>
      </c>
      <c r="AQ11" s="19" t="n">
        <v>530467.23</v>
      </c>
      <c r="AR11" s="19" t="n">
        <v>20640</v>
      </c>
      <c r="AS11" s="19" t="n">
        <v>0</v>
      </c>
      <c r="AT11" s="19" t="n">
        <v>283799.97</v>
      </c>
      <c r="AU11" s="19" t="n">
        <v>265233.62</v>
      </c>
      <c r="AV11" s="19" t="n">
        <v>27595.5</v>
      </c>
      <c r="AW11" s="19" t="n">
        <v>24031.76</v>
      </c>
      <c r="AX11" s="19" t="n">
        <v>17142.66</v>
      </c>
      <c r="AY11" s="19" t="n">
        <v>16021.17</v>
      </c>
      <c r="AZ11" s="19" t="n">
        <v>27687.8</v>
      </c>
      <c r="BA11" s="19" t="n">
        <v>0</v>
      </c>
      <c r="BB11" s="19" t="n">
        <v>30681.08</v>
      </c>
      <c r="BC11" s="19" t="n">
        <v>29470.4</v>
      </c>
      <c r="BD11" s="19" t="n">
        <v>337.86</v>
      </c>
      <c r="BE11" s="19" t="n">
        <v>0</v>
      </c>
      <c r="BF11" s="19" t="n">
        <f aca="false">SUM(BE11,BC11,BA11,AY11,AW11,AU11,AS11,AQ11,AO11)</f>
        <v>6169896.49</v>
      </c>
      <c r="BG11" s="19" t="n">
        <v>39496.68</v>
      </c>
      <c r="BH11" s="19" t="n">
        <v>23070.49</v>
      </c>
      <c r="BI11" s="19" t="n">
        <v>15714.1</v>
      </c>
      <c r="BJ11" s="19" t="n">
        <v>14686.08</v>
      </c>
      <c r="BK11" s="19" t="n">
        <v>11428.44</v>
      </c>
      <c r="BL11" s="19" t="n">
        <v>10680.78</v>
      </c>
      <c r="BM11" s="19" t="n">
        <v>47999.44</v>
      </c>
      <c r="BN11" s="19" t="n">
        <v>44859.29</v>
      </c>
      <c r="BO11" s="19" t="n">
        <v>30302.68</v>
      </c>
      <c r="BP11" s="19" t="n">
        <v>51920.47</v>
      </c>
      <c r="BQ11" s="19" t="n">
        <v>222219.63</v>
      </c>
      <c r="BR11" s="19" t="n">
        <v>207681.9</v>
      </c>
      <c r="BS11" s="19" t="n">
        <v>8148.05</v>
      </c>
      <c r="BT11" s="19" t="n">
        <v>7268.87</v>
      </c>
      <c r="BU11" s="19" t="n">
        <v>141899.98</v>
      </c>
      <c r="BV11" s="19" t="n">
        <v>132616.81</v>
      </c>
      <c r="BW11" s="19" t="n">
        <v>19199.78</v>
      </c>
      <c r="BX11" s="19" t="n">
        <v>9345.69</v>
      </c>
      <c r="BY11" s="19" t="n">
        <v>5079.31</v>
      </c>
      <c r="BZ11" s="19" t="n">
        <v>10680.78</v>
      </c>
      <c r="CA11" s="19" t="n">
        <v>31999.63</v>
      </c>
      <c r="CB11" s="19" t="n">
        <v>29906.19</v>
      </c>
      <c r="CC11" s="19" t="n">
        <v>139319.98</v>
      </c>
      <c r="CD11" s="19" t="n">
        <v>198925.21</v>
      </c>
      <c r="CE11" s="19" t="n">
        <v>34056</v>
      </c>
      <c r="CF11" s="19" t="n">
        <v>31828.03</v>
      </c>
      <c r="CG11" s="19" t="n">
        <f aca="false">SUM(CF11,CD11,CB11,BZ11,BX11,BV11,BT11,BR11,BP11,BN11,BL11,BJ11,BH11)</f>
        <v>773470.59</v>
      </c>
      <c r="CH11" s="19" t="n">
        <f aca="false">CG11+BF11</f>
        <v>6943367.08</v>
      </c>
      <c r="CI11" s="19" t="n">
        <f aca="false">SUM(CE11,CC11,CA11,BY11,BW11,BU11,BS11,BQ11,BO11,BM11,BK11,BI11,BG11,BD11,BB11,AZ11,AX11,AV11,AT11,AR11,AP11,AN11)</f>
        <v>7398347.88</v>
      </c>
      <c r="CJ11" s="19" t="n">
        <f aca="false">CI11-CH11</f>
        <v>454980.800000001</v>
      </c>
      <c r="CK11" s="19" t="str">
        <f aca="false">IF(CE11-CF11+CC11-CD11+CA11-CB11+BU11-BV11+BK11-BL11+BI11-BJ11 &gt; 0, CE11-CF11+CC11-CD11+CA11-CB11+BU11-BV11+BK11-BL11+BI11-BJ11, "-")</f>
        <v>-</v>
      </c>
      <c r="CL11" s="19" t="str">
        <f aca="false">IF(CJ11&lt;0,"⚠ Over Budget","✓ Within Budget")</f>
        <v>✓ Within Budget</v>
      </c>
      <c r="CM11" s="21"/>
    </row>
    <row r="12" customFormat="false" ht="14.25" hidden="false" customHeight="false" outlineLevel="0" collapsed="false">
      <c r="A12" s="28" t="s">
        <v>103</v>
      </c>
      <c r="B12" s="28" t="n">
        <v>2022</v>
      </c>
      <c r="C12" s="28" t="n">
        <v>16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16</v>
      </c>
      <c r="T12" s="28" t="n">
        <v>4</v>
      </c>
      <c r="U12" s="28" t="n">
        <v>12</v>
      </c>
      <c r="V12" s="28" t="n">
        <v>16</v>
      </c>
      <c r="W12" s="28" t="n">
        <v>0</v>
      </c>
      <c r="X12" s="28" t="n">
        <v>1</v>
      </c>
      <c r="Y12" s="28" t="n">
        <v>3</v>
      </c>
      <c r="Z12" s="28" t="n">
        <v>5</v>
      </c>
      <c r="AA12" s="28" t="n">
        <v>4</v>
      </c>
      <c r="AB12" s="28" t="n">
        <v>2</v>
      </c>
      <c r="AC12" s="28" t="n">
        <v>1</v>
      </c>
      <c r="AD12" s="29" t="n">
        <v>0</v>
      </c>
      <c r="AE12" s="29" t="n">
        <v>0.0122124611452058</v>
      </c>
      <c r="AF12" s="30" t="n">
        <v>56.8</v>
      </c>
      <c r="AG12" s="31" t="n">
        <v>700831</v>
      </c>
      <c r="AH12" s="31" t="n">
        <v>1098637</v>
      </c>
      <c r="AI12" s="31" t="n">
        <v>1772352</v>
      </c>
      <c r="AJ12" s="31" t="n">
        <v>2865939</v>
      </c>
      <c r="AK12" s="31" t="n">
        <v>4387288</v>
      </c>
      <c r="AL12" s="31" t="n">
        <v>7546311</v>
      </c>
      <c r="AM12" s="31" t="n">
        <v>3577465.6</v>
      </c>
      <c r="AN12" s="31" t="n">
        <v>5741832.3</v>
      </c>
      <c r="AO12" s="31" t="n">
        <v>5366198.41</v>
      </c>
      <c r="AP12" s="31" t="n">
        <v>574183.23</v>
      </c>
      <c r="AQ12" s="31" t="n">
        <v>536619.84</v>
      </c>
      <c r="AR12" s="31" t="n">
        <v>668140.49</v>
      </c>
      <c r="AS12" s="31" t="n">
        <v>2122106.12</v>
      </c>
      <c r="AT12" s="31" t="n">
        <v>287091.61</v>
      </c>
      <c r="AU12" s="31" t="n">
        <v>268309.92</v>
      </c>
      <c r="AV12" s="31" t="n">
        <v>22578.13</v>
      </c>
      <c r="AW12" s="31" t="n">
        <v>24031.76</v>
      </c>
      <c r="AX12" s="31" t="n">
        <v>17142.66</v>
      </c>
      <c r="AY12" s="31" t="n">
        <v>16021.17</v>
      </c>
      <c r="AZ12" s="31" t="n">
        <v>56017.88</v>
      </c>
      <c r="BA12" s="31" t="n">
        <v>817482.08</v>
      </c>
      <c r="BB12" s="31" t="n">
        <v>3103.69</v>
      </c>
      <c r="BC12" s="31" t="n">
        <v>0</v>
      </c>
      <c r="BD12" s="31" t="n">
        <v>341.78</v>
      </c>
      <c r="BE12" s="31" t="n">
        <v>0</v>
      </c>
      <c r="BF12" s="31" t="n">
        <f aca="false">SUM(BE12,BC12,BA12,AY12,AW12,AU12,AS12,AQ12,AO12)</f>
        <v>9150769.3</v>
      </c>
      <c r="BG12" s="31" t="n">
        <v>23893.05</v>
      </c>
      <c r="BH12" s="31" t="n">
        <v>17943.72</v>
      </c>
      <c r="BI12" s="31" t="n">
        <v>15714.1</v>
      </c>
      <c r="BJ12" s="31" t="n">
        <v>14686.08</v>
      </c>
      <c r="BK12" s="31" t="n">
        <v>11428.44</v>
      </c>
      <c r="BL12" s="31" t="n">
        <v>10680.78</v>
      </c>
      <c r="BM12" s="31" t="n">
        <v>47999.44</v>
      </c>
      <c r="BN12" s="31" t="n">
        <v>44859.29</v>
      </c>
      <c r="BO12" s="31" t="n">
        <v>4328.95</v>
      </c>
      <c r="BP12" s="31" t="n">
        <v>0</v>
      </c>
      <c r="BQ12" s="31" t="n">
        <v>222219.63</v>
      </c>
      <c r="BR12" s="31" t="n">
        <v>207681.9</v>
      </c>
      <c r="BS12" s="31" t="n">
        <v>7407.32</v>
      </c>
      <c r="BT12" s="31" t="n">
        <v>7268.87</v>
      </c>
      <c r="BU12" s="31" t="n">
        <v>143545.81</v>
      </c>
      <c r="BV12" s="31" t="n">
        <v>134154.96</v>
      </c>
      <c r="BW12" s="31" t="n">
        <v>14399.83</v>
      </c>
      <c r="BX12" s="31" t="n">
        <v>9345.69</v>
      </c>
      <c r="BY12" s="31" t="n">
        <v>243982.87</v>
      </c>
      <c r="BZ12" s="31" t="n">
        <v>80163.77</v>
      </c>
      <c r="CA12" s="31" t="n">
        <v>31999.63</v>
      </c>
      <c r="CB12" s="31" t="n">
        <v>29906.19</v>
      </c>
      <c r="CC12" s="31" t="n">
        <v>187914.51</v>
      </c>
      <c r="CD12" s="31" t="n">
        <v>201232.44</v>
      </c>
      <c r="CE12" s="31" t="n">
        <v>34450.99</v>
      </c>
      <c r="CF12" s="31" t="n">
        <v>32197.19</v>
      </c>
      <c r="CG12" s="31" t="n">
        <f aca="false">SUM(CF12,CD12,CB12,BZ12,BX12,BV12,BT12,BR12,BP12,BN12,BL12,BJ12,BH12)</f>
        <v>790120.88</v>
      </c>
      <c r="CH12" s="31" t="n">
        <f aca="false">CG12+BF12</f>
        <v>9940890.18</v>
      </c>
      <c r="CI12" s="31" t="n">
        <f aca="false">SUM(CE12,CC12,CA12,BY12,BW12,BU12,BS12,BQ12,BO12,BM12,BK12,BI12,BG12,BD12,BB12,AZ12,AX12,AV12,AT12,AR12,AP12,AN12)</f>
        <v>8359716.34</v>
      </c>
      <c r="CJ12" s="31" t="n">
        <f aca="false">CI12-CH12</f>
        <v>-1581173.84</v>
      </c>
      <c r="CK12" s="31" t="n">
        <f aca="false">IF(CE12-CF12+CC12-CD12+CA12-CB12+BU12-BV12+BK12-BL12+BI12-BJ12 &gt; 0, CE12-CF12+CC12-CD12+CA12-CB12+BU12-BV12+BK12-BL12+BI12-BJ12, "-")</f>
        <v>2195.84000000001</v>
      </c>
      <c r="CL12" s="31" t="str">
        <f aca="false">IF(CJ12&lt;0,"⚠ Over Budget","✓ Within Budget")</f>
        <v>⚠ Over Budget</v>
      </c>
      <c r="CM12" s="33" t="s">
        <v>111</v>
      </c>
    </row>
    <row r="13" customFormat="false" ht="14.25" hidden="false" customHeight="false" outlineLevel="0" collapsed="false">
      <c r="A13" s="16" t="s">
        <v>104</v>
      </c>
      <c r="B13" s="16" t="n">
        <v>2022</v>
      </c>
      <c r="C13" s="16" t="n">
        <v>16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16</v>
      </c>
      <c r="T13" s="16" t="n">
        <v>4</v>
      </c>
      <c r="U13" s="16" t="n">
        <v>12</v>
      </c>
      <c r="V13" s="16" t="n">
        <v>16</v>
      </c>
      <c r="W13" s="16" t="n">
        <v>0</v>
      </c>
      <c r="X13" s="16" t="n">
        <v>1</v>
      </c>
      <c r="Y13" s="16" t="n">
        <v>3</v>
      </c>
      <c r="Z13" s="16" t="n">
        <v>5</v>
      </c>
      <c r="AA13" s="16" t="n">
        <v>4</v>
      </c>
      <c r="AB13" s="16" t="n">
        <v>2</v>
      </c>
      <c r="AC13" s="16" t="n">
        <v>1</v>
      </c>
      <c r="AD13" s="17" t="n">
        <v>0</v>
      </c>
      <c r="AE13" s="17" t="n">
        <v>0</v>
      </c>
      <c r="AF13" s="18" t="n">
        <v>56.2</v>
      </c>
      <c r="AG13" s="19" t="n">
        <v>700831</v>
      </c>
      <c r="AH13" s="19" t="n">
        <v>1098637</v>
      </c>
      <c r="AI13" s="19" t="n">
        <v>1772352</v>
      </c>
      <c r="AJ13" s="19" t="n">
        <v>2865939</v>
      </c>
      <c r="AK13" s="19" t="n">
        <v>4387288</v>
      </c>
      <c r="AL13" s="19" t="n">
        <v>7546311</v>
      </c>
      <c r="AM13" s="19" t="n">
        <v>3577465.6</v>
      </c>
      <c r="AN13" s="19" t="n">
        <v>5741832.3</v>
      </c>
      <c r="AO13" s="19" t="n">
        <v>5366198.41</v>
      </c>
      <c r="AP13" s="19" t="n">
        <v>574183.23</v>
      </c>
      <c r="AQ13" s="19" t="n">
        <v>536619.84</v>
      </c>
      <c r="AR13" s="19" t="n">
        <v>67858.02</v>
      </c>
      <c r="AS13" s="19" t="n">
        <v>0</v>
      </c>
      <c r="AT13" s="19" t="n">
        <v>287091.61</v>
      </c>
      <c r="AU13" s="19" t="n">
        <v>268309.92</v>
      </c>
      <c r="AV13" s="19" t="n">
        <v>26759.27</v>
      </c>
      <c r="AW13" s="19" t="n">
        <v>32042.35</v>
      </c>
      <c r="AX13" s="19" t="n">
        <v>17142.66</v>
      </c>
      <c r="AY13" s="19" t="n">
        <v>16021.17</v>
      </c>
      <c r="AZ13" s="19" t="n">
        <v>28008.94</v>
      </c>
      <c r="BA13" s="19" t="n">
        <v>0</v>
      </c>
      <c r="BB13" s="19" t="n">
        <v>1034.56</v>
      </c>
      <c r="BC13" s="19" t="n">
        <v>0</v>
      </c>
      <c r="BD13" s="19" t="n">
        <v>341.78</v>
      </c>
      <c r="BE13" s="19" t="n">
        <v>0</v>
      </c>
      <c r="BF13" s="19" t="n">
        <f aca="false">SUM(BE13,BC13,BA13,AY13,AW13,AU13,AS13,AQ13,AO13)</f>
        <v>6219191.69</v>
      </c>
      <c r="BG13" s="19" t="n">
        <v>31207.25</v>
      </c>
      <c r="BH13" s="19" t="n">
        <v>20507.1</v>
      </c>
      <c r="BI13" s="19" t="n">
        <v>15714.1</v>
      </c>
      <c r="BJ13" s="19" t="n">
        <v>14686.08</v>
      </c>
      <c r="BK13" s="19" t="n">
        <v>11428.44</v>
      </c>
      <c r="BL13" s="19" t="n">
        <v>10680.78</v>
      </c>
      <c r="BM13" s="19" t="n">
        <v>47999.44</v>
      </c>
      <c r="BN13" s="19" t="n">
        <v>44859.29</v>
      </c>
      <c r="BO13" s="19" t="n">
        <v>4328.95</v>
      </c>
      <c r="BP13" s="19" t="n">
        <v>0</v>
      </c>
      <c r="BQ13" s="19" t="n">
        <v>222219.63</v>
      </c>
      <c r="BR13" s="19" t="n">
        <v>207681.9</v>
      </c>
      <c r="BS13" s="19" t="n">
        <v>6666.59</v>
      </c>
      <c r="BT13" s="19" t="n">
        <v>7268.87</v>
      </c>
      <c r="BU13" s="19" t="n">
        <v>143545.81</v>
      </c>
      <c r="BV13" s="19" t="n">
        <v>134154.96</v>
      </c>
      <c r="BW13" s="19" t="n">
        <v>9599.89</v>
      </c>
      <c r="BX13" s="19" t="n">
        <v>9345.69</v>
      </c>
      <c r="BY13" s="19" t="n">
        <v>49402.13</v>
      </c>
      <c r="BZ13" s="19" t="n">
        <v>34627.66</v>
      </c>
      <c r="CA13" s="19" t="n">
        <v>31999.63</v>
      </c>
      <c r="CB13" s="19" t="n">
        <v>29906.19</v>
      </c>
      <c r="CC13" s="19" t="n">
        <v>187914.51</v>
      </c>
      <c r="CD13" s="19" t="n">
        <v>201232.44</v>
      </c>
      <c r="CE13" s="19" t="n">
        <v>34450.99</v>
      </c>
      <c r="CF13" s="19" t="n">
        <v>32197.19</v>
      </c>
      <c r="CG13" s="19" t="n">
        <f aca="false">SUM(CF13,CD13,CB13,BZ13,BX13,BV13,BT13,BR13,BP13,BN13,BL13,BJ13,BH13)</f>
        <v>747148.15</v>
      </c>
      <c r="CH13" s="19" t="n">
        <f aca="false">CG13+BF13</f>
        <v>6966339.84</v>
      </c>
      <c r="CI13" s="19" t="n">
        <f aca="false">SUM(CE13,CC13,CA13,BY13,BW13,BU13,BS13,BQ13,BO13,BM13,BK13,BI13,BG13,BD13,BB13,AZ13,AX13,AV13,AT13,AR13,AP13,AN13)</f>
        <v>7540729.73</v>
      </c>
      <c r="CJ13" s="19" t="n">
        <f aca="false">CI13-CH13</f>
        <v>574389.889999999</v>
      </c>
      <c r="CK13" s="19" t="n">
        <f aca="false">IF(CE13-CF13+CC13-CD13+CA13-CB13+BU13-BV13+BK13-BL13+BI13-BJ13 &gt; 0, CE13-CF13+CC13-CD13+CA13-CB13+BU13-BV13+BK13-BL13+BI13-BJ13, "-")</f>
        <v>2195.84000000001</v>
      </c>
      <c r="CL13" s="19" t="str">
        <f aca="false">IF(CJ13&lt;0,"⚠ Over Budget","✓ Within Budget")</f>
        <v>✓ Within Budget</v>
      </c>
      <c r="CM13" s="21"/>
    </row>
    <row r="14" customFormat="false" ht="14.25" hidden="false" customHeight="false" outlineLevel="0" collapsed="false">
      <c r="A14" s="22" t="s">
        <v>105</v>
      </c>
      <c r="B14" s="22" t="n">
        <v>2022</v>
      </c>
      <c r="C14" s="22" t="n">
        <v>16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16</v>
      </c>
      <c r="T14" s="22" t="n">
        <v>4</v>
      </c>
      <c r="U14" s="22" t="n">
        <v>12</v>
      </c>
      <c r="V14" s="22" t="n">
        <v>16</v>
      </c>
      <c r="W14" s="22" t="n">
        <v>0</v>
      </c>
      <c r="X14" s="22" t="n">
        <v>1</v>
      </c>
      <c r="Y14" s="22" t="n">
        <v>3</v>
      </c>
      <c r="Z14" s="22" t="n">
        <v>5</v>
      </c>
      <c r="AA14" s="22" t="n">
        <v>4</v>
      </c>
      <c r="AB14" s="22" t="n">
        <v>2</v>
      </c>
      <c r="AC14" s="22" t="n">
        <v>1</v>
      </c>
      <c r="AD14" s="23" t="n">
        <v>0</v>
      </c>
      <c r="AE14" s="23" t="n">
        <v>0</v>
      </c>
      <c r="AF14" s="24" t="n">
        <v>55.9</v>
      </c>
      <c r="AG14" s="25" t="n">
        <v>700831</v>
      </c>
      <c r="AH14" s="25" t="n">
        <v>1098637</v>
      </c>
      <c r="AI14" s="25" t="n">
        <v>1772352</v>
      </c>
      <c r="AJ14" s="25" t="n">
        <v>2865939</v>
      </c>
      <c r="AK14" s="25" t="n">
        <v>4387288</v>
      </c>
      <c r="AL14" s="25" t="n">
        <v>7546311</v>
      </c>
      <c r="AM14" s="25" t="n">
        <v>3577465.6</v>
      </c>
      <c r="AN14" s="25" t="n">
        <v>5741832.3</v>
      </c>
      <c r="AO14" s="25" t="n">
        <v>5366198.41</v>
      </c>
      <c r="AP14" s="25" t="n">
        <v>574183.23</v>
      </c>
      <c r="AQ14" s="25" t="n">
        <v>536619.84</v>
      </c>
      <c r="AR14" s="25" t="n">
        <v>2505526.82</v>
      </c>
      <c r="AS14" s="25" t="n">
        <v>536619.84</v>
      </c>
      <c r="AT14" s="25" t="n">
        <v>287091.61</v>
      </c>
      <c r="AU14" s="25" t="n">
        <v>268309.92</v>
      </c>
      <c r="AV14" s="25" t="n">
        <v>23414.36</v>
      </c>
      <c r="AW14" s="25" t="n">
        <v>32042.35</v>
      </c>
      <c r="AX14" s="25" t="n">
        <v>17142.66</v>
      </c>
      <c r="AY14" s="25" t="n">
        <v>16021.17</v>
      </c>
      <c r="AZ14" s="25" t="n">
        <v>42013.41</v>
      </c>
      <c r="BA14" s="25" t="n">
        <v>0</v>
      </c>
      <c r="BB14" s="25" t="n">
        <v>1034.56</v>
      </c>
      <c r="BC14" s="25" t="n">
        <v>0</v>
      </c>
      <c r="BD14" s="25" t="n">
        <v>341.78</v>
      </c>
      <c r="BE14" s="25" t="n">
        <v>0</v>
      </c>
      <c r="BF14" s="25" t="n">
        <f aca="false">SUM(BE14,BC14,BA14,AY14,AW14,AU14,AS14,AQ14,AO14)</f>
        <v>6755811.53</v>
      </c>
      <c r="BG14" s="25" t="n">
        <v>5119.94</v>
      </c>
      <c r="BH14" s="25" t="n">
        <v>8971.86</v>
      </c>
      <c r="BI14" s="25" t="n">
        <v>15714.1</v>
      </c>
      <c r="BJ14" s="25" t="n">
        <v>14686.08</v>
      </c>
      <c r="BK14" s="25" t="n">
        <v>11428.44</v>
      </c>
      <c r="BL14" s="25" t="n">
        <v>10680.78</v>
      </c>
      <c r="BM14" s="25" t="n">
        <v>47999.44</v>
      </c>
      <c r="BN14" s="25" t="n">
        <v>44859.29</v>
      </c>
      <c r="BO14" s="25" t="n">
        <v>4328.95</v>
      </c>
      <c r="BP14" s="25" t="n">
        <v>0</v>
      </c>
      <c r="BQ14" s="25" t="n">
        <v>222219.63</v>
      </c>
      <c r="BR14" s="25" t="n">
        <v>207681.9</v>
      </c>
      <c r="BS14" s="25" t="n">
        <v>5925.86</v>
      </c>
      <c r="BT14" s="25" t="n">
        <v>7268.87</v>
      </c>
      <c r="BU14" s="25" t="n">
        <v>143545.81</v>
      </c>
      <c r="BV14" s="25" t="n">
        <v>134154.96</v>
      </c>
      <c r="BW14" s="25" t="n">
        <v>4799.94</v>
      </c>
      <c r="BX14" s="25" t="n">
        <v>9345.69</v>
      </c>
      <c r="BY14" s="25" t="n">
        <v>51185.87</v>
      </c>
      <c r="BZ14" s="25" t="n">
        <v>35877.95</v>
      </c>
      <c r="CA14" s="25" t="n">
        <v>31999.63</v>
      </c>
      <c r="CB14" s="25" t="n">
        <v>29906.19</v>
      </c>
      <c r="CC14" s="25" t="n">
        <v>117446.57</v>
      </c>
      <c r="CD14" s="25" t="n">
        <v>201232.44</v>
      </c>
      <c r="CE14" s="25" t="n">
        <v>34450.99</v>
      </c>
      <c r="CF14" s="25" t="n">
        <v>32197.19</v>
      </c>
      <c r="CG14" s="25" t="n">
        <f aca="false">SUM(CF14,CD14,CB14,BZ14,BX14,BV14,BT14,BR14,BP14,BN14,BL14,BJ14,BH14)</f>
        <v>736863.2</v>
      </c>
      <c r="CH14" s="25" t="n">
        <f aca="false">CG14+BF14</f>
        <v>7492674.73</v>
      </c>
      <c r="CI14" s="25" t="n">
        <f aca="false">SUM(CE14,CC14,CA14,BY14,BW14,BU14,BS14,BQ14,BO14,BM14,BK14,BI14,BG14,BD14,BB14,AZ14,AX14,AV14,AT14,AR14,AP14,AN14)</f>
        <v>9888745.9</v>
      </c>
      <c r="CJ14" s="25" t="n">
        <f aca="false">CI14-CH14</f>
        <v>2396071.17</v>
      </c>
      <c r="CK14" s="25" t="str">
        <f aca="false">IF(CE14-CF14+CC14-CD14+CA14-CB14+BU14-BV14+BK14-BL14+BI14-BJ14 &gt; 0, CE14-CF14+CC14-CD14+CA14-CB14+BU14-BV14+BK14-BL14+BI14-BJ14, "-")</f>
        <v>-</v>
      </c>
      <c r="CL14" s="25" t="str">
        <f aca="false">IF(CJ14&lt;0,"⚠ Over Budget","✓ Within Budget")</f>
        <v>✓ Within Budget</v>
      </c>
      <c r="CM14" s="27"/>
    </row>
    <row r="15" customFormat="false" ht="14.25" hidden="false" customHeight="false" outlineLevel="0" collapsed="false">
      <c r="A15" s="16" t="s">
        <v>92</v>
      </c>
      <c r="B15" s="16" t="n">
        <v>2023</v>
      </c>
      <c r="C15" s="16" t="n">
        <v>16</v>
      </c>
      <c r="D15" s="16" t="n">
        <v>1</v>
      </c>
      <c r="E15" s="16" t="n">
        <v>0</v>
      </c>
      <c r="F15" s="16" t="n">
        <v>1</v>
      </c>
      <c r="G15" s="16" t="n">
        <v>0</v>
      </c>
      <c r="H15" s="16" t="n">
        <v>0</v>
      </c>
      <c r="I15" s="16" t="n">
        <v>1</v>
      </c>
      <c r="J15" s="16" t="n">
        <v>2</v>
      </c>
      <c r="K15" s="16" t="n">
        <v>1</v>
      </c>
      <c r="L15" s="16" t="n">
        <v>0</v>
      </c>
      <c r="M15" s="16" t="n">
        <v>1</v>
      </c>
      <c r="N15" s="16" t="n">
        <v>0</v>
      </c>
      <c r="O15" s="16" t="n">
        <v>0</v>
      </c>
      <c r="P15" s="16" t="n">
        <v>1</v>
      </c>
      <c r="Q15" s="16" t="n">
        <v>2</v>
      </c>
      <c r="R15" s="16" t="n">
        <v>0</v>
      </c>
      <c r="S15" s="16" t="n">
        <v>16</v>
      </c>
      <c r="T15" s="16" t="n">
        <v>4</v>
      </c>
      <c r="U15" s="16" t="n">
        <v>12</v>
      </c>
      <c r="V15" s="16" t="n">
        <v>16</v>
      </c>
      <c r="W15" s="16" t="n">
        <v>0</v>
      </c>
      <c r="X15" s="16" t="n">
        <v>1</v>
      </c>
      <c r="Y15" s="16" t="n">
        <v>3</v>
      </c>
      <c r="Z15" s="16" t="n">
        <v>5</v>
      </c>
      <c r="AA15" s="16" t="n">
        <v>4</v>
      </c>
      <c r="AB15" s="16" t="n">
        <v>2</v>
      </c>
      <c r="AC15" s="16" t="n">
        <v>1</v>
      </c>
      <c r="AD15" s="17" t="n">
        <v>1.5</v>
      </c>
      <c r="AE15" s="17" t="n">
        <v>0</v>
      </c>
      <c r="AF15" s="18" t="n">
        <v>56.8</v>
      </c>
      <c r="AG15" s="19" t="n">
        <v>700831</v>
      </c>
      <c r="AH15" s="19" t="n">
        <v>1098637</v>
      </c>
      <c r="AI15" s="19" t="n">
        <v>1772352</v>
      </c>
      <c r="AJ15" s="19" t="n">
        <v>2865939</v>
      </c>
      <c r="AK15" s="19" t="n">
        <v>4387288</v>
      </c>
      <c r="AL15" s="19" t="n">
        <v>7546311</v>
      </c>
      <c r="AM15" s="19" t="n">
        <v>3395120.44</v>
      </c>
      <c r="AN15" s="19" t="n">
        <v>5449168.31</v>
      </c>
      <c r="AO15" s="19" t="n">
        <v>5092680.67</v>
      </c>
      <c r="AP15" s="19" t="n">
        <v>544916.83</v>
      </c>
      <c r="AQ15" s="19" t="n">
        <v>509268.07</v>
      </c>
      <c r="AR15" s="19" t="n">
        <v>89168.21</v>
      </c>
      <c r="AS15" s="19" t="n">
        <v>305560.84</v>
      </c>
      <c r="AT15" s="19" t="n">
        <v>272458.42</v>
      </c>
      <c r="AU15" s="19" t="n">
        <v>254634.03</v>
      </c>
      <c r="AV15" s="19" t="n">
        <v>25395.34</v>
      </c>
      <c r="AW15" s="19" t="n">
        <v>30409.14</v>
      </c>
      <c r="AX15" s="19" t="n">
        <v>16268.89</v>
      </c>
      <c r="AY15" s="19" t="n">
        <v>15204.57</v>
      </c>
      <c r="AZ15" s="19" t="n">
        <v>13290.65</v>
      </c>
      <c r="BA15" s="19" t="n">
        <v>0</v>
      </c>
      <c r="BB15" s="19" t="n">
        <v>9818.32</v>
      </c>
      <c r="BC15" s="19" t="n">
        <v>28292.67</v>
      </c>
      <c r="BD15" s="19" t="n">
        <v>233535.78</v>
      </c>
      <c r="BE15" s="19" t="n">
        <v>169756.02</v>
      </c>
      <c r="BF15" s="19" t="n">
        <f aca="false">SUM(BE15,BC15,BA15,AY15,AW15,AU15,AS15,AQ15,AO15)</f>
        <v>6405806.01</v>
      </c>
      <c r="BG15" s="19" t="n">
        <v>3239.32</v>
      </c>
      <c r="BH15" s="19" t="n">
        <v>8514.56</v>
      </c>
      <c r="BI15" s="19" t="n">
        <v>14913.15</v>
      </c>
      <c r="BJ15" s="19" t="n">
        <v>13937.52</v>
      </c>
      <c r="BK15" s="19" t="n">
        <v>10845.92</v>
      </c>
      <c r="BL15" s="19" t="n">
        <v>10136.38</v>
      </c>
      <c r="BM15" s="19" t="n">
        <v>45552.88</v>
      </c>
      <c r="BN15" s="19" t="n">
        <v>42572.79</v>
      </c>
      <c r="BO15" s="19" t="n">
        <v>28758.13</v>
      </c>
      <c r="BP15" s="19" t="n">
        <v>49274.06</v>
      </c>
      <c r="BQ15" s="19" t="n">
        <v>210892.99</v>
      </c>
      <c r="BR15" s="19" t="n">
        <v>197096.25</v>
      </c>
      <c r="BS15" s="19" t="n">
        <v>6326.79</v>
      </c>
      <c r="BT15" s="19" t="n">
        <v>6898.37</v>
      </c>
      <c r="BU15" s="19" t="n">
        <v>136229.21</v>
      </c>
      <c r="BV15" s="19" t="n">
        <v>127317.02</v>
      </c>
      <c r="BW15" s="19" t="n">
        <v>4555.29</v>
      </c>
      <c r="BX15" s="19" t="n">
        <v>8869.33</v>
      </c>
      <c r="BY15" s="19" t="n">
        <v>4820.41</v>
      </c>
      <c r="BZ15" s="19" t="n">
        <v>10136.38</v>
      </c>
      <c r="CA15" s="19" t="n">
        <v>30368.59</v>
      </c>
      <c r="CB15" s="19" t="n">
        <v>28381.86</v>
      </c>
      <c r="CC15" s="19" t="n">
        <v>111460.26</v>
      </c>
      <c r="CD15" s="19" t="n">
        <v>190975.52</v>
      </c>
      <c r="CE15" s="19" t="n">
        <v>32695.01</v>
      </c>
      <c r="CF15" s="19" t="n">
        <v>30556.08</v>
      </c>
      <c r="CG15" s="19" t="n">
        <f aca="false">SUM(CF15,CD15,CB15,BZ15,BX15,BV15,BT15,BR15,BP15,BN15,BL15,BJ15,BH15)</f>
        <v>724666.12</v>
      </c>
      <c r="CH15" s="19" t="n">
        <f aca="false">CG15+BF15</f>
        <v>7130472.13</v>
      </c>
      <c r="CI15" s="19" t="n">
        <f aca="false">SUM(CE15,CC15,CA15,BY15,BW15,BU15,BS15,BQ15,BO15,BM15,BK15,BI15,BG15,BD15,BB15,AZ15,AX15,AV15,AT15,AR15,AP15,AN15)</f>
        <v>7294678.7</v>
      </c>
      <c r="CJ15" s="19" t="n">
        <f aca="false">CI15-CH15</f>
        <v>164206.569999999</v>
      </c>
      <c r="CK15" s="19" t="str">
        <f aca="false">IF(CE15-CF15+CC15-CD15+CA15-CB15+BU15-BV15+BK15-BL15+BI15-BJ15 &gt; 0, CE15-CF15+CC15-CD15+CA15-CB15+BU15-BV15+BK15-BL15+BI15-BJ15, "-")</f>
        <v>-</v>
      </c>
      <c r="CL15" s="19" t="str">
        <f aca="false">IF(CJ15&lt;0,"⚠ Over Budget","✓ Within Budget")</f>
        <v>✓ Within Budget</v>
      </c>
      <c r="CM15" s="21"/>
    </row>
    <row r="16" customFormat="false" ht="14.25" hidden="false" customHeight="false" outlineLevel="0" collapsed="false">
      <c r="A16" s="22" t="s">
        <v>93</v>
      </c>
      <c r="B16" s="22" t="n">
        <v>2023</v>
      </c>
      <c r="C16" s="22" t="n">
        <v>16</v>
      </c>
      <c r="D16" s="22" t="n">
        <v>1</v>
      </c>
      <c r="E16" s="22" t="n">
        <v>0</v>
      </c>
      <c r="F16" s="22" t="n">
        <v>1</v>
      </c>
      <c r="G16" s="22" t="n">
        <v>0</v>
      </c>
      <c r="H16" s="22" t="n">
        <v>0</v>
      </c>
      <c r="I16" s="22" t="n">
        <v>1</v>
      </c>
      <c r="J16" s="22" t="n">
        <v>2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18</v>
      </c>
      <c r="T16" s="22" t="n">
        <v>5</v>
      </c>
      <c r="U16" s="22" t="n">
        <v>13</v>
      </c>
      <c r="V16" s="22" t="n">
        <v>18</v>
      </c>
      <c r="W16" s="22" t="n">
        <v>0</v>
      </c>
      <c r="X16" s="22" t="n">
        <v>1</v>
      </c>
      <c r="Y16" s="22" t="n">
        <v>3</v>
      </c>
      <c r="Z16" s="22" t="n">
        <v>6</v>
      </c>
      <c r="AA16" s="22" t="n">
        <v>5</v>
      </c>
      <c r="AB16" s="22" t="n">
        <v>2</v>
      </c>
      <c r="AC16" s="22" t="n">
        <v>1</v>
      </c>
      <c r="AD16" s="23" t="n">
        <v>0</v>
      </c>
      <c r="AE16" s="23" t="n">
        <v>0</v>
      </c>
      <c r="AF16" s="24" t="n">
        <v>56.3</v>
      </c>
      <c r="AG16" s="25" t="n">
        <v>700831</v>
      </c>
      <c r="AH16" s="25" t="n">
        <v>1098637</v>
      </c>
      <c r="AI16" s="25" t="n">
        <v>1772352</v>
      </c>
      <c r="AJ16" s="25" t="n">
        <v>2865939</v>
      </c>
      <c r="AK16" s="25" t="n">
        <v>4387288</v>
      </c>
      <c r="AL16" s="25" t="n">
        <v>7546311</v>
      </c>
      <c r="AM16" s="25" t="n">
        <v>3395120.44</v>
      </c>
      <c r="AN16" s="25" t="n">
        <v>4540973.59</v>
      </c>
      <c r="AO16" s="25" t="n">
        <v>4243900.56</v>
      </c>
      <c r="AP16" s="25" t="n">
        <v>454097.36</v>
      </c>
      <c r="AQ16" s="25" t="n">
        <v>424390.06</v>
      </c>
      <c r="AR16" s="25" t="n">
        <v>12384.47</v>
      </c>
      <c r="AS16" s="25" t="n">
        <v>0</v>
      </c>
      <c r="AT16" s="25" t="n">
        <v>227048.68</v>
      </c>
      <c r="AU16" s="25" t="n">
        <v>212195.03</v>
      </c>
      <c r="AV16" s="25" t="n">
        <v>21162.78</v>
      </c>
      <c r="AW16" s="25" t="n">
        <v>25340.95</v>
      </c>
      <c r="AX16" s="25" t="n">
        <v>13557.41</v>
      </c>
      <c r="AY16" s="25" t="n">
        <v>12670.47</v>
      </c>
      <c r="AZ16" s="25" t="n">
        <v>11075.55</v>
      </c>
      <c r="BA16" s="25" t="n">
        <v>0</v>
      </c>
      <c r="BB16" s="25" t="n">
        <v>2945.5</v>
      </c>
      <c r="BC16" s="25" t="n">
        <v>0</v>
      </c>
      <c r="BD16" s="25" t="n">
        <v>973.07</v>
      </c>
      <c r="BE16" s="25" t="n">
        <v>0</v>
      </c>
      <c r="BF16" s="25" t="n">
        <f aca="false">SUM(BE16,BC16,BA16,AY16,AW16,AU16,AS16,AQ16,AO16)</f>
        <v>4918497.07</v>
      </c>
      <c r="BG16" s="25" t="n">
        <v>2699.43</v>
      </c>
      <c r="BH16" s="25" t="n">
        <v>7095.46</v>
      </c>
      <c r="BI16" s="25" t="n">
        <v>12427.62</v>
      </c>
      <c r="BJ16" s="25" t="n">
        <v>11614.6</v>
      </c>
      <c r="BK16" s="25" t="n">
        <v>9038.27</v>
      </c>
      <c r="BL16" s="25" t="n">
        <v>8446.98</v>
      </c>
      <c r="BM16" s="25" t="n">
        <v>37960.74</v>
      </c>
      <c r="BN16" s="25" t="n">
        <v>35477.32</v>
      </c>
      <c r="BO16" s="25" t="n">
        <v>4108.3</v>
      </c>
      <c r="BP16" s="25" t="n">
        <v>0</v>
      </c>
      <c r="BQ16" s="25" t="n">
        <v>165701.63</v>
      </c>
      <c r="BR16" s="25" t="n">
        <v>154861.34</v>
      </c>
      <c r="BS16" s="25" t="n">
        <v>4971.05</v>
      </c>
      <c r="BT16" s="25" t="n">
        <v>5420.15</v>
      </c>
      <c r="BU16" s="25" t="n">
        <v>113524.34</v>
      </c>
      <c r="BV16" s="25" t="n">
        <v>106097.51</v>
      </c>
      <c r="BW16" s="25" t="n">
        <v>3796.07</v>
      </c>
      <c r="BX16" s="25" t="n">
        <v>7391.11</v>
      </c>
      <c r="BY16" s="25" t="n">
        <v>4017.01</v>
      </c>
      <c r="BZ16" s="25" t="n">
        <v>8446.98</v>
      </c>
      <c r="CA16" s="25" t="n">
        <v>25307.16</v>
      </c>
      <c r="CB16" s="25" t="n">
        <v>23651.55</v>
      </c>
      <c r="CC16" s="25" t="n">
        <v>92883.55</v>
      </c>
      <c r="CD16" s="25" t="n">
        <v>159146.27</v>
      </c>
      <c r="CE16" s="25" t="n">
        <v>27245.84</v>
      </c>
      <c r="CF16" s="25" t="n">
        <v>25463.4</v>
      </c>
      <c r="CG16" s="25" t="n">
        <f aca="false">SUM(CF16,CD16,CB16,BZ16,BX16,BV16,BT16,BR16,BP16,BN16,BL16,BJ16,BH16)</f>
        <v>553112.67</v>
      </c>
      <c r="CH16" s="25" t="n">
        <f aca="false">CG16+BF16</f>
        <v>5471609.74</v>
      </c>
      <c r="CI16" s="25" t="n">
        <f aca="false">SUM(CE16,CC16,CA16,BY16,BW16,BU16,BS16,BQ16,BO16,BM16,BK16,BI16,BG16,BD16,BB16,AZ16,AX16,AV16,AT16,AR16,AP16,AN16)</f>
        <v>5787899.42</v>
      </c>
      <c r="CJ16" s="25" t="n">
        <f aca="false">CI16-CH16</f>
        <v>316289.680000001</v>
      </c>
      <c r="CK16" s="25" t="str">
        <f aca="false">IF(CE16-CF16+CC16-CD16+CA16-CB16+BU16-BV16+BK16-BL16+BI16-BJ16 &gt; 0, CE16-CF16+CC16-CD16+CA16-CB16+BU16-BV16+BK16-BL16+BI16-BJ16, "-")</f>
        <v>-</v>
      </c>
      <c r="CL16" s="25" t="str">
        <f aca="false">IF(CJ16&lt;0,"⚠ Over Budget","✓ Within Budget")</f>
        <v>✓ Within Budget</v>
      </c>
      <c r="CM16" s="27"/>
    </row>
    <row r="17" customFormat="false" ht="18.75" hidden="false" customHeight="true" outlineLevel="0" collapsed="false">
      <c r="A17" s="28" t="s">
        <v>94</v>
      </c>
      <c r="B17" s="28" t="n">
        <v>2023</v>
      </c>
      <c r="C17" s="28" t="n">
        <v>18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18</v>
      </c>
      <c r="T17" s="28" t="n">
        <v>5</v>
      </c>
      <c r="U17" s="28" t="n">
        <v>13</v>
      </c>
      <c r="V17" s="28" t="n">
        <v>18</v>
      </c>
      <c r="W17" s="28" t="n">
        <v>0</v>
      </c>
      <c r="X17" s="28" t="n">
        <v>1</v>
      </c>
      <c r="Y17" s="28" t="n">
        <v>3</v>
      </c>
      <c r="Z17" s="28" t="n">
        <v>6</v>
      </c>
      <c r="AA17" s="28" t="n">
        <v>5</v>
      </c>
      <c r="AB17" s="28" t="n">
        <v>2</v>
      </c>
      <c r="AC17" s="28" t="n">
        <v>1</v>
      </c>
      <c r="AD17" s="29" t="n">
        <v>0</v>
      </c>
      <c r="AE17" s="29" t="n">
        <v>0</v>
      </c>
      <c r="AF17" s="30" t="n">
        <v>55.9</v>
      </c>
      <c r="AG17" s="31" t="n">
        <v>700831</v>
      </c>
      <c r="AH17" s="31" t="n">
        <v>1098637</v>
      </c>
      <c r="AI17" s="31" t="n">
        <v>1772352</v>
      </c>
      <c r="AJ17" s="31" t="n">
        <v>2865939</v>
      </c>
      <c r="AK17" s="31" t="n">
        <v>4387288</v>
      </c>
      <c r="AL17" s="31" t="n">
        <v>7546311</v>
      </c>
      <c r="AM17" s="31" t="n">
        <v>3395120.44</v>
      </c>
      <c r="AN17" s="31" t="n">
        <v>4238242.02</v>
      </c>
      <c r="AO17" s="31" t="n">
        <v>3960973.85</v>
      </c>
      <c r="AP17" s="31" t="n">
        <v>423824.2</v>
      </c>
      <c r="AQ17" s="31" t="n">
        <v>396097.39</v>
      </c>
      <c r="AR17" s="31" t="n">
        <v>19264.74</v>
      </c>
      <c r="AS17" s="31" t="n">
        <v>0</v>
      </c>
      <c r="AT17" s="31" t="n">
        <v>211912.1</v>
      </c>
      <c r="AU17" s="31" t="n">
        <v>198048.69</v>
      </c>
      <c r="AV17" s="31" t="n">
        <v>18517.43</v>
      </c>
      <c r="AW17" s="31" t="n">
        <v>17738.66</v>
      </c>
      <c r="AX17" s="31" t="n">
        <v>12653.58</v>
      </c>
      <c r="AY17" s="31" t="n">
        <v>11825.77</v>
      </c>
      <c r="AZ17" s="31" t="n">
        <v>33078.96</v>
      </c>
      <c r="BA17" s="31" t="n">
        <v>0</v>
      </c>
      <c r="BB17" s="31" t="n">
        <v>4909.16</v>
      </c>
      <c r="BC17" s="31" t="n">
        <v>0</v>
      </c>
      <c r="BD17" s="31" t="n">
        <v>291919.73</v>
      </c>
      <c r="BE17" s="31" t="n">
        <v>169756.02</v>
      </c>
      <c r="BF17" s="31" t="n">
        <f aca="false">SUM(BE17,BC17,BA17,AY17,AW17,AU17,AS17,AQ17,AO17)</f>
        <v>4754440.38</v>
      </c>
      <c r="BG17" s="31" t="n">
        <v>2519.47</v>
      </c>
      <c r="BH17" s="31" t="n">
        <v>6622.43</v>
      </c>
      <c r="BI17" s="31" t="n">
        <v>11599.11</v>
      </c>
      <c r="BJ17" s="31" t="n">
        <v>10840.29</v>
      </c>
      <c r="BK17" s="31" t="n">
        <v>8435.72</v>
      </c>
      <c r="BL17" s="31" t="n">
        <v>415115.38</v>
      </c>
      <c r="BM17" s="31" t="n">
        <v>35430.02</v>
      </c>
      <c r="BN17" s="31" t="n">
        <v>33112.17</v>
      </c>
      <c r="BO17" s="31" t="n">
        <v>4108.3</v>
      </c>
      <c r="BP17" s="31" t="n">
        <v>0</v>
      </c>
      <c r="BQ17" s="31" t="n">
        <v>150637.85</v>
      </c>
      <c r="BR17" s="31" t="n">
        <v>140783.03</v>
      </c>
      <c r="BS17" s="31" t="n">
        <v>5021.26</v>
      </c>
      <c r="BT17" s="31" t="n">
        <v>4927.41</v>
      </c>
      <c r="BU17" s="31" t="n">
        <v>105956.05</v>
      </c>
      <c r="BV17" s="31" t="n">
        <v>99024.35</v>
      </c>
      <c r="BW17" s="31" t="n">
        <v>3543</v>
      </c>
      <c r="BX17" s="31" t="n">
        <v>6898.37</v>
      </c>
      <c r="BY17" s="31" t="n">
        <v>25401.97</v>
      </c>
      <c r="BZ17" s="31" t="n">
        <v>22256.4</v>
      </c>
      <c r="CA17" s="31" t="n">
        <v>23620.01</v>
      </c>
      <c r="CB17" s="31" t="n">
        <v>22074.78</v>
      </c>
      <c r="CC17" s="31" t="n">
        <v>1483159.96</v>
      </c>
      <c r="CD17" s="31" t="n">
        <v>2137174.1</v>
      </c>
      <c r="CE17" s="31" t="n">
        <v>25429.45</v>
      </c>
      <c r="CF17" s="31" t="n">
        <v>23765.84</v>
      </c>
      <c r="CG17" s="31" t="n">
        <f aca="false">SUM(CF17,CD17,CB17,BZ17,BX17,BV17,BT17,BR17,BP17,BN17,BL17,BJ17,BH17)</f>
        <v>2922594.55</v>
      </c>
      <c r="CH17" s="31" t="n">
        <f aca="false">CG17+BF17</f>
        <v>7677034.93</v>
      </c>
      <c r="CI17" s="31" t="n">
        <f aca="false">SUM(CE17,CC17,CA17,BY17,BW17,BU17,BS17,BQ17,BO17,BM17,BK17,BI17,BG17,BD17,BB17,AZ17,AX17,AV17,AT17,AR17,AP17,AN17)</f>
        <v>7139184.09</v>
      </c>
      <c r="CJ17" s="31" t="n">
        <f aca="false">CI17-CH17</f>
        <v>-537850.84</v>
      </c>
      <c r="CK17" s="31" t="str">
        <f aca="false">IF(CE17-CF17+CC17-CD17+CA17-CB17+BU17-BV17+BK17-BL17+BI17-BJ17 &gt; 0, CE17-CF17+CC17-CD17+CA17-CB17+BU17-BV17+BK17-BL17+BI17-BJ17, "-")</f>
        <v>-</v>
      </c>
      <c r="CL17" s="31" t="str">
        <f aca="false">IF(CJ17&lt;0,"⚠ Over Budget","✓ Within Budget")</f>
        <v>⚠ Over Budget</v>
      </c>
      <c r="CM17" s="33" t="s">
        <v>95</v>
      </c>
    </row>
    <row r="18" customFormat="false" ht="14.25" hidden="false" customHeight="false" outlineLevel="0" collapsed="false">
      <c r="A18" s="22" t="s">
        <v>96</v>
      </c>
      <c r="B18" s="22" t="n">
        <v>2023</v>
      </c>
      <c r="C18" s="22" t="n">
        <v>18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1</v>
      </c>
      <c r="S18" s="22" t="n">
        <v>17</v>
      </c>
      <c r="T18" s="22" t="n">
        <v>5</v>
      </c>
      <c r="U18" s="22" t="n">
        <v>12</v>
      </c>
      <c r="V18" s="22" t="n">
        <v>17</v>
      </c>
      <c r="W18" s="22" t="n">
        <v>0</v>
      </c>
      <c r="X18" s="22" t="n">
        <v>1</v>
      </c>
      <c r="Y18" s="22" t="n">
        <v>3</v>
      </c>
      <c r="Z18" s="22" t="n">
        <v>6</v>
      </c>
      <c r="AA18" s="22" t="n">
        <v>5</v>
      </c>
      <c r="AB18" s="22" t="n">
        <v>2</v>
      </c>
      <c r="AC18" s="22" t="n">
        <v>1</v>
      </c>
      <c r="AD18" s="23" t="n">
        <v>0</v>
      </c>
      <c r="AE18" s="23" t="n">
        <v>0.0977621456194379</v>
      </c>
      <c r="AF18" s="24" t="n">
        <v>55.4</v>
      </c>
      <c r="AG18" s="25" t="n">
        <v>783974</v>
      </c>
      <c r="AH18" s="25" t="n">
        <v>1224694</v>
      </c>
      <c r="AI18" s="25" t="n">
        <v>1942190</v>
      </c>
      <c r="AJ18" s="25" t="n">
        <v>3135417</v>
      </c>
      <c r="AK18" s="25" t="n">
        <v>4759650</v>
      </c>
      <c r="AL18" s="25" t="n">
        <v>8056484</v>
      </c>
      <c r="AM18" s="25" t="n">
        <v>3705611.74</v>
      </c>
      <c r="AN18" s="25" t="n">
        <v>4625838.65</v>
      </c>
      <c r="AO18" s="25" t="n">
        <v>4323213.7</v>
      </c>
      <c r="AP18" s="25" t="n">
        <v>462583.87</v>
      </c>
      <c r="AQ18" s="25" t="n">
        <v>432321.37</v>
      </c>
      <c r="AR18" s="25" t="n">
        <v>235497.24</v>
      </c>
      <c r="AS18" s="25" t="n">
        <v>302624.96</v>
      </c>
      <c r="AT18" s="25" t="n">
        <v>231291.93</v>
      </c>
      <c r="AU18" s="25" t="n">
        <v>216160.68</v>
      </c>
      <c r="AV18" s="25" t="n">
        <v>22220.92</v>
      </c>
      <c r="AW18" s="25" t="n">
        <v>17738.66</v>
      </c>
      <c r="AX18" s="25" t="n">
        <v>12653.58</v>
      </c>
      <c r="AY18" s="25" t="n">
        <v>11825.77</v>
      </c>
      <c r="AZ18" s="25" t="n">
        <v>45130.13</v>
      </c>
      <c r="BA18" s="25" t="n">
        <v>0</v>
      </c>
      <c r="BB18" s="25" t="n">
        <v>5358.11</v>
      </c>
      <c r="BC18" s="25" t="n">
        <v>0</v>
      </c>
      <c r="BD18" s="25" t="n">
        <v>354.02</v>
      </c>
      <c r="BE18" s="25" t="n">
        <v>0</v>
      </c>
      <c r="BF18" s="25" t="n">
        <f aca="false">SUM(BE18,BC18,BA18,AY18,AW18,AU18,AS18,AQ18,AO18)</f>
        <v>5303885.14</v>
      </c>
      <c r="BG18" s="25" t="n">
        <v>43550.81</v>
      </c>
      <c r="BH18" s="25" t="n">
        <v>20813.36</v>
      </c>
      <c r="BI18" s="25" t="n">
        <v>11599.11</v>
      </c>
      <c r="BJ18" s="25" t="n">
        <v>10840.29</v>
      </c>
      <c r="BK18" s="25" t="n">
        <v>8435.72</v>
      </c>
      <c r="BL18" s="25" t="n">
        <v>7883.85</v>
      </c>
      <c r="BM18" s="25" t="n">
        <v>35430.02</v>
      </c>
      <c r="BN18" s="25" t="n">
        <v>33112.17</v>
      </c>
      <c r="BO18" s="25" t="n">
        <v>20541.52</v>
      </c>
      <c r="BP18" s="25" t="n">
        <v>0</v>
      </c>
      <c r="BQ18" s="25" t="n">
        <v>150637.85</v>
      </c>
      <c r="BR18" s="25" t="n">
        <v>140783.03</v>
      </c>
      <c r="BS18" s="25" t="n">
        <v>5021.26</v>
      </c>
      <c r="BT18" s="25" t="n">
        <v>4927.41</v>
      </c>
      <c r="BU18" s="25" t="n">
        <v>115645.97</v>
      </c>
      <c r="BV18" s="25" t="n">
        <v>108080.34</v>
      </c>
      <c r="BW18" s="25" t="n">
        <v>14172.01</v>
      </c>
      <c r="BX18" s="25" t="n">
        <v>6898.37</v>
      </c>
      <c r="BY18" s="25" t="n">
        <v>3749.21</v>
      </c>
      <c r="BZ18" s="25" t="n">
        <v>7883.85</v>
      </c>
      <c r="CA18" s="25" t="n">
        <v>23620.01</v>
      </c>
      <c r="CB18" s="25" t="n">
        <v>22074.78</v>
      </c>
      <c r="CC18" s="25" t="n">
        <v>1171864.7</v>
      </c>
      <c r="CD18" s="25" t="n">
        <v>401573.57</v>
      </c>
      <c r="CE18" s="25" t="n">
        <v>27755.03</v>
      </c>
      <c r="CF18" s="25" t="n">
        <v>25939.28</v>
      </c>
      <c r="CG18" s="25" t="n">
        <f aca="false">SUM(CF18,CD18,CB18,BZ18,BX18,BV18,BT18,BR18,BP18,BN18,BL18,BJ18,BH18)</f>
        <v>790810.3</v>
      </c>
      <c r="CH18" s="25" t="n">
        <f aca="false">CG18+BF18</f>
        <v>6094695.44</v>
      </c>
      <c r="CI18" s="25" t="n">
        <f aca="false">SUM(CE18,CC18,CA18,BY18,BW18,BU18,BS18,BQ18,BO18,BM18,BK18,BI18,BG18,BD18,BB18,AZ18,AX18,AV18,AT18,AR18,AP18,AN18)</f>
        <v>7272951.67</v>
      </c>
      <c r="CJ18" s="25" t="n">
        <f aca="false">CI18-CH18</f>
        <v>1178256.23</v>
      </c>
      <c r="CK18" s="25" t="n">
        <f aca="false">IF(CE18-CF18+CC18-CD18+CA18-CB18+BU18-BV18+BK18-BL18+BI18-BJ18 &gt; 0, CE18-CF18+CC18-CD18+CA18-CB18+BU18-BV18+BK18-BL18+BI18-BJ18, "-")</f>
        <v>782528.43</v>
      </c>
      <c r="CL18" s="25" t="str">
        <f aca="false">IF(CJ18&lt;0,"⚠ Over Budget","✓ Within Budget")</f>
        <v>✓ Within Budget</v>
      </c>
      <c r="CM18" s="27"/>
    </row>
    <row r="19" customFormat="false" ht="14.25" hidden="false" customHeight="false" outlineLevel="0" collapsed="false">
      <c r="A19" s="16" t="s">
        <v>98</v>
      </c>
      <c r="B19" s="16" t="n">
        <v>2023</v>
      </c>
      <c r="C19" s="16" t="n">
        <v>17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17</v>
      </c>
      <c r="T19" s="16" t="n">
        <v>5</v>
      </c>
      <c r="U19" s="16" t="n">
        <v>12</v>
      </c>
      <c r="V19" s="16" t="n">
        <v>17</v>
      </c>
      <c r="W19" s="16" t="n">
        <v>0</v>
      </c>
      <c r="X19" s="16" t="n">
        <v>1</v>
      </c>
      <c r="Y19" s="16" t="n">
        <v>3</v>
      </c>
      <c r="Z19" s="16" t="n">
        <v>6</v>
      </c>
      <c r="AA19" s="16" t="n">
        <v>5</v>
      </c>
      <c r="AB19" s="16" t="n">
        <v>2</v>
      </c>
      <c r="AC19" s="16" t="n">
        <v>1</v>
      </c>
      <c r="AD19" s="17" t="n">
        <v>0</v>
      </c>
      <c r="AE19" s="17" t="n">
        <v>0</v>
      </c>
      <c r="AF19" s="18" t="n">
        <v>55.1</v>
      </c>
      <c r="AG19" s="19" t="n">
        <v>783974</v>
      </c>
      <c r="AH19" s="19" t="n">
        <v>1224694</v>
      </c>
      <c r="AI19" s="19" t="n">
        <v>1942190</v>
      </c>
      <c r="AJ19" s="19" t="n">
        <v>3135417</v>
      </c>
      <c r="AK19" s="19" t="n">
        <v>4759650</v>
      </c>
      <c r="AL19" s="19" t="n">
        <v>8056484</v>
      </c>
      <c r="AM19" s="19" t="n">
        <v>3705611.74</v>
      </c>
      <c r="AN19" s="19" t="n">
        <v>4625838.65</v>
      </c>
      <c r="AO19" s="19" t="n">
        <v>4323213.7</v>
      </c>
      <c r="AP19" s="19" t="n">
        <v>462583.87</v>
      </c>
      <c r="AQ19" s="19" t="n">
        <v>432321.37</v>
      </c>
      <c r="AR19" s="19" t="n">
        <v>16821.23</v>
      </c>
      <c r="AS19" s="19" t="n">
        <v>0</v>
      </c>
      <c r="AT19" s="19" t="n">
        <v>231291.93</v>
      </c>
      <c r="AU19" s="19" t="n">
        <v>216160.68</v>
      </c>
      <c r="AV19" s="19" t="n">
        <v>24072.66</v>
      </c>
      <c r="AW19" s="19" t="n">
        <v>17738.66</v>
      </c>
      <c r="AX19" s="19" t="n">
        <v>12653.58</v>
      </c>
      <c r="AY19" s="19" t="n">
        <v>11825.77</v>
      </c>
      <c r="AZ19" s="19" t="n">
        <v>13539.04</v>
      </c>
      <c r="BA19" s="19" t="n">
        <v>0</v>
      </c>
      <c r="BB19" s="19" t="n">
        <v>2143.25</v>
      </c>
      <c r="BC19" s="19" t="n">
        <v>0</v>
      </c>
      <c r="BD19" s="19" t="n">
        <v>354.02</v>
      </c>
      <c r="BE19" s="19" t="n">
        <v>0</v>
      </c>
      <c r="BF19" s="19" t="n">
        <f aca="false">SUM(BE19,BC19,BA19,AY19,AW19,AU19,AS19,AQ19,AO19)</f>
        <v>5001260.18</v>
      </c>
      <c r="BG19" s="19" t="n">
        <v>29153.85</v>
      </c>
      <c r="BH19" s="19" t="n">
        <v>17029.12</v>
      </c>
      <c r="BI19" s="19" t="n">
        <v>11599.11</v>
      </c>
      <c r="BJ19" s="19" t="n">
        <v>10840.29</v>
      </c>
      <c r="BK19" s="19" t="n">
        <v>8435.72</v>
      </c>
      <c r="BL19" s="19" t="n">
        <v>7883.85</v>
      </c>
      <c r="BM19" s="19" t="n">
        <v>35430.02</v>
      </c>
      <c r="BN19" s="19" t="n">
        <v>33112.17</v>
      </c>
      <c r="BO19" s="19" t="n">
        <v>8216.61</v>
      </c>
      <c r="BP19" s="19" t="n">
        <v>0</v>
      </c>
      <c r="BQ19" s="19" t="n">
        <v>150637.85</v>
      </c>
      <c r="BR19" s="19" t="n">
        <v>140783.03</v>
      </c>
      <c r="BS19" s="19" t="n">
        <v>5523.39</v>
      </c>
      <c r="BT19" s="19" t="n">
        <v>4927.41</v>
      </c>
      <c r="BU19" s="19" t="n">
        <v>115645.97</v>
      </c>
      <c r="BV19" s="19" t="n">
        <v>108080.34</v>
      </c>
      <c r="BW19" s="19" t="n">
        <v>10629.01</v>
      </c>
      <c r="BX19" s="19" t="n">
        <v>6898.37</v>
      </c>
      <c r="BY19" s="19" t="n">
        <v>3749.21</v>
      </c>
      <c r="BZ19" s="19" t="n">
        <v>7883.85</v>
      </c>
      <c r="CA19" s="19" t="n">
        <v>23620.01</v>
      </c>
      <c r="CB19" s="19" t="n">
        <v>22074.78</v>
      </c>
      <c r="CC19" s="19" t="n">
        <v>151391.08</v>
      </c>
      <c r="CD19" s="19" t="n">
        <v>162120.51</v>
      </c>
      <c r="CE19" s="19" t="n">
        <v>27755.03</v>
      </c>
      <c r="CF19" s="19" t="n">
        <v>25939.28</v>
      </c>
      <c r="CG19" s="19" t="n">
        <f aca="false">SUM(CF19,CD19,CB19,BZ19,BX19,BV19,BT19,BR19,BP19,BN19,BL19,BJ19,BH19)</f>
        <v>547573</v>
      </c>
      <c r="CH19" s="19" t="n">
        <f aca="false">CG19+BF19</f>
        <v>5548833.18</v>
      </c>
      <c r="CI19" s="19" t="n">
        <f aca="false">SUM(CE19,CC19,CA19,BY19,BW19,BU19,BS19,BQ19,BO19,BM19,BK19,BI19,BG19,BD19,BB19,AZ19,AX19,AV19,AT19,AR19,AP19,AN19)</f>
        <v>5971085.09</v>
      </c>
      <c r="CJ19" s="19" t="n">
        <f aca="false">CI19-CH19</f>
        <v>422251.91</v>
      </c>
      <c r="CK19" s="19" t="n">
        <f aca="false">IF(CE19-CF19+CC19-CD19+CA19-CB19+BU19-BV19+BK19-BL19+BI19-BJ19 &gt; 0, CE19-CF19+CC19-CD19+CA19-CB19+BU19-BV19+BK19-BL19+BI19-BJ19, "-")</f>
        <v>1507.86999999998</v>
      </c>
      <c r="CL19" s="19" t="str">
        <f aca="false">IF(CJ19&lt;0,"⚠ Over Budget","✓ Within Budget")</f>
        <v>✓ Within Budget</v>
      </c>
      <c r="CM19" s="21"/>
    </row>
    <row r="20" customFormat="false" ht="14.25" hidden="false" customHeight="false" outlineLevel="0" collapsed="false">
      <c r="A20" s="22" t="s">
        <v>99</v>
      </c>
      <c r="B20" s="22" t="n">
        <v>2023</v>
      </c>
      <c r="C20" s="22" t="n">
        <v>17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17</v>
      </c>
      <c r="T20" s="22" t="n">
        <v>5</v>
      </c>
      <c r="U20" s="22" t="n">
        <v>12</v>
      </c>
      <c r="V20" s="22" t="n">
        <v>17</v>
      </c>
      <c r="W20" s="22" t="n">
        <v>0</v>
      </c>
      <c r="X20" s="22" t="n">
        <v>1</v>
      </c>
      <c r="Y20" s="22" t="n">
        <v>3</v>
      </c>
      <c r="Z20" s="22" t="n">
        <v>6</v>
      </c>
      <c r="AA20" s="22" t="n">
        <v>5</v>
      </c>
      <c r="AB20" s="22" t="n">
        <v>2</v>
      </c>
      <c r="AC20" s="22" t="n">
        <v>1</v>
      </c>
      <c r="AD20" s="23" t="n">
        <v>0</v>
      </c>
      <c r="AE20" s="23" t="n">
        <v>0</v>
      </c>
      <c r="AF20" s="24" t="n">
        <v>56</v>
      </c>
      <c r="AG20" s="25" t="n">
        <v>783974</v>
      </c>
      <c r="AH20" s="25" t="n">
        <v>1224694</v>
      </c>
      <c r="AI20" s="25" t="n">
        <v>1942190</v>
      </c>
      <c r="AJ20" s="25" t="n">
        <v>3135417</v>
      </c>
      <c r="AK20" s="25" t="n">
        <v>4759650</v>
      </c>
      <c r="AL20" s="25" t="n">
        <v>8056484</v>
      </c>
      <c r="AM20" s="25" t="n">
        <v>3705611.74</v>
      </c>
      <c r="AN20" s="25" t="n">
        <v>4625838.65</v>
      </c>
      <c r="AO20" s="25" t="n">
        <v>4323213.7</v>
      </c>
      <c r="AP20" s="25" t="n">
        <v>462583.87</v>
      </c>
      <c r="AQ20" s="25" t="n">
        <v>432321.37</v>
      </c>
      <c r="AR20" s="25" t="n">
        <v>16821.23</v>
      </c>
      <c r="AS20" s="25" t="n">
        <v>0</v>
      </c>
      <c r="AT20" s="25" t="n">
        <v>231291.93</v>
      </c>
      <c r="AU20" s="25" t="n">
        <v>216160.68</v>
      </c>
      <c r="AV20" s="25" t="n">
        <v>27776.15</v>
      </c>
      <c r="AW20" s="25" t="n">
        <v>17738.66</v>
      </c>
      <c r="AX20" s="25" t="n">
        <v>12653.58</v>
      </c>
      <c r="AY20" s="25" t="n">
        <v>11825.77</v>
      </c>
      <c r="AZ20" s="25" t="n">
        <v>13539.04</v>
      </c>
      <c r="BA20" s="25" t="n">
        <v>0</v>
      </c>
      <c r="BB20" s="25" t="n">
        <v>3214.87</v>
      </c>
      <c r="BC20" s="25" t="n">
        <v>0</v>
      </c>
      <c r="BD20" s="25" t="n">
        <v>708.04</v>
      </c>
      <c r="BE20" s="25" t="n">
        <v>0</v>
      </c>
      <c r="BF20" s="25" t="n">
        <f aca="false">SUM(BE20,BC20,BA20,AY20,AW20,AU20,AS20,AQ20,AO20)</f>
        <v>5001260.18</v>
      </c>
      <c r="BG20" s="25" t="n">
        <v>5038.94</v>
      </c>
      <c r="BH20" s="25" t="n">
        <v>6622.43</v>
      </c>
      <c r="BI20" s="25" t="n">
        <v>11599.11</v>
      </c>
      <c r="BJ20" s="25" t="n">
        <v>10840.29</v>
      </c>
      <c r="BK20" s="25" t="n">
        <v>8435.72</v>
      </c>
      <c r="BL20" s="25" t="n">
        <v>7883.85</v>
      </c>
      <c r="BM20" s="25" t="n">
        <v>35430.02</v>
      </c>
      <c r="BN20" s="25" t="n">
        <v>33112.17</v>
      </c>
      <c r="BO20" s="25" t="n">
        <v>4108.3</v>
      </c>
      <c r="BP20" s="25" t="n">
        <v>0</v>
      </c>
      <c r="BQ20" s="25" t="n">
        <v>150637.85</v>
      </c>
      <c r="BR20" s="25" t="n">
        <v>140783.03</v>
      </c>
      <c r="BS20" s="25" t="n">
        <v>6527.64</v>
      </c>
      <c r="BT20" s="25" t="n">
        <v>4927.41</v>
      </c>
      <c r="BU20" s="25" t="n">
        <v>115645.97</v>
      </c>
      <c r="BV20" s="25" t="n">
        <v>108080.34</v>
      </c>
      <c r="BW20" s="25" t="n">
        <v>7086</v>
      </c>
      <c r="BX20" s="25" t="n">
        <v>6898.37</v>
      </c>
      <c r="BY20" s="25" t="n">
        <v>113994.98</v>
      </c>
      <c r="BZ20" s="25" t="n">
        <v>47941.81</v>
      </c>
      <c r="CA20" s="25" t="n">
        <v>23620.01</v>
      </c>
      <c r="CB20" s="25" t="n">
        <v>22074.78</v>
      </c>
      <c r="CC20" s="25" t="n">
        <v>94619.43</v>
      </c>
      <c r="CD20" s="25" t="n">
        <v>162120.51</v>
      </c>
      <c r="CE20" s="25" t="n">
        <v>27755.03</v>
      </c>
      <c r="CF20" s="25" t="n">
        <v>25939.28</v>
      </c>
      <c r="CG20" s="25" t="n">
        <f aca="false">SUM(CF20,CD20,CB20,BZ20,BX20,BV20,BT20,BR20,BP20,BN20,BL20,BJ20,BH20)</f>
        <v>577224.27</v>
      </c>
      <c r="CH20" s="25" t="n">
        <f aca="false">CG20+BF20</f>
        <v>5578484.45</v>
      </c>
      <c r="CI20" s="25" t="n">
        <f aca="false">SUM(CE20,CC20,CA20,BY20,BW20,BU20,BS20,BQ20,BO20,BM20,BK20,BI20,BG20,BD20,BB20,AZ20,AX20,AV20,AT20,AR20,AP20,AN20)</f>
        <v>5998926.36</v>
      </c>
      <c r="CJ20" s="25" t="n">
        <f aca="false">CI20-CH20</f>
        <v>420441.909999999</v>
      </c>
      <c r="CK20" s="25" t="str">
        <f aca="false">IF(CE20-CF20+CC20-CD20+CA20-CB20+BU20-BV20+BK20-BL20+BI20-BJ20 &gt; 0, CE20-CF20+CC20-CD20+CA20-CB20+BU20-BV20+BK20-BL20+BI20-BJ20, "-")</f>
        <v>-</v>
      </c>
      <c r="CL20" s="25" t="str">
        <f aca="false">IF(CJ20&lt;0,"⚠ Over Budget","✓ Within Budget")</f>
        <v>✓ Within Budget</v>
      </c>
      <c r="CM20" s="27"/>
    </row>
    <row r="21" customFormat="false" ht="18.75" hidden="false" customHeight="true" outlineLevel="0" collapsed="false">
      <c r="A21" s="28" t="s">
        <v>100</v>
      </c>
      <c r="B21" s="28" t="n">
        <v>2023</v>
      </c>
      <c r="C21" s="28" t="n">
        <v>17</v>
      </c>
      <c r="D21" s="28" t="n">
        <v>1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1</v>
      </c>
      <c r="J21" s="28" t="n">
        <v>1</v>
      </c>
      <c r="K21" s="28" t="n">
        <v>0</v>
      </c>
      <c r="L21" s="28" t="n">
        <v>0</v>
      </c>
      <c r="M21" s="28" t="n">
        <v>0</v>
      </c>
      <c r="N21" s="28" t="n">
        <v>0</v>
      </c>
      <c r="O21" s="28" t="n">
        <v>0</v>
      </c>
      <c r="P21" s="28" t="n">
        <v>0</v>
      </c>
      <c r="Q21" s="28" t="n">
        <v>0</v>
      </c>
      <c r="R21" s="28" t="n">
        <v>0</v>
      </c>
      <c r="S21" s="28" t="n">
        <v>18</v>
      </c>
      <c r="T21" s="28" t="n">
        <v>5</v>
      </c>
      <c r="U21" s="28" t="n">
        <v>13</v>
      </c>
      <c r="V21" s="28" t="n">
        <v>18</v>
      </c>
      <c r="W21" s="28" t="n">
        <v>0</v>
      </c>
      <c r="X21" s="28" t="n">
        <v>1</v>
      </c>
      <c r="Y21" s="28" t="n">
        <v>3</v>
      </c>
      <c r="Z21" s="28" t="n">
        <v>6</v>
      </c>
      <c r="AA21" s="28" t="n">
        <v>5</v>
      </c>
      <c r="AB21" s="28" t="n">
        <v>2</v>
      </c>
      <c r="AC21" s="28" t="n">
        <v>1</v>
      </c>
      <c r="AD21" s="29" t="n">
        <v>0</v>
      </c>
      <c r="AE21" s="29" t="n">
        <v>0</v>
      </c>
      <c r="AF21" s="30" t="n">
        <v>57.2</v>
      </c>
      <c r="AG21" s="31" t="n">
        <v>783974</v>
      </c>
      <c r="AH21" s="31" t="n">
        <v>1224694</v>
      </c>
      <c r="AI21" s="31" t="n">
        <v>1942190</v>
      </c>
      <c r="AJ21" s="31" t="n">
        <v>3135417</v>
      </c>
      <c r="AK21" s="31" t="n">
        <v>4759650</v>
      </c>
      <c r="AL21" s="31" t="n">
        <v>8056484</v>
      </c>
      <c r="AM21" s="31" t="n">
        <v>3705611.74</v>
      </c>
      <c r="AN21" s="31" t="n">
        <v>5617089.79</v>
      </c>
      <c r="AO21" s="31" t="n">
        <v>5708841.99</v>
      </c>
      <c r="AP21" s="31" t="n">
        <v>561708.98</v>
      </c>
      <c r="AQ21" s="31" t="n">
        <v>524961.66</v>
      </c>
      <c r="AR21" s="31" t="n">
        <v>20425.78</v>
      </c>
      <c r="AS21" s="31" t="n">
        <v>0</v>
      </c>
      <c r="AT21" s="31" t="n">
        <v>280854.49</v>
      </c>
      <c r="AU21" s="31" t="n">
        <v>262480.83</v>
      </c>
      <c r="AV21" s="31" t="n">
        <v>26982.55</v>
      </c>
      <c r="AW21" s="31" t="n">
        <v>21539.8</v>
      </c>
      <c r="AX21" s="31" t="n">
        <v>15365.06</v>
      </c>
      <c r="AY21" s="31" t="n">
        <v>14359.87</v>
      </c>
      <c r="AZ21" s="31" t="n">
        <v>13700.22</v>
      </c>
      <c r="BA21" s="31" t="n">
        <v>0</v>
      </c>
      <c r="BB21" s="31" t="n">
        <v>160743.43</v>
      </c>
      <c r="BC21" s="31" t="n">
        <v>858015.89</v>
      </c>
      <c r="BD21" s="31" t="n">
        <v>1062.05</v>
      </c>
      <c r="BE21" s="31" t="n">
        <v>0</v>
      </c>
      <c r="BF21" s="31" t="n">
        <f aca="false">SUM(BE21,BC21,BA21,AY21,AW21,AU21,AS21,AQ21,AO21)</f>
        <v>7390200.04</v>
      </c>
      <c r="BG21" s="31" t="n">
        <v>4589.03</v>
      </c>
      <c r="BH21" s="31" t="n">
        <v>8041.53</v>
      </c>
      <c r="BI21" s="31" t="n">
        <v>14084.64</v>
      </c>
      <c r="BJ21" s="31" t="n">
        <v>13163.21</v>
      </c>
      <c r="BK21" s="31" t="n">
        <v>10243.37</v>
      </c>
      <c r="BL21" s="31" t="n">
        <v>9573.25</v>
      </c>
      <c r="BM21" s="31" t="n">
        <v>43022.17</v>
      </c>
      <c r="BN21" s="31" t="n">
        <v>40207.63</v>
      </c>
      <c r="BO21" s="31" t="n">
        <v>431372.02</v>
      </c>
      <c r="BP21" s="31" t="n">
        <v>453972.42</v>
      </c>
      <c r="BQ21" s="31" t="n">
        <v>180765.42</v>
      </c>
      <c r="BR21" s="31" t="n">
        <v>168939.64</v>
      </c>
      <c r="BS21" s="31" t="n">
        <v>7833.17</v>
      </c>
      <c r="BT21" s="31" t="n">
        <v>5912.89</v>
      </c>
      <c r="BU21" s="31" t="n">
        <v>140427.24</v>
      </c>
      <c r="BV21" s="31" t="n">
        <v>131240.42</v>
      </c>
      <c r="BW21" s="31" t="n">
        <v>4302.22</v>
      </c>
      <c r="BX21" s="31" t="n">
        <v>8376.59</v>
      </c>
      <c r="BY21" s="31" t="n">
        <v>4552.61</v>
      </c>
      <c r="BZ21" s="31" t="n">
        <v>9573.25</v>
      </c>
      <c r="CA21" s="31" t="n">
        <v>28681.45</v>
      </c>
      <c r="CB21" s="31" t="n">
        <v>26805.09</v>
      </c>
      <c r="CC21" s="31" t="n">
        <v>114895.02</v>
      </c>
      <c r="CD21" s="31" t="n">
        <v>196860.62</v>
      </c>
      <c r="CE21" s="31" t="n">
        <v>33702.54</v>
      </c>
      <c r="CF21" s="31" t="n">
        <v>31497.7</v>
      </c>
      <c r="CG21" s="31" t="n">
        <f aca="false">SUM(CF21,CD21,CB21,BZ21,BX21,BV21,BT21,BR21,BP21,BN21,BL21,BJ21,BH21)</f>
        <v>1104164.24</v>
      </c>
      <c r="CH21" s="31" t="n">
        <f aca="false">CG21+BF21</f>
        <v>8494364.28</v>
      </c>
      <c r="CI21" s="31" t="n">
        <f aca="false">SUM(CE21,CC21,CA21,BY21,BW21,BU21,BS21,BQ21,BO21,BM21,BK21,BI21,BG21,BD21,BB21,AZ21,AX21,AV21,AT21,AR21,AP21,AN21)</f>
        <v>7716403.25</v>
      </c>
      <c r="CJ21" s="31" t="n">
        <f aca="false">CI21-CH21</f>
        <v>-777961.029999999</v>
      </c>
      <c r="CK21" s="31" t="str">
        <f aca="false">IF(CE21-CF21+CC21-CD21+CA21-CB21+BU21-BV21+BK21-BL21+BI21-BJ21 &gt; 0, CE21-CF21+CC21-CD21+CA21-CB21+BU21-BV21+BK21-BL21+BI21-BJ21, "-")</f>
        <v>-</v>
      </c>
      <c r="CL21" s="31" t="str">
        <f aca="false">IF(CJ21&lt;0,"⚠ Over Budget","✓ Within Budget")</f>
        <v>⚠ Over Budget</v>
      </c>
      <c r="CM21" s="33" t="s">
        <v>110</v>
      </c>
    </row>
    <row r="22" customFormat="false" ht="14.25" hidden="false" customHeight="false" outlineLevel="0" collapsed="false">
      <c r="A22" s="22" t="s">
        <v>101</v>
      </c>
      <c r="B22" s="22" t="n">
        <v>2023</v>
      </c>
      <c r="C22" s="22" t="n">
        <v>18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18</v>
      </c>
      <c r="T22" s="22" t="n">
        <v>5</v>
      </c>
      <c r="U22" s="22" t="n">
        <v>13</v>
      </c>
      <c r="V22" s="22" t="n">
        <v>18</v>
      </c>
      <c r="W22" s="22" t="n">
        <v>0</v>
      </c>
      <c r="X22" s="22" t="n">
        <v>1</v>
      </c>
      <c r="Y22" s="22" t="n">
        <v>3</v>
      </c>
      <c r="Z22" s="22" t="n">
        <v>6</v>
      </c>
      <c r="AA22" s="22" t="n">
        <v>5</v>
      </c>
      <c r="AB22" s="22" t="n">
        <v>2</v>
      </c>
      <c r="AC22" s="22" t="n">
        <v>1</v>
      </c>
      <c r="AD22" s="23" t="n">
        <v>0</v>
      </c>
      <c r="AE22" s="23" t="n">
        <v>0</v>
      </c>
      <c r="AF22" s="24" t="n">
        <v>56.8</v>
      </c>
      <c r="AG22" s="25" t="n">
        <v>783974</v>
      </c>
      <c r="AH22" s="25" t="n">
        <v>1224694</v>
      </c>
      <c r="AI22" s="25" t="n">
        <v>1942190</v>
      </c>
      <c r="AJ22" s="25" t="n">
        <v>3135417</v>
      </c>
      <c r="AK22" s="25" t="n">
        <v>4759650</v>
      </c>
      <c r="AL22" s="25" t="n">
        <v>8056484</v>
      </c>
      <c r="AM22" s="25" t="n">
        <v>3705611.74</v>
      </c>
      <c r="AN22" s="25" t="n">
        <v>5617089.79</v>
      </c>
      <c r="AO22" s="25" t="n">
        <v>5249616.63</v>
      </c>
      <c r="AP22" s="25" t="n">
        <v>561708.98</v>
      </c>
      <c r="AQ22" s="25" t="n">
        <v>524961.66</v>
      </c>
      <c r="AR22" s="25" t="n">
        <v>20425.78</v>
      </c>
      <c r="AS22" s="25" t="n">
        <v>0</v>
      </c>
      <c r="AT22" s="25" t="n">
        <v>280854.49</v>
      </c>
      <c r="AU22" s="25" t="n">
        <v>262480.83</v>
      </c>
      <c r="AV22" s="25" t="n">
        <v>22485.45</v>
      </c>
      <c r="AW22" s="25" t="n">
        <v>21539.8</v>
      </c>
      <c r="AX22" s="25" t="n">
        <v>15365.06</v>
      </c>
      <c r="AY22" s="25" t="n">
        <v>14359.87</v>
      </c>
      <c r="AZ22" s="25" t="n">
        <v>13700.22</v>
      </c>
      <c r="BA22" s="25" t="n">
        <v>0</v>
      </c>
      <c r="BB22" s="25" t="n">
        <v>5358.11</v>
      </c>
      <c r="BC22" s="25" t="n">
        <v>0</v>
      </c>
      <c r="BD22" s="25" t="n">
        <v>1062.05</v>
      </c>
      <c r="BE22" s="25" t="n">
        <v>0</v>
      </c>
      <c r="BF22" s="25" t="n">
        <f aca="false">SUM(BE22,BC22,BA22,AY22,AW22,AU22,AS22,AQ22,AO22)</f>
        <v>6072958.79</v>
      </c>
      <c r="BG22" s="25" t="n">
        <v>24584.1</v>
      </c>
      <c r="BH22" s="25" t="n">
        <v>17231.84</v>
      </c>
      <c r="BI22" s="25" t="n">
        <v>14084.64</v>
      </c>
      <c r="BJ22" s="25" t="n">
        <v>13163.21</v>
      </c>
      <c r="BK22" s="25" t="n">
        <v>10243.37</v>
      </c>
      <c r="BL22" s="25" t="n">
        <v>9573.25</v>
      </c>
      <c r="BM22" s="25" t="n">
        <v>43022.17</v>
      </c>
      <c r="BN22" s="25" t="n">
        <v>40207.63</v>
      </c>
      <c r="BO22" s="25" t="n">
        <v>8216.61</v>
      </c>
      <c r="BP22" s="25" t="n">
        <v>0</v>
      </c>
      <c r="BQ22" s="25" t="n">
        <v>180765.42</v>
      </c>
      <c r="BR22" s="25" t="n">
        <v>168939.64</v>
      </c>
      <c r="BS22" s="25" t="n">
        <v>7833.17</v>
      </c>
      <c r="BT22" s="25" t="n">
        <v>5912.89</v>
      </c>
      <c r="BU22" s="25" t="n">
        <v>140427.24</v>
      </c>
      <c r="BV22" s="25" t="n">
        <v>131240.42</v>
      </c>
      <c r="BW22" s="25" t="n">
        <v>8604.43</v>
      </c>
      <c r="BX22" s="25" t="n">
        <v>8376.59</v>
      </c>
      <c r="BY22" s="25" t="n">
        <v>9790.62</v>
      </c>
      <c r="BZ22" s="25" t="n">
        <v>17156.46</v>
      </c>
      <c r="CA22" s="25" t="n">
        <v>28681.45</v>
      </c>
      <c r="CB22" s="25" t="n">
        <v>26805.09</v>
      </c>
      <c r="CC22" s="25" t="n">
        <v>114895.02</v>
      </c>
      <c r="CD22" s="25" t="n">
        <v>196860.62</v>
      </c>
      <c r="CE22" s="25" t="n">
        <v>33702.54</v>
      </c>
      <c r="CF22" s="25" t="n">
        <v>31497.7</v>
      </c>
      <c r="CG22" s="25" t="n">
        <f aca="false">SUM(CF22,CD22,CB22,BZ22,BX22,BV22,BT22,BR22,BP22,BN22,BL22,BJ22,BH22)</f>
        <v>666965.34</v>
      </c>
      <c r="CH22" s="25" t="n">
        <f aca="false">CG22+BF22</f>
        <v>6739924.13</v>
      </c>
      <c r="CI22" s="25" t="n">
        <f aca="false">SUM(CE22,CC22,CA22,BY22,BW22,BU22,BS22,BQ22,BO22,BM22,BK22,BI22,BG22,BD22,BB22,AZ22,AX22,AV22,AT22,AR22,AP22,AN22)</f>
        <v>7162900.71</v>
      </c>
      <c r="CJ22" s="25" t="n">
        <f aca="false">CI22-CH22</f>
        <v>422976.58</v>
      </c>
      <c r="CK22" s="25" t="str">
        <f aca="false">IF(CE22-CF22+CC22-CD22+CA22-CB22+BU22-BV22+BK22-BL22+BI22-BJ22 &gt; 0, CE22-CF22+CC22-CD22+CA22-CB22+BU22-BV22+BK22-BL22+BI22-BJ22, "-")</f>
        <v>-</v>
      </c>
      <c r="CL22" s="25" t="str">
        <f aca="false">IF(CJ22&lt;0,"⚠ Over Budget","✓ Within Budget")</f>
        <v>✓ Within Budget</v>
      </c>
      <c r="CM22" s="27"/>
    </row>
    <row r="23" customFormat="false" ht="14.25" hidden="false" customHeight="false" outlineLevel="0" collapsed="false">
      <c r="A23" s="16" t="s">
        <v>102</v>
      </c>
      <c r="B23" s="16" t="n">
        <v>2023</v>
      </c>
      <c r="C23" s="16" t="n">
        <v>18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1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1</v>
      </c>
      <c r="Q23" s="16" t="n">
        <v>1</v>
      </c>
      <c r="R23" s="16" t="n">
        <v>0</v>
      </c>
      <c r="S23" s="16" t="n">
        <v>17</v>
      </c>
      <c r="T23" s="16" t="n">
        <v>4</v>
      </c>
      <c r="U23" s="16" t="n">
        <v>13</v>
      </c>
      <c r="V23" s="16" t="n">
        <v>17</v>
      </c>
      <c r="W23" s="16" t="n">
        <v>0</v>
      </c>
      <c r="X23" s="16" t="n">
        <v>1</v>
      </c>
      <c r="Y23" s="16" t="n">
        <v>3</v>
      </c>
      <c r="Z23" s="16" t="n">
        <v>6</v>
      </c>
      <c r="AA23" s="16" t="n">
        <v>5</v>
      </c>
      <c r="AB23" s="16" t="n">
        <v>2</v>
      </c>
      <c r="AC23" s="16" t="n">
        <v>1</v>
      </c>
      <c r="AD23" s="17" t="n">
        <v>0.666667</v>
      </c>
      <c r="AE23" s="17" t="n">
        <v>0</v>
      </c>
      <c r="AF23" s="18" t="n">
        <v>56.1</v>
      </c>
      <c r="AG23" s="19" t="n">
        <v>783974</v>
      </c>
      <c r="AH23" s="19" t="n">
        <v>1224694</v>
      </c>
      <c r="AI23" s="19" t="n">
        <v>1942190</v>
      </c>
      <c r="AJ23" s="19" t="n">
        <v>3135417</v>
      </c>
      <c r="AK23" s="19" t="n">
        <v>4759650</v>
      </c>
      <c r="AL23" s="19" t="n">
        <v>8056484</v>
      </c>
      <c r="AM23" s="19" t="n">
        <v>3705611.74</v>
      </c>
      <c r="AN23" s="19" t="n">
        <v>5947506.84</v>
      </c>
      <c r="AO23" s="19" t="n">
        <v>5558417.61</v>
      </c>
      <c r="AP23" s="19" t="n">
        <v>594750.68</v>
      </c>
      <c r="AQ23" s="19" t="n">
        <v>555841.76</v>
      </c>
      <c r="AR23" s="19" t="n">
        <v>21627.3</v>
      </c>
      <c r="AS23" s="19" t="n">
        <v>0</v>
      </c>
      <c r="AT23" s="19" t="n">
        <v>297375.34</v>
      </c>
      <c r="AU23" s="19" t="n">
        <v>277920.88</v>
      </c>
      <c r="AV23" s="19" t="n">
        <v>26188.94</v>
      </c>
      <c r="AW23" s="19" t="n">
        <v>22806.85</v>
      </c>
      <c r="AX23" s="19" t="n">
        <v>16268.89</v>
      </c>
      <c r="AY23" s="19" t="n">
        <v>15204.57</v>
      </c>
      <c r="AZ23" s="19" t="n">
        <v>29012.23</v>
      </c>
      <c r="BA23" s="19" t="n">
        <v>0</v>
      </c>
      <c r="BB23" s="19" t="n">
        <v>64297.37</v>
      </c>
      <c r="BC23" s="19" t="n">
        <v>61760.2</v>
      </c>
      <c r="BD23" s="19" t="n">
        <v>354.02</v>
      </c>
      <c r="BE23" s="19" t="n">
        <v>0</v>
      </c>
      <c r="BF23" s="19" t="n">
        <f aca="false">SUM(BE23,BC23,BA23,AY23,AW23,AU23,AS23,AQ23,AO23)</f>
        <v>6491951.87</v>
      </c>
      <c r="BG23" s="19" t="n">
        <v>37483.52</v>
      </c>
      <c r="BH23" s="19" t="n">
        <v>21894.58</v>
      </c>
      <c r="BI23" s="19" t="n">
        <v>14913.15</v>
      </c>
      <c r="BJ23" s="19" t="n">
        <v>13937.52</v>
      </c>
      <c r="BK23" s="19" t="n">
        <v>10845.92</v>
      </c>
      <c r="BL23" s="19" t="n">
        <v>10136.38</v>
      </c>
      <c r="BM23" s="19" t="n">
        <v>45552.88</v>
      </c>
      <c r="BN23" s="19" t="n">
        <v>42572.79</v>
      </c>
      <c r="BO23" s="19" t="n">
        <v>57516.27</v>
      </c>
      <c r="BP23" s="19" t="n">
        <v>98548.12</v>
      </c>
      <c r="BQ23" s="19" t="n">
        <v>210892.99</v>
      </c>
      <c r="BR23" s="19" t="n">
        <v>197096.25</v>
      </c>
      <c r="BS23" s="19" t="n">
        <v>7732.74</v>
      </c>
      <c r="BT23" s="19" t="n">
        <v>6898.37</v>
      </c>
      <c r="BU23" s="19" t="n">
        <v>148687.67</v>
      </c>
      <c r="BV23" s="19" t="n">
        <v>138960.44</v>
      </c>
      <c r="BW23" s="19" t="n">
        <v>18221.15</v>
      </c>
      <c r="BX23" s="19" t="n">
        <v>8869.33</v>
      </c>
      <c r="BY23" s="19" t="n">
        <v>4820.41</v>
      </c>
      <c r="BZ23" s="19" t="n">
        <v>10136.38</v>
      </c>
      <c r="CA23" s="19" t="n">
        <v>30368.59</v>
      </c>
      <c r="CB23" s="19" t="n">
        <v>28381.86</v>
      </c>
      <c r="CC23" s="19" t="n">
        <v>145984.26</v>
      </c>
      <c r="CD23" s="19" t="n">
        <v>208440.66</v>
      </c>
      <c r="CE23" s="19" t="n">
        <v>35685.04</v>
      </c>
      <c r="CF23" s="19" t="n">
        <v>33350.51</v>
      </c>
      <c r="CG23" s="19" t="n">
        <f aca="false">SUM(CF23,CD23,CB23,BZ23,BX23,BV23,BT23,BR23,BP23,BN23,BL23,BJ23,BH23)</f>
        <v>819223.19</v>
      </c>
      <c r="CH23" s="19" t="n">
        <f aca="false">CG23+BF23</f>
        <v>7311175.06</v>
      </c>
      <c r="CI23" s="19" t="n">
        <f aca="false">SUM(CE23,CC23,CA23,BY23,BW23,BU23,BS23,BQ23,BO23,BM23,BK23,BI23,BG23,BD23,BB23,AZ23,AX23,AV23,AT23,AR23,AP23,AN23)</f>
        <v>7766086.2</v>
      </c>
      <c r="CJ23" s="19" t="n">
        <f aca="false">CI23-CH23</f>
        <v>454911.14</v>
      </c>
      <c r="CK23" s="19" t="str">
        <f aca="false">IF(CE23-CF23+CC23-CD23+CA23-CB23+BU23-BV23+BK23-BL23+BI23-BJ23 &gt; 0, CE23-CF23+CC23-CD23+CA23-CB23+BU23-BV23+BK23-BL23+BI23-BJ23, "-")</f>
        <v>-</v>
      </c>
      <c r="CL23" s="19" t="str">
        <f aca="false">IF(CJ23&lt;0,"⚠ Over Budget","✓ Within Budget")</f>
        <v>✓ Within Budget</v>
      </c>
      <c r="CM23" s="21"/>
    </row>
    <row r="24" customFormat="false" ht="14.25" hidden="false" customHeight="false" outlineLevel="0" collapsed="false">
      <c r="A24" s="22" t="s">
        <v>103</v>
      </c>
      <c r="B24" s="22" t="n">
        <v>2023</v>
      </c>
      <c r="C24" s="22" t="n">
        <v>17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17</v>
      </c>
      <c r="T24" s="22" t="n">
        <v>4</v>
      </c>
      <c r="U24" s="22" t="n">
        <v>13</v>
      </c>
      <c r="V24" s="22" t="n">
        <v>17</v>
      </c>
      <c r="W24" s="22" t="n">
        <v>0</v>
      </c>
      <c r="X24" s="22" t="n">
        <v>1</v>
      </c>
      <c r="Y24" s="22" t="n">
        <v>3</v>
      </c>
      <c r="Z24" s="22" t="n">
        <v>6</v>
      </c>
      <c r="AA24" s="22" t="n">
        <v>5</v>
      </c>
      <c r="AB24" s="22" t="n">
        <v>2</v>
      </c>
      <c r="AC24" s="22" t="n">
        <v>1</v>
      </c>
      <c r="AD24" s="23" t="n">
        <v>0</v>
      </c>
      <c r="AE24" s="23" t="n">
        <v>0.0129848717288892</v>
      </c>
      <c r="AF24" s="24" t="n">
        <v>55.7</v>
      </c>
      <c r="AG24" s="25" t="n">
        <v>797796</v>
      </c>
      <c r="AH24" s="25" t="n">
        <v>1245298</v>
      </c>
      <c r="AI24" s="25" t="n">
        <v>1962316</v>
      </c>
      <c r="AJ24" s="25" t="n">
        <v>3177816</v>
      </c>
      <c r="AK24" s="25" t="n">
        <v>4813549</v>
      </c>
      <c r="AL24" s="25" t="n">
        <v>8146491</v>
      </c>
      <c r="AM24" s="25" t="n">
        <v>3751479.57</v>
      </c>
      <c r="AN24" s="25" t="n">
        <v>6021124.71</v>
      </c>
      <c r="AO24" s="25" t="n">
        <v>5627219.35</v>
      </c>
      <c r="AP24" s="25" t="n">
        <v>602112.47</v>
      </c>
      <c r="AQ24" s="25" t="n">
        <v>562721.94</v>
      </c>
      <c r="AR24" s="25" t="n">
        <v>700639.97</v>
      </c>
      <c r="AS24" s="25" t="n">
        <v>225088.77</v>
      </c>
      <c r="AT24" s="25" t="n">
        <v>301056.24</v>
      </c>
      <c r="AU24" s="25" t="n">
        <v>281360.97</v>
      </c>
      <c r="AV24" s="25" t="n">
        <v>21427.32</v>
      </c>
      <c r="AW24" s="25" t="n">
        <v>22806.85</v>
      </c>
      <c r="AX24" s="25" t="n">
        <v>16268.89</v>
      </c>
      <c r="AY24" s="25" t="n">
        <v>15204.57</v>
      </c>
      <c r="AZ24" s="25" t="n">
        <v>58742.68</v>
      </c>
      <c r="BA24" s="25" t="n">
        <v>0</v>
      </c>
      <c r="BB24" s="25" t="n">
        <v>3254.66</v>
      </c>
      <c r="BC24" s="25" t="n">
        <v>0</v>
      </c>
      <c r="BD24" s="25" t="n">
        <v>358.4</v>
      </c>
      <c r="BE24" s="25" t="n">
        <v>0</v>
      </c>
      <c r="BF24" s="25" t="n">
        <f aca="false">SUM(BE24,BC24,BA24,AY24,AW24,AU24,AS24,AQ24,AO24)</f>
        <v>6734402.45</v>
      </c>
      <c r="BG24" s="25" t="n">
        <v>22675.21</v>
      </c>
      <c r="BH24" s="25" t="n">
        <v>17029.12</v>
      </c>
      <c r="BI24" s="25" t="n">
        <v>14913.15</v>
      </c>
      <c r="BJ24" s="25" t="n">
        <v>13937.52</v>
      </c>
      <c r="BK24" s="25" t="n">
        <v>10845.92</v>
      </c>
      <c r="BL24" s="25" t="n">
        <v>10136.38</v>
      </c>
      <c r="BM24" s="25" t="n">
        <v>45552.88</v>
      </c>
      <c r="BN24" s="25" t="n">
        <v>42572.79</v>
      </c>
      <c r="BO24" s="25" t="n">
        <v>4108.3</v>
      </c>
      <c r="BP24" s="25" t="n">
        <v>0</v>
      </c>
      <c r="BQ24" s="25" t="n">
        <v>210892.99</v>
      </c>
      <c r="BR24" s="25" t="n">
        <v>197096.25</v>
      </c>
      <c r="BS24" s="25" t="n">
        <v>7029.77</v>
      </c>
      <c r="BT24" s="25" t="n">
        <v>6898.37</v>
      </c>
      <c r="BU24" s="25" t="n">
        <v>150528.12</v>
      </c>
      <c r="BV24" s="25" t="n">
        <v>140680.48</v>
      </c>
      <c r="BW24" s="25" t="n">
        <v>13665.87</v>
      </c>
      <c r="BX24" s="25" t="n">
        <v>8869.33</v>
      </c>
      <c r="BY24" s="25" t="n">
        <v>194559.75</v>
      </c>
      <c r="BZ24" s="25" t="n">
        <v>63925.15</v>
      </c>
      <c r="CA24" s="25" t="n">
        <v>30368.59</v>
      </c>
      <c r="CB24" s="25" t="n">
        <v>28381.86</v>
      </c>
      <c r="CC24" s="25" t="n">
        <v>197054.99</v>
      </c>
      <c r="CD24" s="25" t="n">
        <v>211020.73</v>
      </c>
      <c r="CE24" s="25" t="n">
        <v>36126.75</v>
      </c>
      <c r="CF24" s="25" t="n">
        <v>33763.32</v>
      </c>
      <c r="CG24" s="25" t="n">
        <f aca="false">SUM(CF24,CD24,CB24,BZ24,BX24,BV24,BT24,BR24,BP24,BN24,BL24,BJ24,BH24)</f>
        <v>774311.3</v>
      </c>
      <c r="CH24" s="25" t="n">
        <f aca="false">CG24+BF24</f>
        <v>7508713.75</v>
      </c>
      <c r="CI24" s="25" t="n">
        <f aca="false">SUM(CE24,CC24,CA24,BY24,BW24,BU24,BS24,BQ24,BO24,BM24,BK24,BI24,BG24,BD24,BB24,AZ24,AX24,AV24,AT24,AR24,AP24,AN24)</f>
        <v>8663307.63</v>
      </c>
      <c r="CJ24" s="25" t="n">
        <f aca="false">CI24-CH24</f>
        <v>1154593.88</v>
      </c>
      <c r="CK24" s="25" t="n">
        <f aca="false">IF(CE24-CF24+CC24-CD24+CA24-CB24+BU24-BV24+BK24-BL24+BI24-BJ24 &gt; 0, CE24-CF24+CC24-CD24+CA24-CB24+BU24-BV24+BK24-BL24+BI24-BJ24, "-")</f>
        <v>1917.22999999997</v>
      </c>
      <c r="CL24" s="25" t="str">
        <f aca="false">IF(CJ24&lt;0,"⚠ Over Budget","✓ Within Budget")</f>
        <v>✓ Within Budget</v>
      </c>
      <c r="CM24" s="27"/>
    </row>
    <row r="25" customFormat="false" ht="14.25" hidden="false" customHeight="false" outlineLevel="0" collapsed="false">
      <c r="A25" s="16" t="s">
        <v>104</v>
      </c>
      <c r="B25" s="16" t="n">
        <v>2023</v>
      </c>
      <c r="C25" s="16" t="n">
        <v>17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17</v>
      </c>
      <c r="T25" s="16" t="n">
        <v>4</v>
      </c>
      <c r="U25" s="16" t="n">
        <v>13</v>
      </c>
      <c r="V25" s="16" t="n">
        <v>17</v>
      </c>
      <c r="W25" s="16" t="n">
        <v>0</v>
      </c>
      <c r="X25" s="16" t="n">
        <v>1</v>
      </c>
      <c r="Y25" s="16" t="n">
        <v>3</v>
      </c>
      <c r="Z25" s="16" t="n">
        <v>6</v>
      </c>
      <c r="AA25" s="16" t="n">
        <v>5</v>
      </c>
      <c r="AB25" s="16" t="n">
        <v>2</v>
      </c>
      <c r="AC25" s="16" t="n">
        <v>1</v>
      </c>
      <c r="AD25" s="17" t="n">
        <v>0</v>
      </c>
      <c r="AE25" s="17" t="n">
        <v>0</v>
      </c>
      <c r="AF25" s="18" t="n">
        <v>56.5</v>
      </c>
      <c r="AG25" s="19" t="n">
        <v>797796</v>
      </c>
      <c r="AH25" s="19" t="n">
        <v>1245298</v>
      </c>
      <c r="AI25" s="19" t="n">
        <v>1962316</v>
      </c>
      <c r="AJ25" s="19" t="n">
        <v>3177816</v>
      </c>
      <c r="AK25" s="19" t="n">
        <v>4813549</v>
      </c>
      <c r="AL25" s="19" t="n">
        <v>8146491</v>
      </c>
      <c r="AM25" s="19" t="n">
        <v>3751479.57</v>
      </c>
      <c r="AN25" s="19" t="n">
        <v>5686617.78</v>
      </c>
      <c r="AO25" s="19" t="n">
        <v>5314596.06</v>
      </c>
      <c r="AP25" s="19" t="n">
        <v>568661.78</v>
      </c>
      <c r="AQ25" s="19" t="n">
        <v>531459.61</v>
      </c>
      <c r="AR25" s="19" t="n">
        <v>67205.48</v>
      </c>
      <c r="AS25" s="19" t="n">
        <v>0</v>
      </c>
      <c r="AT25" s="19" t="n">
        <v>284330.89</v>
      </c>
      <c r="AU25" s="19" t="n">
        <v>265729.8</v>
      </c>
      <c r="AV25" s="19" t="n">
        <v>23984.48</v>
      </c>
      <c r="AW25" s="19" t="n">
        <v>28719.74</v>
      </c>
      <c r="AX25" s="19" t="n">
        <v>15365.06</v>
      </c>
      <c r="AY25" s="19" t="n">
        <v>14359.87</v>
      </c>
      <c r="AZ25" s="19" t="n">
        <v>27739.6</v>
      </c>
      <c r="BA25" s="19" t="n">
        <v>0</v>
      </c>
      <c r="BB25" s="19" t="n">
        <v>1084.89</v>
      </c>
      <c r="BC25" s="19" t="n">
        <v>0</v>
      </c>
      <c r="BD25" s="19" t="n">
        <v>107520.08</v>
      </c>
      <c r="BE25" s="19" t="n">
        <v>187573.98</v>
      </c>
      <c r="BF25" s="19" t="n">
        <f aca="false">SUM(BE25,BC25,BA25,AY25,AW25,AU25,AS25,AQ25,AO25)</f>
        <v>6342439.06</v>
      </c>
      <c r="BG25" s="19" t="n">
        <v>27971.24</v>
      </c>
      <c r="BH25" s="19" t="n">
        <v>18380.63</v>
      </c>
      <c r="BI25" s="19" t="n">
        <v>14084.64</v>
      </c>
      <c r="BJ25" s="19" t="n">
        <v>13163.21</v>
      </c>
      <c r="BK25" s="19" t="n">
        <v>10243.37</v>
      </c>
      <c r="BL25" s="19" t="n">
        <v>9573.25</v>
      </c>
      <c r="BM25" s="19" t="n">
        <v>43022.17</v>
      </c>
      <c r="BN25" s="19" t="n">
        <v>40207.63</v>
      </c>
      <c r="BO25" s="19" t="n">
        <v>4108.3</v>
      </c>
      <c r="BP25" s="19" t="n">
        <v>0</v>
      </c>
      <c r="BQ25" s="19" t="n">
        <v>195829.2</v>
      </c>
      <c r="BR25" s="19" t="n">
        <v>183017.94</v>
      </c>
      <c r="BS25" s="19" t="n">
        <v>5874.88</v>
      </c>
      <c r="BT25" s="19" t="n">
        <v>6405.63</v>
      </c>
      <c r="BU25" s="19" t="n">
        <v>142165.44</v>
      </c>
      <c r="BV25" s="19" t="n">
        <v>132864.9</v>
      </c>
      <c r="BW25" s="19" t="n">
        <v>8604.43</v>
      </c>
      <c r="BX25" s="19" t="n">
        <v>8376.59</v>
      </c>
      <c r="BY25" s="19" t="n">
        <v>42255.72</v>
      </c>
      <c r="BZ25" s="19" t="n">
        <v>29618.49</v>
      </c>
      <c r="CA25" s="19" t="n">
        <v>28681.45</v>
      </c>
      <c r="CB25" s="19" t="n">
        <v>26805.09</v>
      </c>
      <c r="CC25" s="19" t="n">
        <v>186107.49</v>
      </c>
      <c r="CD25" s="19" t="n">
        <v>199297.35</v>
      </c>
      <c r="CE25" s="19" t="n">
        <v>34119.71</v>
      </c>
      <c r="CF25" s="19" t="n">
        <v>31887.58</v>
      </c>
      <c r="CG25" s="19" t="n">
        <f aca="false">SUM(CF25,CD25,CB25,BZ25,BX25,BV25,BT25,BR25,BP25,BN25,BL25,BJ25,BH25)</f>
        <v>699598.29</v>
      </c>
      <c r="CH25" s="19" t="n">
        <f aca="false">CG25+BF25</f>
        <v>7042037.35</v>
      </c>
      <c r="CI25" s="19" t="n">
        <f aca="false">SUM(CE25,CC25,CA25,BY25,BW25,BU25,BS25,BQ25,BO25,BM25,BK25,BI25,BG25,BD25,BB25,AZ25,AX25,AV25,AT25,AR25,AP25,AN25)</f>
        <v>7525578.08</v>
      </c>
      <c r="CJ25" s="19" t="n">
        <f aca="false">CI25-CH25</f>
        <v>483540.73</v>
      </c>
      <c r="CK25" s="19" t="n">
        <f aca="false">IF(CE25-CF25+CC25-CD25+CA25-CB25+BU25-BV25+BK25-BL25+BI25-BJ25 &gt; 0, CE25-CF25+CC25-CD25+CA25-CB25+BU25-BV25+BK25-BL25+BI25-BJ25, "-")</f>
        <v>1810.72000000001</v>
      </c>
      <c r="CL25" s="19" t="str">
        <f aca="false">IF(CJ25&lt;0,"⚠ Over Budget","✓ Within Budget")</f>
        <v>✓ Within Budget</v>
      </c>
      <c r="CM25" s="21"/>
    </row>
    <row r="26" customFormat="false" ht="18.75" hidden="false" customHeight="true" outlineLevel="0" collapsed="false">
      <c r="A26" s="28" t="s">
        <v>105</v>
      </c>
      <c r="B26" s="28" t="n">
        <v>2023</v>
      </c>
      <c r="C26" s="28" t="n">
        <v>17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8" t="n">
        <v>0</v>
      </c>
      <c r="K26" s="28" t="n">
        <v>0</v>
      </c>
      <c r="L26" s="28" t="n">
        <v>0</v>
      </c>
      <c r="M26" s="28" t="n">
        <v>0</v>
      </c>
      <c r="N26" s="28" t="n">
        <v>0</v>
      </c>
      <c r="O26" s="28" t="n">
        <v>0</v>
      </c>
      <c r="P26" s="28" t="n">
        <v>0</v>
      </c>
      <c r="Q26" s="28" t="n">
        <v>0</v>
      </c>
      <c r="R26" s="28" t="n">
        <v>0</v>
      </c>
      <c r="S26" s="28" t="n">
        <v>17</v>
      </c>
      <c r="T26" s="28" t="n">
        <v>4</v>
      </c>
      <c r="U26" s="28" t="n">
        <v>13</v>
      </c>
      <c r="V26" s="28" t="n">
        <v>17</v>
      </c>
      <c r="W26" s="28" t="n">
        <v>0</v>
      </c>
      <c r="X26" s="28" t="n">
        <v>1</v>
      </c>
      <c r="Y26" s="28" t="n">
        <v>3</v>
      </c>
      <c r="Z26" s="28" t="n">
        <v>6</v>
      </c>
      <c r="AA26" s="28" t="n">
        <v>5</v>
      </c>
      <c r="AB26" s="28" t="n">
        <v>2</v>
      </c>
      <c r="AC26" s="28" t="n">
        <v>1</v>
      </c>
      <c r="AD26" s="29" t="n">
        <v>0</v>
      </c>
      <c r="AE26" s="29" t="n">
        <v>0</v>
      </c>
      <c r="AF26" s="30" t="n">
        <v>57.1</v>
      </c>
      <c r="AG26" s="31" t="n">
        <v>797796</v>
      </c>
      <c r="AH26" s="31" t="n">
        <v>1245298</v>
      </c>
      <c r="AI26" s="31" t="n">
        <v>1962316</v>
      </c>
      <c r="AJ26" s="31" t="n">
        <v>3177816</v>
      </c>
      <c r="AK26" s="31" t="n">
        <v>4813549</v>
      </c>
      <c r="AL26" s="31" t="n">
        <v>8146491</v>
      </c>
      <c r="AM26" s="31" t="n">
        <v>3751479.57</v>
      </c>
      <c r="AN26" s="31" t="n">
        <v>5352110.85</v>
      </c>
      <c r="AO26" s="31" t="n">
        <v>5001972.76</v>
      </c>
      <c r="AP26" s="31" t="n">
        <v>535211.09</v>
      </c>
      <c r="AQ26" s="31" t="n">
        <v>500197.28</v>
      </c>
      <c r="AR26" s="31" t="n">
        <v>2335466.55</v>
      </c>
      <c r="AS26" s="31" t="n">
        <v>1777477.05</v>
      </c>
      <c r="AT26" s="31" t="n">
        <v>267605.54</v>
      </c>
      <c r="AU26" s="31" t="n">
        <v>250098.64</v>
      </c>
      <c r="AV26" s="31" t="n">
        <v>19751.93</v>
      </c>
      <c r="AW26" s="31" t="n">
        <v>27030.34</v>
      </c>
      <c r="AX26" s="31" t="n">
        <v>14461.23</v>
      </c>
      <c r="AY26" s="31" t="n">
        <v>13515.17</v>
      </c>
      <c r="AZ26" s="31" t="n">
        <v>39161.79</v>
      </c>
      <c r="BA26" s="31" t="n">
        <v>0</v>
      </c>
      <c r="BB26" s="31" t="n">
        <v>1084.89</v>
      </c>
      <c r="BC26" s="31" t="n">
        <v>0</v>
      </c>
      <c r="BD26" s="31" t="n">
        <v>107520.08</v>
      </c>
      <c r="BE26" s="31" t="n">
        <v>187573.98</v>
      </c>
      <c r="BF26" s="31" t="n">
        <f aca="false">SUM(BE26,BC26,BA26,AY26,AW26,AU26,AS26,AQ26,AO26)</f>
        <v>7757865.22</v>
      </c>
      <c r="BG26" s="31" t="n">
        <v>4319.09</v>
      </c>
      <c r="BH26" s="31" t="n">
        <v>7568.5</v>
      </c>
      <c r="BI26" s="31" t="n">
        <v>13256.13</v>
      </c>
      <c r="BJ26" s="31" t="n">
        <v>12388.91</v>
      </c>
      <c r="BK26" s="31" t="n">
        <v>9640.82</v>
      </c>
      <c r="BL26" s="31" t="n">
        <v>9010.11</v>
      </c>
      <c r="BM26" s="31" t="n">
        <v>40491.45</v>
      </c>
      <c r="BN26" s="31" t="n">
        <v>37842.48</v>
      </c>
      <c r="BO26" s="31" t="n">
        <v>4108.3</v>
      </c>
      <c r="BP26" s="31" t="n">
        <v>0</v>
      </c>
      <c r="BQ26" s="31" t="n">
        <v>180765.42</v>
      </c>
      <c r="BR26" s="31" t="n">
        <v>168939.64</v>
      </c>
      <c r="BS26" s="31" t="n">
        <v>4820.41</v>
      </c>
      <c r="BT26" s="31" t="n">
        <v>5912.89</v>
      </c>
      <c r="BU26" s="31" t="n">
        <v>133802.77</v>
      </c>
      <c r="BV26" s="31" t="n">
        <v>125049.32</v>
      </c>
      <c r="BW26" s="31" t="n">
        <v>4049.15</v>
      </c>
      <c r="BX26" s="31" t="n">
        <v>7883.85</v>
      </c>
      <c r="BY26" s="31" t="n">
        <v>40802.56</v>
      </c>
      <c r="BZ26" s="31" t="n">
        <v>1305879.7</v>
      </c>
      <c r="CA26" s="31" t="n">
        <v>26994.3</v>
      </c>
      <c r="CB26" s="31" t="n">
        <v>25228.32</v>
      </c>
      <c r="CC26" s="31" t="n">
        <v>109474.99</v>
      </c>
      <c r="CD26" s="31" t="n">
        <v>1282385.21</v>
      </c>
      <c r="CE26" s="31" t="n">
        <v>32112.67</v>
      </c>
      <c r="CF26" s="31" t="n">
        <v>30011.84</v>
      </c>
      <c r="CG26" s="31" t="n">
        <f aca="false">SUM(CF26,CD26,CB26,BZ26,BX26,BV26,BT26,BR26,BP26,BN26,BL26,BJ26,BH26)</f>
        <v>3018100.77</v>
      </c>
      <c r="CH26" s="31" t="n">
        <f aca="false">CG26+BF26</f>
        <v>10775965.99</v>
      </c>
      <c r="CI26" s="31" t="n">
        <f aca="false">SUM(CE26,CC26,CA26,BY26,BW26,BU26,BS26,BQ26,BO26,BM26,BK26,BI26,BG26,BD26,BB26,AZ26,AX26,AV26,AT26,AR26,AP26,AN26)</f>
        <v>9277012.01</v>
      </c>
      <c r="CJ26" s="31" t="n">
        <f aca="false">CI26-CH26</f>
        <v>-1498953.98</v>
      </c>
      <c r="CK26" s="31" t="str">
        <f aca="false">IF(CE26-CF26+CC26-CD26+CA26-CB26+BU26-BV26+BK26-BL26+BI26-BJ26 &gt; 0, CE26-CF26+CC26-CD26+CA26-CB26+BU26-BV26+BK26-BL26+BI26-BJ26, "-")</f>
        <v>-</v>
      </c>
      <c r="CL26" s="31" t="str">
        <f aca="false">IF(CJ26&lt;0,"⚠ Over Budget","✓ Within Budget")</f>
        <v>⚠ Over Budget</v>
      </c>
      <c r="CM26" s="33" t="s">
        <v>118</v>
      </c>
    </row>
    <row r="27" customFormat="false" ht="14.25" hidden="false" customHeight="false" outlineLevel="0" collapsed="false">
      <c r="A27" s="28" t="s">
        <v>92</v>
      </c>
      <c r="B27" s="28" t="n">
        <v>2024</v>
      </c>
      <c r="C27" s="28" t="n">
        <v>17</v>
      </c>
      <c r="D27" s="28" t="n">
        <v>0</v>
      </c>
      <c r="E27" s="28" t="n">
        <v>1</v>
      </c>
      <c r="F27" s="28" t="n">
        <v>1</v>
      </c>
      <c r="G27" s="28" t="n">
        <v>1</v>
      </c>
      <c r="H27" s="28" t="n">
        <v>0</v>
      </c>
      <c r="I27" s="28" t="n">
        <v>0</v>
      </c>
      <c r="J27" s="28" t="n">
        <v>3</v>
      </c>
      <c r="K27" s="28" t="n">
        <v>1</v>
      </c>
      <c r="L27" s="28" t="n">
        <v>0</v>
      </c>
      <c r="M27" s="28" t="n">
        <v>0</v>
      </c>
      <c r="N27" s="28" t="n">
        <v>0</v>
      </c>
      <c r="O27" s="28" t="n">
        <v>0</v>
      </c>
      <c r="P27" s="28" t="n">
        <v>1</v>
      </c>
      <c r="Q27" s="28" t="n">
        <v>1</v>
      </c>
      <c r="R27" s="28" t="n">
        <v>0</v>
      </c>
      <c r="S27" s="28" t="n">
        <v>19</v>
      </c>
      <c r="T27" s="28" t="n">
        <v>5</v>
      </c>
      <c r="U27" s="28" t="n">
        <v>14</v>
      </c>
      <c r="V27" s="28" t="n">
        <v>19</v>
      </c>
      <c r="W27" s="28" t="n">
        <v>0</v>
      </c>
      <c r="X27" s="28" t="n">
        <v>1</v>
      </c>
      <c r="Y27" s="28" t="n">
        <v>3</v>
      </c>
      <c r="Z27" s="28" t="n">
        <v>6</v>
      </c>
      <c r="AA27" s="28" t="n">
        <v>5</v>
      </c>
      <c r="AB27" s="28" t="n">
        <v>2</v>
      </c>
      <c r="AC27" s="28" t="n">
        <v>2</v>
      </c>
      <c r="AD27" s="29" t="n">
        <v>0.705882</v>
      </c>
      <c r="AE27" s="29" t="n">
        <v>0</v>
      </c>
      <c r="AF27" s="30" t="n">
        <v>57.8</v>
      </c>
      <c r="AG27" s="31" t="n">
        <v>797796</v>
      </c>
      <c r="AH27" s="31" t="n">
        <v>1245298</v>
      </c>
      <c r="AI27" s="31" t="n">
        <v>1962316</v>
      </c>
      <c r="AJ27" s="31" t="n">
        <v>3177816</v>
      </c>
      <c r="AK27" s="31" t="n">
        <v>4813549</v>
      </c>
      <c r="AL27" s="31" t="n">
        <v>8146491</v>
      </c>
      <c r="AM27" s="31" t="n">
        <v>3578709.51</v>
      </c>
      <c r="AN27" s="31" t="n">
        <v>4786523.96</v>
      </c>
      <c r="AO27" s="31" t="n">
        <v>5066771.32</v>
      </c>
      <c r="AP27" s="31" t="n">
        <v>478652.4</v>
      </c>
      <c r="AQ27" s="31" t="n">
        <v>447338.69</v>
      </c>
      <c r="AR27" s="31" t="n">
        <v>78324.94</v>
      </c>
      <c r="AS27" s="31" t="n">
        <v>268403.21</v>
      </c>
      <c r="AT27" s="31" t="n">
        <v>239326.2</v>
      </c>
      <c r="AU27" s="31" t="n">
        <v>223669.34</v>
      </c>
      <c r="AV27" s="31" t="n">
        <v>20188.15</v>
      </c>
      <c r="AW27" s="31" t="n">
        <v>24173.9</v>
      </c>
      <c r="AX27" s="31" t="n">
        <v>12933.04</v>
      </c>
      <c r="AY27" s="31" t="n">
        <v>12086.95</v>
      </c>
      <c r="AZ27" s="31" t="n">
        <v>11674.45</v>
      </c>
      <c r="BA27" s="31" t="n">
        <v>0</v>
      </c>
      <c r="BB27" s="31" t="n">
        <v>20698.48</v>
      </c>
      <c r="BC27" s="31" t="n">
        <v>1048619.22</v>
      </c>
      <c r="BD27" s="31" t="n">
        <v>820.55</v>
      </c>
      <c r="BE27" s="31" t="n">
        <v>0</v>
      </c>
      <c r="BF27" s="31" t="n">
        <f aca="false">SUM(BE27,BC27,BA27,AY27,AW27,AU27,AS27,AQ27,AO27)</f>
        <v>7091062.63</v>
      </c>
      <c r="BG27" s="31" t="n">
        <v>2575.11</v>
      </c>
      <c r="BH27" s="31" t="n">
        <v>6768.69</v>
      </c>
      <c r="BI27" s="31" t="n">
        <v>11855.28</v>
      </c>
      <c r="BJ27" s="31" t="n">
        <v>11079.7</v>
      </c>
      <c r="BK27" s="31" t="n">
        <v>8622.02</v>
      </c>
      <c r="BL27" s="31" t="n">
        <v>8057.97</v>
      </c>
      <c r="BM27" s="31" t="n">
        <v>36212.5</v>
      </c>
      <c r="BN27" s="31" t="n">
        <v>33843.46</v>
      </c>
      <c r="BO27" s="31" t="n">
        <v>54867.42</v>
      </c>
      <c r="BP27" s="31" t="n">
        <v>489599.23</v>
      </c>
      <c r="BQ27" s="31" t="n">
        <v>158070.43</v>
      </c>
      <c r="BR27" s="31" t="n">
        <v>147729.38</v>
      </c>
      <c r="BS27" s="31" t="n">
        <v>4742.11</v>
      </c>
      <c r="BT27" s="31" t="n">
        <v>5170.53</v>
      </c>
      <c r="BU27" s="31" t="n">
        <v>119663.1</v>
      </c>
      <c r="BV27" s="31" t="n">
        <v>111834.67</v>
      </c>
      <c r="BW27" s="31" t="n">
        <v>3621.25</v>
      </c>
      <c r="BX27" s="31" t="n">
        <v>7050.72</v>
      </c>
      <c r="BY27" s="31" t="n">
        <v>3832.01</v>
      </c>
      <c r="BZ27" s="31" t="n">
        <v>8057.97</v>
      </c>
      <c r="CA27" s="31" t="n">
        <v>24141.67</v>
      </c>
      <c r="CB27" s="31" t="n">
        <v>22562.3</v>
      </c>
      <c r="CC27" s="31" t="n">
        <v>97906.17</v>
      </c>
      <c r="CD27" s="31" t="n">
        <v>167752.01</v>
      </c>
      <c r="CE27" s="31" t="n">
        <v>28719.14</v>
      </c>
      <c r="CF27" s="31" t="n">
        <v>26840.32</v>
      </c>
      <c r="CG27" s="31" t="n">
        <f aca="false">SUM(CF27,CD27,CB27,BZ27,BX27,BV27,BT27,BR27,BP27,BN27,BL27,BJ27,BH27)</f>
        <v>1046346.95</v>
      </c>
      <c r="CH27" s="31" t="n">
        <f aca="false">CG27+BF27</f>
        <v>8137409.58</v>
      </c>
      <c r="CI27" s="31" t="n">
        <f aca="false">SUM(CE27,CC27,CA27,BY27,BW27,BU27,BS27,BQ27,BO27,BM27,BK27,BI27,BG27,BD27,BB27,AZ27,AX27,AV27,AT27,AR27,AP27,AN27)</f>
        <v>6203970.38</v>
      </c>
      <c r="CJ27" s="31" t="n">
        <f aca="false">CI27-CH27</f>
        <v>-1933439.2</v>
      </c>
      <c r="CK27" s="31" t="str">
        <f aca="false">IF(CE27-CF27+CC27-CD27+CA27-CB27+BU27-BV27+BK27-BL27+BI27-BJ27 &gt; 0, CE27-CF27+CC27-CD27+CA27-CB27+BU27-BV27+BK27-BL27+BI27-BJ27, "-")</f>
        <v>-</v>
      </c>
      <c r="CL27" s="31" t="str">
        <f aca="false">IF(CJ27&lt;0,"⚠ Over Budget","✓ Within Budget")</f>
        <v>⚠ Over Budget</v>
      </c>
      <c r="CM27" s="33" t="s">
        <v>106</v>
      </c>
    </row>
    <row r="28" customFormat="false" ht="14.25" hidden="false" customHeight="false" outlineLevel="0" collapsed="false">
      <c r="A28" s="22" t="s">
        <v>93</v>
      </c>
      <c r="B28" s="22" t="n">
        <v>2024</v>
      </c>
      <c r="C28" s="22" t="n">
        <v>19</v>
      </c>
      <c r="D28" s="22" t="n">
        <v>1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1</v>
      </c>
      <c r="J28" s="22" t="n">
        <v>1</v>
      </c>
      <c r="K28" s="22" t="n">
        <v>1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1</v>
      </c>
      <c r="Q28" s="22" t="n">
        <v>1</v>
      </c>
      <c r="R28" s="22" t="n">
        <v>0</v>
      </c>
      <c r="S28" s="22" t="n">
        <v>19</v>
      </c>
      <c r="T28" s="22" t="n">
        <v>4</v>
      </c>
      <c r="U28" s="22" t="n">
        <v>15</v>
      </c>
      <c r="V28" s="22" t="n">
        <v>19</v>
      </c>
      <c r="W28" s="22" t="n">
        <v>0</v>
      </c>
      <c r="X28" s="22" t="n">
        <v>1</v>
      </c>
      <c r="Y28" s="22" t="n">
        <v>3</v>
      </c>
      <c r="Z28" s="22" t="n">
        <v>6</v>
      </c>
      <c r="AA28" s="22" t="n">
        <v>5</v>
      </c>
      <c r="AB28" s="22" t="n">
        <v>2</v>
      </c>
      <c r="AC28" s="22" t="n">
        <v>2</v>
      </c>
      <c r="AD28" s="23" t="n">
        <v>0.631579</v>
      </c>
      <c r="AE28" s="23" t="n">
        <v>0</v>
      </c>
      <c r="AF28" s="24" t="n">
        <v>58.2</v>
      </c>
      <c r="AG28" s="25" t="n">
        <v>797796</v>
      </c>
      <c r="AH28" s="25" t="n">
        <v>1245298</v>
      </c>
      <c r="AI28" s="25" t="n">
        <v>1962316</v>
      </c>
      <c r="AJ28" s="25" t="n">
        <v>3177816</v>
      </c>
      <c r="AK28" s="25" t="n">
        <v>4813549</v>
      </c>
      <c r="AL28" s="25" t="n">
        <v>8146491</v>
      </c>
      <c r="AM28" s="25" t="n">
        <v>3578709.51</v>
      </c>
      <c r="AN28" s="25" t="n">
        <v>5424727.16</v>
      </c>
      <c r="AO28" s="25" t="n">
        <v>5069838.47</v>
      </c>
      <c r="AP28" s="25" t="n">
        <v>542472.72</v>
      </c>
      <c r="AQ28" s="25" t="n">
        <v>506983.85</v>
      </c>
      <c r="AR28" s="25" t="n">
        <v>14794.71</v>
      </c>
      <c r="AS28" s="25" t="n">
        <v>0</v>
      </c>
      <c r="AT28" s="25" t="n">
        <v>271236.36</v>
      </c>
      <c r="AU28" s="25" t="n">
        <v>253491.92</v>
      </c>
      <c r="AV28" s="25" t="n">
        <v>22879.91</v>
      </c>
      <c r="AW28" s="25" t="n">
        <v>27397.08</v>
      </c>
      <c r="AX28" s="25" t="n">
        <v>14657.44</v>
      </c>
      <c r="AY28" s="25" t="n">
        <v>13698.54</v>
      </c>
      <c r="AZ28" s="25" t="n">
        <v>13231.04</v>
      </c>
      <c r="BA28" s="25" t="n">
        <v>0</v>
      </c>
      <c r="BB28" s="25" t="n">
        <v>93143.17</v>
      </c>
      <c r="BC28" s="25" t="n">
        <v>89467.74</v>
      </c>
      <c r="BD28" s="25" t="n">
        <v>307705.11</v>
      </c>
      <c r="BE28" s="25" t="n">
        <v>178935.48</v>
      </c>
      <c r="BF28" s="25" t="n">
        <f aca="false">SUM(BE28,BC28,BA28,AY28,AW28,AU28,AS28,AQ28,AO28)</f>
        <v>6139813.08</v>
      </c>
      <c r="BG28" s="25" t="n">
        <v>2918.46</v>
      </c>
      <c r="BH28" s="25" t="n">
        <v>7671.18</v>
      </c>
      <c r="BI28" s="25" t="n">
        <v>13435.99</v>
      </c>
      <c r="BJ28" s="25" t="n">
        <v>12557</v>
      </c>
      <c r="BK28" s="25" t="n">
        <v>9771.63</v>
      </c>
      <c r="BL28" s="25" t="n">
        <v>9132.36</v>
      </c>
      <c r="BM28" s="25" t="n">
        <v>41040.83</v>
      </c>
      <c r="BN28" s="25" t="n">
        <v>38355.92</v>
      </c>
      <c r="BO28" s="25" t="n">
        <v>82301.13</v>
      </c>
      <c r="BP28" s="25" t="n">
        <v>141014.41</v>
      </c>
      <c r="BQ28" s="25" t="n">
        <v>186810.51</v>
      </c>
      <c r="BR28" s="25" t="n">
        <v>174589.26</v>
      </c>
      <c r="BS28" s="25" t="n">
        <v>5604.32</v>
      </c>
      <c r="BT28" s="25" t="n">
        <v>6110.62</v>
      </c>
      <c r="BU28" s="25" t="n">
        <v>135618.18</v>
      </c>
      <c r="BV28" s="25" t="n">
        <v>126745.96</v>
      </c>
      <c r="BW28" s="25" t="n">
        <v>4104.08</v>
      </c>
      <c r="BX28" s="25" t="n">
        <v>7990.82</v>
      </c>
      <c r="BY28" s="25" t="n">
        <v>4342.95</v>
      </c>
      <c r="BZ28" s="25" t="n">
        <v>9132.36</v>
      </c>
      <c r="CA28" s="25" t="n">
        <v>27360.56</v>
      </c>
      <c r="CB28" s="25" t="n">
        <v>25570.61</v>
      </c>
      <c r="CC28" s="25" t="n">
        <v>110960.33</v>
      </c>
      <c r="CD28" s="25" t="n">
        <v>190118.94</v>
      </c>
      <c r="CE28" s="25" t="n">
        <v>32548.36</v>
      </c>
      <c r="CF28" s="25" t="n">
        <v>30419.03</v>
      </c>
      <c r="CG28" s="25" t="n">
        <f aca="false">SUM(CF28,CD28,CB28,BZ28,BX28,BV28,BT28,BR28,BP28,BN28,BL28,BJ28,BH28)</f>
        <v>779408.47</v>
      </c>
      <c r="CH28" s="25" t="n">
        <f aca="false">CG28+BF28</f>
        <v>6919221.55</v>
      </c>
      <c r="CI28" s="25" t="n">
        <f aca="false">SUM(CE28,CC28,CA28,BY28,BW28,BU28,BS28,BQ28,BO28,BM28,BK28,BI28,BG28,BD28,BB28,AZ28,AX28,AV28,AT28,AR28,AP28,AN28)</f>
        <v>7361664.95</v>
      </c>
      <c r="CJ28" s="25" t="n">
        <f aca="false">CI28-CH28</f>
        <v>442443.4</v>
      </c>
      <c r="CK28" s="25" t="str">
        <f aca="false">IF(CE28-CF28+CC28-CD28+CA28-CB28+BU28-BV28+BK28-BL28+BI28-BJ28 &gt; 0, CE28-CF28+CC28-CD28+CA28-CB28+BU28-BV28+BK28-BL28+BI28-BJ28, "-")</f>
        <v>-</v>
      </c>
      <c r="CL28" s="25" t="str">
        <f aca="false">IF(CJ28&lt;0,"⚠ Over Budget","✓ Within Budget")</f>
        <v>✓ Within Budget</v>
      </c>
      <c r="CM28" s="27"/>
    </row>
    <row r="29" customFormat="false" ht="14.25" hidden="false" customHeight="false" outlineLevel="0" collapsed="false">
      <c r="A29" s="16" t="s">
        <v>94</v>
      </c>
      <c r="B29" s="16" t="n">
        <v>2024</v>
      </c>
      <c r="C29" s="16" t="n">
        <v>19</v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19</v>
      </c>
      <c r="T29" s="16" t="n">
        <v>4</v>
      </c>
      <c r="U29" s="16" t="n">
        <v>15</v>
      </c>
      <c r="V29" s="16" t="n">
        <v>19</v>
      </c>
      <c r="W29" s="16" t="n">
        <v>0</v>
      </c>
      <c r="X29" s="16" t="n">
        <v>1</v>
      </c>
      <c r="Y29" s="16" t="n">
        <v>3</v>
      </c>
      <c r="Z29" s="16" t="n">
        <v>6</v>
      </c>
      <c r="AA29" s="16" t="n">
        <v>5</v>
      </c>
      <c r="AB29" s="16" t="n">
        <v>2</v>
      </c>
      <c r="AC29" s="16" t="n">
        <v>2</v>
      </c>
      <c r="AD29" s="17" t="n">
        <v>0</v>
      </c>
      <c r="AE29" s="17" t="n">
        <v>0</v>
      </c>
      <c r="AF29" s="18" t="n">
        <v>61.5</v>
      </c>
      <c r="AG29" s="19" t="n">
        <v>797796</v>
      </c>
      <c r="AH29" s="19" t="n">
        <v>1245298</v>
      </c>
      <c r="AI29" s="19" t="n">
        <v>1962316</v>
      </c>
      <c r="AJ29" s="19" t="n">
        <v>3177816</v>
      </c>
      <c r="AK29" s="19" t="n">
        <v>4813549</v>
      </c>
      <c r="AL29" s="19" t="n">
        <v>8146491</v>
      </c>
      <c r="AM29" s="19" t="n">
        <v>3578709.51</v>
      </c>
      <c r="AN29" s="19" t="n">
        <v>5424727.16</v>
      </c>
      <c r="AO29" s="19" t="n">
        <v>5069838.47</v>
      </c>
      <c r="AP29" s="19" t="n">
        <v>542472.72</v>
      </c>
      <c r="AQ29" s="19" t="n">
        <v>506983.85</v>
      </c>
      <c r="AR29" s="19" t="n">
        <v>24657.85</v>
      </c>
      <c r="AS29" s="19" t="n">
        <v>0</v>
      </c>
      <c r="AT29" s="19" t="n">
        <v>271236.36</v>
      </c>
      <c r="AU29" s="19" t="n">
        <v>253491.92</v>
      </c>
      <c r="AV29" s="19" t="n">
        <v>21449.91</v>
      </c>
      <c r="AW29" s="19" t="n">
        <v>20547.81</v>
      </c>
      <c r="AX29" s="19" t="n">
        <v>14657.44</v>
      </c>
      <c r="AY29" s="19" t="n">
        <v>13698.54</v>
      </c>
      <c r="AZ29" s="19" t="n">
        <v>42339.33</v>
      </c>
      <c r="BA29" s="19" t="n">
        <v>0</v>
      </c>
      <c r="BB29" s="19" t="n">
        <v>5174.62</v>
      </c>
      <c r="BC29" s="19" t="n">
        <v>0</v>
      </c>
      <c r="BD29" s="19" t="n">
        <v>1025.68</v>
      </c>
      <c r="BE29" s="19" t="n">
        <v>0</v>
      </c>
      <c r="BF29" s="19" t="n">
        <f aca="false">SUM(BE29,BC29,BA29,AY29,AW29,AU29,AS29,AQ29,AO29)</f>
        <v>5864560.59</v>
      </c>
      <c r="BG29" s="19" t="n">
        <v>2918.46</v>
      </c>
      <c r="BH29" s="19" t="n">
        <v>7671.18</v>
      </c>
      <c r="BI29" s="19" t="n">
        <v>13435.99</v>
      </c>
      <c r="BJ29" s="19" t="n">
        <v>12557</v>
      </c>
      <c r="BK29" s="19" t="n">
        <v>9771.63</v>
      </c>
      <c r="BL29" s="19" t="n">
        <v>9132.36</v>
      </c>
      <c r="BM29" s="19" t="n">
        <v>41040.83</v>
      </c>
      <c r="BN29" s="19" t="n">
        <v>38355.92</v>
      </c>
      <c r="BO29" s="19" t="n">
        <v>3919.1</v>
      </c>
      <c r="BP29" s="19" t="n">
        <v>0</v>
      </c>
      <c r="BQ29" s="19" t="n">
        <v>186810.51</v>
      </c>
      <c r="BR29" s="19" t="n">
        <v>174589.26</v>
      </c>
      <c r="BS29" s="19" t="n">
        <v>6227.02</v>
      </c>
      <c r="BT29" s="19" t="n">
        <v>6110.62</v>
      </c>
      <c r="BU29" s="19" t="n">
        <v>135618.18</v>
      </c>
      <c r="BV29" s="19" t="n">
        <v>126745.96</v>
      </c>
      <c r="BW29" s="19" t="n">
        <v>4104.08</v>
      </c>
      <c r="BX29" s="19" t="n">
        <v>7990.82</v>
      </c>
      <c r="BY29" s="19" t="n">
        <v>30980.59</v>
      </c>
      <c r="BZ29" s="19" t="n">
        <v>27144.21</v>
      </c>
      <c r="CA29" s="19" t="n">
        <v>27360.56</v>
      </c>
      <c r="CB29" s="19" t="n">
        <v>25570.61</v>
      </c>
      <c r="CC29" s="19" t="n">
        <v>1793392.26</v>
      </c>
      <c r="CD29" s="19" t="n">
        <v>614558.1</v>
      </c>
      <c r="CE29" s="19" t="n">
        <v>32548.36</v>
      </c>
      <c r="CF29" s="19" t="n">
        <v>30419.03</v>
      </c>
      <c r="CG29" s="19" t="n">
        <f aca="false">SUM(CF29,CD29,CB29,BZ29,BX29,BV29,BT29,BR29,BP29,BN29,BL29,BJ29,BH29)</f>
        <v>1080845.07</v>
      </c>
      <c r="CH29" s="19" t="n">
        <f aca="false">CG29+BF29</f>
        <v>6945405.66</v>
      </c>
      <c r="CI29" s="19" t="n">
        <f aca="false">SUM(CE29,CC29,CA29,BY29,BW29,BU29,BS29,BQ29,BO29,BM29,BK29,BI29,BG29,BD29,BB29,AZ29,AX29,AV29,AT29,AR29,AP29,AN29)</f>
        <v>8635868.64</v>
      </c>
      <c r="CJ29" s="19" t="n">
        <f aca="false">CI29-CH29</f>
        <v>1690462.98</v>
      </c>
      <c r="CK29" s="19" t="n">
        <f aca="false">IF(CE29-CF29+CC29-CD29+CA29-CB29+BU29-BV29+BK29-BL29+BI29-BJ29 &gt; 0, CE29-CF29+CC29-CD29+CA29-CB29+BU29-BV29+BK29-BL29+BI29-BJ29, "-")</f>
        <v>1193143.92</v>
      </c>
      <c r="CL29" s="19" t="str">
        <f aca="false">IF(CJ29&lt;0,"⚠ Over Budget","✓ Within Budget")</f>
        <v>✓ Within Budget</v>
      </c>
      <c r="CM29" s="21"/>
    </row>
    <row r="30" customFormat="false" ht="18.75" hidden="false" customHeight="true" outlineLevel="0" collapsed="false">
      <c r="A30" s="28" t="s">
        <v>96</v>
      </c>
      <c r="B30" s="28" t="n">
        <v>2024</v>
      </c>
      <c r="C30" s="28" t="n">
        <v>19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8" t="n">
        <v>0</v>
      </c>
      <c r="O30" s="28" t="n">
        <v>0</v>
      </c>
      <c r="P30" s="28" t="n">
        <v>0</v>
      </c>
      <c r="Q30" s="28" t="n">
        <v>0</v>
      </c>
      <c r="R30" s="28" t="n">
        <v>0</v>
      </c>
      <c r="S30" s="28" t="n">
        <v>19</v>
      </c>
      <c r="T30" s="28" t="n">
        <v>4</v>
      </c>
      <c r="U30" s="28" t="n">
        <v>15</v>
      </c>
      <c r="V30" s="28" t="n">
        <v>19</v>
      </c>
      <c r="W30" s="28" t="n">
        <v>0</v>
      </c>
      <c r="X30" s="28" t="n">
        <v>1</v>
      </c>
      <c r="Y30" s="28" t="n">
        <v>3</v>
      </c>
      <c r="Z30" s="28" t="n">
        <v>6</v>
      </c>
      <c r="AA30" s="28" t="n">
        <v>5</v>
      </c>
      <c r="AB30" s="28" t="n">
        <v>2</v>
      </c>
      <c r="AC30" s="28" t="n">
        <v>2</v>
      </c>
      <c r="AD30" s="29" t="n">
        <v>0</v>
      </c>
      <c r="AE30" s="29" t="n">
        <v>0.0920438003461531</v>
      </c>
      <c r="AF30" s="30" t="n">
        <v>62.1</v>
      </c>
      <c r="AG30" s="31" t="n">
        <v>893571</v>
      </c>
      <c r="AH30" s="31" t="n">
        <v>1383450</v>
      </c>
      <c r="AI30" s="31" t="n">
        <v>2148807</v>
      </c>
      <c r="AJ30" s="31" t="n">
        <v>3432584</v>
      </c>
      <c r="AK30" s="31" t="n">
        <v>5165637</v>
      </c>
      <c r="AL30" s="31" t="n">
        <v>8760717</v>
      </c>
      <c r="AM30" s="31" t="n">
        <v>3883286.72</v>
      </c>
      <c r="AN30" s="31" t="n">
        <v>5886415.46</v>
      </c>
      <c r="AO30" s="31" t="n">
        <v>6398148.32</v>
      </c>
      <c r="AP30" s="31" t="n">
        <v>588641.55</v>
      </c>
      <c r="AQ30" s="31" t="n">
        <v>550132.29</v>
      </c>
      <c r="AR30" s="31" t="n">
        <v>299672.06</v>
      </c>
      <c r="AS30" s="31" t="n">
        <v>385092.6</v>
      </c>
      <c r="AT30" s="31" t="n">
        <v>294320.77</v>
      </c>
      <c r="AU30" s="31" t="n">
        <v>275066.14</v>
      </c>
      <c r="AV30" s="31" t="n">
        <v>25739.9</v>
      </c>
      <c r="AW30" s="31" t="n">
        <v>20547.81</v>
      </c>
      <c r="AX30" s="31" t="n">
        <v>14657.44</v>
      </c>
      <c r="AY30" s="31" t="n">
        <v>13698.54</v>
      </c>
      <c r="AZ30" s="31" t="n">
        <v>57428.44</v>
      </c>
      <c r="BA30" s="31" t="n">
        <v>0</v>
      </c>
      <c r="BB30" s="31" t="n">
        <v>5615.02</v>
      </c>
      <c r="BC30" s="31" t="n">
        <v>0</v>
      </c>
      <c r="BD30" s="31" t="n">
        <v>370.99</v>
      </c>
      <c r="BE30" s="31" t="n">
        <v>0</v>
      </c>
      <c r="BF30" s="31" t="n">
        <f aca="false">SUM(BE30,BC30,BA30,AY30,AW30,AU30,AS30,AQ30,AO30)</f>
        <v>7642685.7</v>
      </c>
      <c r="BG30" s="31" t="n">
        <v>50447.65</v>
      </c>
      <c r="BH30" s="31" t="n">
        <v>24109.43</v>
      </c>
      <c r="BI30" s="31" t="n">
        <v>13435.99</v>
      </c>
      <c r="BJ30" s="31" t="n">
        <v>12557</v>
      </c>
      <c r="BK30" s="31" t="n">
        <v>9771.63</v>
      </c>
      <c r="BL30" s="31" t="n">
        <v>9132.36</v>
      </c>
      <c r="BM30" s="31" t="n">
        <v>41040.83</v>
      </c>
      <c r="BN30" s="31" t="n">
        <v>38355.92</v>
      </c>
      <c r="BO30" s="31" t="n">
        <v>19595.51</v>
      </c>
      <c r="BP30" s="31" t="n">
        <v>768707.54</v>
      </c>
      <c r="BQ30" s="31" t="n">
        <v>186810.51</v>
      </c>
      <c r="BR30" s="31" t="n">
        <v>174589.26</v>
      </c>
      <c r="BS30" s="31" t="n">
        <v>6227.02</v>
      </c>
      <c r="BT30" s="31" t="n">
        <v>6110.62</v>
      </c>
      <c r="BU30" s="31" t="n">
        <v>147160.39</v>
      </c>
      <c r="BV30" s="31" t="n">
        <v>137533.07</v>
      </c>
      <c r="BW30" s="31" t="n">
        <v>16416.33</v>
      </c>
      <c r="BX30" s="31" t="n">
        <v>7990.82</v>
      </c>
      <c r="BY30" s="31" t="n">
        <v>4342.95</v>
      </c>
      <c r="BZ30" s="31" t="n">
        <v>9132.36</v>
      </c>
      <c r="CA30" s="31" t="n">
        <v>27360.56</v>
      </c>
      <c r="CB30" s="31" t="n">
        <v>25570.61</v>
      </c>
      <c r="CC30" s="31" t="n">
        <v>1914741.92</v>
      </c>
      <c r="CD30" s="31" t="n">
        <v>1552967.56</v>
      </c>
      <c r="CE30" s="31" t="n">
        <v>35318.49</v>
      </c>
      <c r="CF30" s="31" t="n">
        <v>33007.94</v>
      </c>
      <c r="CG30" s="31" t="n">
        <f aca="false">SUM(CF30,CD30,CB30,BZ30,BX30,BV30,BT30,BR30,BP30,BN30,BL30,BJ30,BH30)</f>
        <v>2799764.49</v>
      </c>
      <c r="CH30" s="31" t="n">
        <f aca="false">CG30+BF30</f>
        <v>10442450.19</v>
      </c>
      <c r="CI30" s="31" t="n">
        <f aca="false">SUM(CE30,CC30,CA30,BY30,BW30,BU30,BS30,BQ30,BO30,BM30,BK30,BI30,BG30,BD30,BB30,AZ30,AX30,AV30,AT30,AR30,AP30,AN30)</f>
        <v>9645531.41</v>
      </c>
      <c r="CJ30" s="31" t="n">
        <f aca="false">CI30-CH30</f>
        <v>-796918.780000001</v>
      </c>
      <c r="CK30" s="31" t="n">
        <f aca="false">IF(CE30-CF30+CC30-CD30+CA30-CB30+BU30-BV30+BK30-BL30+BI30-BJ30 &gt; 0, CE30-CF30+CC30-CD30+CA30-CB30+BU30-BV30+BK30-BL30+BI30-BJ30, "-")</f>
        <v>377020.44</v>
      </c>
      <c r="CL30" s="31" t="str">
        <f aca="false">IF(CJ30&lt;0,"⚠ Over Budget","✓ Within Budget")</f>
        <v>⚠ Over Budget</v>
      </c>
      <c r="CM30" s="33" t="s">
        <v>97</v>
      </c>
    </row>
    <row r="31" customFormat="false" ht="14.25" hidden="false" customHeight="false" outlineLevel="0" collapsed="false">
      <c r="A31" s="16" t="s">
        <v>98</v>
      </c>
      <c r="B31" s="16" t="n">
        <v>2024</v>
      </c>
      <c r="C31" s="16" t="n">
        <v>19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19</v>
      </c>
      <c r="T31" s="16" t="n">
        <v>4</v>
      </c>
      <c r="U31" s="16" t="n">
        <v>15</v>
      </c>
      <c r="V31" s="16" t="n">
        <v>19</v>
      </c>
      <c r="W31" s="16" t="n">
        <v>0</v>
      </c>
      <c r="X31" s="16" t="n">
        <v>1</v>
      </c>
      <c r="Y31" s="16" t="n">
        <v>3</v>
      </c>
      <c r="Z31" s="16" t="n">
        <v>6</v>
      </c>
      <c r="AA31" s="16" t="n">
        <v>5</v>
      </c>
      <c r="AB31" s="16" t="n">
        <v>2</v>
      </c>
      <c r="AC31" s="16" t="n">
        <v>2</v>
      </c>
      <c r="AD31" s="17" t="n">
        <v>0</v>
      </c>
      <c r="AE31" s="17" t="n">
        <v>0</v>
      </c>
      <c r="AF31" s="18" t="n">
        <v>61.8</v>
      </c>
      <c r="AG31" s="19" t="n">
        <v>893571</v>
      </c>
      <c r="AH31" s="19" t="n">
        <v>1383450</v>
      </c>
      <c r="AI31" s="19" t="n">
        <v>2148807</v>
      </c>
      <c r="AJ31" s="19" t="n">
        <v>3432584</v>
      </c>
      <c r="AK31" s="19" t="n">
        <v>5165637</v>
      </c>
      <c r="AL31" s="19" t="n">
        <v>8760717</v>
      </c>
      <c r="AM31" s="19" t="n">
        <v>3883286.72</v>
      </c>
      <c r="AN31" s="19" t="n">
        <v>5886415.46</v>
      </c>
      <c r="AO31" s="19" t="n">
        <v>5501322.86</v>
      </c>
      <c r="AP31" s="19" t="n">
        <v>588641.55</v>
      </c>
      <c r="AQ31" s="19" t="n">
        <v>550132.29</v>
      </c>
      <c r="AR31" s="19" t="n">
        <v>21405.15</v>
      </c>
      <c r="AS31" s="19" t="n">
        <v>0</v>
      </c>
      <c r="AT31" s="19" t="n">
        <v>294320.77</v>
      </c>
      <c r="AU31" s="19" t="n">
        <v>275066.14</v>
      </c>
      <c r="AV31" s="19" t="n">
        <v>27884.89</v>
      </c>
      <c r="AW31" s="19" t="n">
        <v>20547.81</v>
      </c>
      <c r="AX31" s="19" t="n">
        <v>14657.44</v>
      </c>
      <c r="AY31" s="19" t="n">
        <v>13698.54</v>
      </c>
      <c r="AZ31" s="19" t="n">
        <v>17228.53</v>
      </c>
      <c r="BA31" s="19" t="n">
        <v>0</v>
      </c>
      <c r="BB31" s="19" t="n">
        <v>2246.01</v>
      </c>
      <c r="BC31" s="19" t="n">
        <v>0</v>
      </c>
      <c r="BD31" s="19" t="n">
        <v>370.99</v>
      </c>
      <c r="BE31" s="19" t="n">
        <v>0</v>
      </c>
      <c r="BF31" s="19" t="n">
        <f aca="false">SUM(BE31,BC31,BA31,AY31,AW31,AU31,AS31,AQ31,AO31)</f>
        <v>6360767.64</v>
      </c>
      <c r="BG31" s="19" t="n">
        <v>33770.74</v>
      </c>
      <c r="BH31" s="19" t="n">
        <v>19725.9</v>
      </c>
      <c r="BI31" s="19" t="n">
        <v>13435.99</v>
      </c>
      <c r="BJ31" s="19" t="n">
        <v>12557</v>
      </c>
      <c r="BK31" s="19" t="n">
        <v>9771.63</v>
      </c>
      <c r="BL31" s="19" t="n">
        <v>9132.36</v>
      </c>
      <c r="BM31" s="19" t="n">
        <v>41040.83</v>
      </c>
      <c r="BN31" s="19" t="n">
        <v>38355.92</v>
      </c>
      <c r="BO31" s="19" t="n">
        <v>7838.2</v>
      </c>
      <c r="BP31" s="19" t="n">
        <v>0</v>
      </c>
      <c r="BQ31" s="19" t="n">
        <v>186810.51</v>
      </c>
      <c r="BR31" s="19" t="n">
        <v>174589.26</v>
      </c>
      <c r="BS31" s="19" t="n">
        <v>6849.72</v>
      </c>
      <c r="BT31" s="19" t="n">
        <v>6110.62</v>
      </c>
      <c r="BU31" s="19" t="n">
        <v>147160.39</v>
      </c>
      <c r="BV31" s="19" t="n">
        <v>137533.07</v>
      </c>
      <c r="BW31" s="19" t="n">
        <v>12312.25</v>
      </c>
      <c r="BX31" s="19" t="n">
        <v>7990.82</v>
      </c>
      <c r="BY31" s="19" t="n">
        <v>4342.95</v>
      </c>
      <c r="BZ31" s="19" t="n">
        <v>9132.36</v>
      </c>
      <c r="CA31" s="19" t="n">
        <v>27360.56</v>
      </c>
      <c r="CB31" s="19" t="n">
        <v>25570.61</v>
      </c>
      <c r="CC31" s="19" t="n">
        <v>192646.32</v>
      </c>
      <c r="CD31" s="19" t="n">
        <v>206299.61</v>
      </c>
      <c r="CE31" s="19" t="n">
        <v>35318.49</v>
      </c>
      <c r="CF31" s="19" t="n">
        <v>33007.94</v>
      </c>
      <c r="CG31" s="19" t="n">
        <f aca="false">SUM(CF31,CD31,CB31,BZ31,BX31,BV31,BT31,BR31,BP31,BN31,BL31,BJ31,BH31)</f>
        <v>680005.47</v>
      </c>
      <c r="CH31" s="19" t="n">
        <f aca="false">CG31+BF31</f>
        <v>7040773.11</v>
      </c>
      <c r="CI31" s="19" t="n">
        <f aca="false">SUM(CE31,CC31,CA31,BY31,BW31,BU31,BS31,BQ31,BO31,BM31,BK31,BI31,BG31,BD31,BB31,AZ31,AX31,AV31,AT31,AR31,AP31,AN31)</f>
        <v>7571829.37</v>
      </c>
      <c r="CJ31" s="19" t="n">
        <f aca="false">CI31-CH31</f>
        <v>531056.26</v>
      </c>
      <c r="CK31" s="19" t="n">
        <f aca="false">IF(CE31-CF31+CC31-CD31+CA31-CB31+BU31-BV31+BK31-BL31+BI31-BJ31 &gt; 0, CE31-CF31+CC31-CD31+CA31-CB31+BU31-BV31+BK31-BL31+BI31-BJ31, "-")</f>
        <v>1592.79000000003</v>
      </c>
      <c r="CL31" s="19" t="str">
        <f aca="false">IF(CJ31&lt;0,"⚠ Over Budget","✓ Within Budget")</f>
        <v>✓ Within Budget</v>
      </c>
      <c r="CM31" s="21"/>
    </row>
    <row r="32" customFormat="false" ht="14.25" hidden="false" customHeight="false" outlineLevel="0" collapsed="false">
      <c r="A32" s="22" t="s">
        <v>99</v>
      </c>
      <c r="B32" s="22" t="n">
        <v>2024</v>
      </c>
      <c r="C32" s="22" t="n">
        <v>19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19</v>
      </c>
      <c r="T32" s="22" t="n">
        <v>4</v>
      </c>
      <c r="U32" s="22" t="n">
        <v>15</v>
      </c>
      <c r="V32" s="22" t="n">
        <v>19</v>
      </c>
      <c r="W32" s="22" t="n">
        <v>0</v>
      </c>
      <c r="X32" s="22" t="n">
        <v>1</v>
      </c>
      <c r="Y32" s="22" t="n">
        <v>3</v>
      </c>
      <c r="Z32" s="22" t="n">
        <v>6</v>
      </c>
      <c r="AA32" s="22" t="n">
        <v>5</v>
      </c>
      <c r="AB32" s="22" t="n">
        <v>2</v>
      </c>
      <c r="AC32" s="22" t="n">
        <v>2</v>
      </c>
      <c r="AD32" s="23" t="n">
        <v>0</v>
      </c>
      <c r="AE32" s="23" t="n">
        <v>0</v>
      </c>
      <c r="AF32" s="24" t="n">
        <v>61.4</v>
      </c>
      <c r="AG32" s="25" t="n">
        <v>893571</v>
      </c>
      <c r="AH32" s="25" t="n">
        <v>1383450</v>
      </c>
      <c r="AI32" s="25" t="n">
        <v>2148807</v>
      </c>
      <c r="AJ32" s="25" t="n">
        <v>3432584</v>
      </c>
      <c r="AK32" s="25" t="n">
        <v>5165637</v>
      </c>
      <c r="AL32" s="25" t="n">
        <v>8760717</v>
      </c>
      <c r="AM32" s="25" t="n">
        <v>3883286.72</v>
      </c>
      <c r="AN32" s="25" t="n">
        <v>5886415.46</v>
      </c>
      <c r="AO32" s="25" t="n">
        <v>5501322.86</v>
      </c>
      <c r="AP32" s="25" t="n">
        <v>588641.55</v>
      </c>
      <c r="AQ32" s="25" t="n">
        <v>550132.29</v>
      </c>
      <c r="AR32" s="25" t="n">
        <v>21405.15</v>
      </c>
      <c r="AS32" s="25" t="n">
        <v>0</v>
      </c>
      <c r="AT32" s="25" t="n">
        <v>294320.77</v>
      </c>
      <c r="AU32" s="25" t="n">
        <v>275066.14</v>
      </c>
      <c r="AV32" s="25" t="n">
        <v>32174.87</v>
      </c>
      <c r="AW32" s="25" t="n">
        <v>20547.81</v>
      </c>
      <c r="AX32" s="25" t="n">
        <v>14657.44</v>
      </c>
      <c r="AY32" s="25" t="n">
        <v>13698.54</v>
      </c>
      <c r="AZ32" s="25" t="n">
        <v>17228.53</v>
      </c>
      <c r="BA32" s="25" t="n">
        <v>0</v>
      </c>
      <c r="BB32" s="25" t="n">
        <v>3369.01</v>
      </c>
      <c r="BC32" s="25" t="n">
        <v>0</v>
      </c>
      <c r="BD32" s="25" t="n">
        <v>741.99</v>
      </c>
      <c r="BE32" s="25" t="n">
        <v>0</v>
      </c>
      <c r="BF32" s="25" t="n">
        <f aca="false">SUM(BE32,BC32,BA32,AY32,AW32,AU32,AS32,AQ32,AO32)</f>
        <v>6360767.64</v>
      </c>
      <c r="BG32" s="25" t="n">
        <v>5836.92</v>
      </c>
      <c r="BH32" s="25" t="n">
        <v>7671.18</v>
      </c>
      <c r="BI32" s="25" t="n">
        <v>13435.99</v>
      </c>
      <c r="BJ32" s="25" t="n">
        <v>12557</v>
      </c>
      <c r="BK32" s="25" t="n">
        <v>9771.63</v>
      </c>
      <c r="BL32" s="25" t="n">
        <v>9132.36</v>
      </c>
      <c r="BM32" s="25" t="n">
        <v>41040.83</v>
      </c>
      <c r="BN32" s="25" t="n">
        <v>38355.92</v>
      </c>
      <c r="BO32" s="25" t="n">
        <v>3919.1</v>
      </c>
      <c r="BP32" s="25" t="n">
        <v>0</v>
      </c>
      <c r="BQ32" s="25" t="n">
        <v>186810.51</v>
      </c>
      <c r="BR32" s="25" t="n">
        <v>174589.26</v>
      </c>
      <c r="BS32" s="25" t="n">
        <v>8095.12</v>
      </c>
      <c r="BT32" s="25" t="n">
        <v>6110.62</v>
      </c>
      <c r="BU32" s="25" t="n">
        <v>147160.39</v>
      </c>
      <c r="BV32" s="25" t="n">
        <v>137533.07</v>
      </c>
      <c r="BW32" s="25" t="n">
        <v>8208.17</v>
      </c>
      <c r="BX32" s="25" t="n">
        <v>7990.82</v>
      </c>
      <c r="BY32" s="25" t="n">
        <v>124555.57</v>
      </c>
      <c r="BZ32" s="25" t="n">
        <v>52383.18</v>
      </c>
      <c r="CA32" s="25" t="n">
        <v>27360.56</v>
      </c>
      <c r="CB32" s="25" t="n">
        <v>25570.61</v>
      </c>
      <c r="CC32" s="25" t="n">
        <v>120403.95</v>
      </c>
      <c r="CD32" s="25" t="n">
        <v>206299.61</v>
      </c>
      <c r="CE32" s="25" t="n">
        <v>35318.49</v>
      </c>
      <c r="CF32" s="25" t="n">
        <v>33007.94</v>
      </c>
      <c r="CG32" s="25" t="n">
        <f aca="false">SUM(CF32,CD32,CB32,BZ32,BX32,BV32,BT32,BR32,BP32,BN32,BL32,BJ32,BH32)</f>
        <v>711201.57</v>
      </c>
      <c r="CH32" s="25" t="n">
        <f aca="false">CG32+BF32</f>
        <v>7071969.21</v>
      </c>
      <c r="CI32" s="25" t="n">
        <f aca="false">SUM(CE32,CC32,CA32,BY32,BW32,BU32,BS32,BQ32,BO32,BM32,BK32,BI32,BG32,BD32,BB32,AZ32,AX32,AV32,AT32,AR32,AP32,AN32)</f>
        <v>7590872</v>
      </c>
      <c r="CJ32" s="25" t="n">
        <f aca="false">CI32-CH32</f>
        <v>518902.789999999</v>
      </c>
      <c r="CK32" s="25" t="str">
        <f aca="false">IF(CE32-CF32+CC32-CD32+CA32-CB32+BU32-BV32+BK32-BL32+BI32-BJ32 &gt; 0, CE32-CF32+CC32-CD32+CA32-CB32+BU32-BV32+BK32-BL32+BI32-BJ32, "-")</f>
        <v>-</v>
      </c>
      <c r="CL32" s="25" t="str">
        <f aca="false">IF(CJ32&lt;0,"⚠ Over Budget","✓ Within Budget")</f>
        <v>✓ Within Budget</v>
      </c>
      <c r="CM32" s="27"/>
    </row>
    <row r="33" customFormat="false" ht="14.25" hidden="false" customHeight="false" outlineLevel="0" collapsed="false">
      <c r="A33" s="16" t="s">
        <v>100</v>
      </c>
      <c r="B33" s="16" t="n">
        <v>2024</v>
      </c>
      <c r="C33" s="16" t="n">
        <v>19</v>
      </c>
      <c r="D33" s="16" t="n">
        <v>1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1</v>
      </c>
      <c r="J33" s="16" t="n">
        <v>1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20</v>
      </c>
      <c r="T33" s="16" t="n">
        <v>5</v>
      </c>
      <c r="U33" s="16" t="n">
        <v>15</v>
      </c>
      <c r="V33" s="16" t="n">
        <v>20</v>
      </c>
      <c r="W33" s="16" t="n">
        <v>0</v>
      </c>
      <c r="X33" s="16" t="n">
        <v>1</v>
      </c>
      <c r="Y33" s="16" t="n">
        <v>4</v>
      </c>
      <c r="Z33" s="16" t="n">
        <v>7</v>
      </c>
      <c r="AA33" s="16" t="n">
        <v>6</v>
      </c>
      <c r="AB33" s="16" t="n">
        <v>2</v>
      </c>
      <c r="AC33" s="16" t="n">
        <v>1</v>
      </c>
      <c r="AD33" s="17" t="n">
        <v>0</v>
      </c>
      <c r="AE33" s="17" t="n">
        <v>0</v>
      </c>
      <c r="AF33" s="18" t="n">
        <v>61.9</v>
      </c>
      <c r="AG33" s="19" t="n">
        <v>893571</v>
      </c>
      <c r="AH33" s="19" t="n">
        <v>1383450</v>
      </c>
      <c r="AI33" s="19" t="n">
        <v>2148807</v>
      </c>
      <c r="AJ33" s="19" t="n">
        <v>3432584</v>
      </c>
      <c r="AK33" s="19" t="n">
        <v>5165637</v>
      </c>
      <c r="AL33" s="19" t="n">
        <v>8760717</v>
      </c>
      <c r="AM33" s="19" t="n">
        <v>3883286.72</v>
      </c>
      <c r="AN33" s="19" t="n">
        <v>6578934.92</v>
      </c>
      <c r="AO33" s="19" t="n">
        <v>6148537.31</v>
      </c>
      <c r="AP33" s="19" t="n">
        <v>657893.49</v>
      </c>
      <c r="AQ33" s="19" t="n">
        <v>614853.73</v>
      </c>
      <c r="AR33" s="19" t="n">
        <v>23923.4</v>
      </c>
      <c r="AS33" s="19" t="n">
        <v>0</v>
      </c>
      <c r="AT33" s="19" t="n">
        <v>328946.75</v>
      </c>
      <c r="AU33" s="19" t="n">
        <v>307426.87</v>
      </c>
      <c r="AV33" s="19" t="n">
        <v>28768.12</v>
      </c>
      <c r="AW33" s="19" t="n">
        <v>22965.2</v>
      </c>
      <c r="AX33" s="19" t="n">
        <v>16381.84</v>
      </c>
      <c r="AY33" s="19" t="n">
        <v>15310.14</v>
      </c>
      <c r="AZ33" s="19" t="n">
        <v>16046.18</v>
      </c>
      <c r="BA33" s="19" t="n">
        <v>0</v>
      </c>
      <c r="BB33" s="19" t="n">
        <v>112300.45</v>
      </c>
      <c r="BC33" s="19" t="n">
        <v>64721.45</v>
      </c>
      <c r="BD33" s="19" t="n">
        <v>1112.98</v>
      </c>
      <c r="BE33" s="19" t="n">
        <v>0</v>
      </c>
      <c r="BF33" s="19" t="n">
        <f aca="false">SUM(BE33,BC33,BA33,AY33,AW33,AU33,AS33,AQ33,AO33)</f>
        <v>7173814.7</v>
      </c>
      <c r="BG33" s="19" t="n">
        <v>4892.71</v>
      </c>
      <c r="BH33" s="19" t="n">
        <v>8573.68</v>
      </c>
      <c r="BI33" s="19" t="n">
        <v>15016.69</v>
      </c>
      <c r="BJ33" s="19" t="n">
        <v>14034.29</v>
      </c>
      <c r="BK33" s="19" t="n">
        <v>10921.23</v>
      </c>
      <c r="BL33" s="19" t="n">
        <v>10206.76</v>
      </c>
      <c r="BM33" s="19" t="n">
        <v>45869.17</v>
      </c>
      <c r="BN33" s="19" t="n">
        <v>42868.38</v>
      </c>
      <c r="BO33" s="19" t="n">
        <v>274337.12</v>
      </c>
      <c r="BP33" s="19" t="n">
        <v>94009.6</v>
      </c>
      <c r="BQ33" s="19" t="n">
        <v>201180.55</v>
      </c>
      <c r="BR33" s="19" t="n">
        <v>188019.21</v>
      </c>
      <c r="BS33" s="19" t="n">
        <v>8717.82</v>
      </c>
      <c r="BT33" s="19" t="n">
        <v>6580.67</v>
      </c>
      <c r="BU33" s="19" t="n">
        <v>164473.37</v>
      </c>
      <c r="BV33" s="19" t="n">
        <v>153713.43</v>
      </c>
      <c r="BW33" s="19" t="n">
        <v>4586.92</v>
      </c>
      <c r="BX33" s="19" t="n">
        <v>8930.91</v>
      </c>
      <c r="BY33" s="19" t="n">
        <v>4853.88</v>
      </c>
      <c r="BZ33" s="19" t="n">
        <v>10206.76</v>
      </c>
      <c r="CA33" s="19" t="n">
        <v>30579.44</v>
      </c>
      <c r="CB33" s="19" t="n">
        <v>28578.92</v>
      </c>
      <c r="CC33" s="19" t="n">
        <v>134569.12</v>
      </c>
      <c r="CD33" s="19" t="n">
        <v>230570.15</v>
      </c>
      <c r="CE33" s="19" t="n">
        <v>39473.61</v>
      </c>
      <c r="CF33" s="19" t="n">
        <v>36891.22</v>
      </c>
      <c r="CG33" s="19" t="n">
        <f aca="false">SUM(CF33,CD33,CB33,BZ33,BX33,BV33,BT33,BR33,BP33,BN33,BL33,BJ33,BH33)</f>
        <v>833183.98</v>
      </c>
      <c r="CH33" s="19" t="n">
        <f aca="false">CG33+BF33</f>
        <v>8006998.68</v>
      </c>
      <c r="CI33" s="19" t="n">
        <f aca="false">SUM(CE33,CC33,CA33,BY33,BW33,BU33,BS33,BQ33,BO33,BM33,BK33,BI33,BG33,BD33,BB33,AZ33,AX33,AV33,AT33,AR33,AP33,AN33)</f>
        <v>8703779.76</v>
      </c>
      <c r="CJ33" s="19" t="n">
        <f aca="false">CI33-CH33</f>
        <v>696781.08</v>
      </c>
      <c r="CK33" s="19" t="str">
        <f aca="false">IF(CE33-CF33+CC33-CD33+CA33-CB33+BU33-BV33+BK33-BL33+BI33-BJ33 &gt; 0, CE33-CF33+CC33-CD33+CA33-CB33+BU33-BV33+BK33-BL33+BI33-BJ33, "-")</f>
        <v>-</v>
      </c>
      <c r="CL33" s="19" t="str">
        <f aca="false">IF(CJ33&lt;0,"⚠ Over Budget","✓ Within Budget")</f>
        <v>✓ Within Budget</v>
      </c>
      <c r="CM33" s="21"/>
    </row>
    <row r="34" customFormat="false" ht="14.25" hidden="false" customHeight="false" outlineLevel="0" collapsed="false">
      <c r="A34" s="22" t="s">
        <v>101</v>
      </c>
      <c r="B34" s="22" t="n">
        <v>2024</v>
      </c>
      <c r="C34" s="22" t="n">
        <v>20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1</v>
      </c>
      <c r="S34" s="22" t="n">
        <v>19</v>
      </c>
      <c r="T34" s="22" t="n">
        <v>5</v>
      </c>
      <c r="U34" s="22" t="n">
        <v>14</v>
      </c>
      <c r="V34" s="22" t="n">
        <v>19</v>
      </c>
      <c r="W34" s="22" t="n">
        <v>0</v>
      </c>
      <c r="X34" s="22" t="n">
        <v>1</v>
      </c>
      <c r="Y34" s="22" t="n">
        <v>3</v>
      </c>
      <c r="Z34" s="22" t="n">
        <v>6</v>
      </c>
      <c r="AA34" s="22" t="n">
        <v>5</v>
      </c>
      <c r="AB34" s="22" t="n">
        <v>2</v>
      </c>
      <c r="AC34" s="22" t="n">
        <v>2</v>
      </c>
      <c r="AD34" s="23" t="n">
        <v>0</v>
      </c>
      <c r="AE34" s="23" t="n">
        <v>0</v>
      </c>
      <c r="AF34" s="24" t="n">
        <v>62.3</v>
      </c>
      <c r="AG34" s="25" t="n">
        <v>893571</v>
      </c>
      <c r="AH34" s="25" t="n">
        <v>1383450</v>
      </c>
      <c r="AI34" s="25" t="n">
        <v>2148807</v>
      </c>
      <c r="AJ34" s="25" t="n">
        <v>3432584</v>
      </c>
      <c r="AK34" s="25" t="n">
        <v>5165637</v>
      </c>
      <c r="AL34" s="25" t="n">
        <v>8760717</v>
      </c>
      <c r="AM34" s="25" t="n">
        <v>3883286.72</v>
      </c>
      <c r="AN34" s="25" t="n">
        <v>6578934.92</v>
      </c>
      <c r="AO34" s="25" t="n">
        <v>6148537.31</v>
      </c>
      <c r="AP34" s="25" t="n">
        <v>657893.49</v>
      </c>
      <c r="AQ34" s="25" t="n">
        <v>614853.73</v>
      </c>
      <c r="AR34" s="25" t="n">
        <v>23923.4</v>
      </c>
      <c r="AS34" s="25" t="n">
        <v>0</v>
      </c>
      <c r="AT34" s="25" t="n">
        <v>328946.75</v>
      </c>
      <c r="AU34" s="25" t="n">
        <v>307426.87</v>
      </c>
      <c r="AV34" s="25" t="n">
        <v>23973.43</v>
      </c>
      <c r="AW34" s="25" t="n">
        <v>22965.2</v>
      </c>
      <c r="AX34" s="25" t="n">
        <v>16381.84</v>
      </c>
      <c r="AY34" s="25" t="n">
        <v>15310.14</v>
      </c>
      <c r="AZ34" s="25" t="n">
        <v>16046.18</v>
      </c>
      <c r="BA34" s="25" t="n">
        <v>0</v>
      </c>
      <c r="BB34" s="25" t="n">
        <v>5615.02</v>
      </c>
      <c r="BC34" s="25" t="n">
        <v>0</v>
      </c>
      <c r="BD34" s="25" t="n">
        <v>1112.98</v>
      </c>
      <c r="BE34" s="25" t="n">
        <v>0</v>
      </c>
      <c r="BF34" s="25" t="n">
        <f aca="false">SUM(BE34,BC34,BA34,AY34,AW34,AU34,AS34,AQ34,AO34)</f>
        <v>7109093.25</v>
      </c>
      <c r="BG34" s="25" t="n">
        <v>26210.95</v>
      </c>
      <c r="BH34" s="25" t="n">
        <v>18372.16</v>
      </c>
      <c r="BI34" s="25" t="n">
        <v>15016.69</v>
      </c>
      <c r="BJ34" s="25" t="n">
        <v>14034.29</v>
      </c>
      <c r="BK34" s="25" t="n">
        <v>10921.23</v>
      </c>
      <c r="BL34" s="25" t="n">
        <v>10206.76</v>
      </c>
      <c r="BM34" s="25" t="n">
        <v>45869.17</v>
      </c>
      <c r="BN34" s="25" t="n">
        <v>42868.38</v>
      </c>
      <c r="BO34" s="25" t="n">
        <v>7838.2</v>
      </c>
      <c r="BP34" s="25" t="n">
        <v>0</v>
      </c>
      <c r="BQ34" s="25" t="n">
        <v>201180.55</v>
      </c>
      <c r="BR34" s="25" t="n">
        <v>188019.21</v>
      </c>
      <c r="BS34" s="25" t="n">
        <v>8717.82</v>
      </c>
      <c r="BT34" s="25" t="n">
        <v>6580.67</v>
      </c>
      <c r="BU34" s="25" t="n">
        <v>164473.37</v>
      </c>
      <c r="BV34" s="25" t="n">
        <v>153713.43</v>
      </c>
      <c r="BW34" s="25" t="n">
        <v>9173.83</v>
      </c>
      <c r="BX34" s="25" t="n">
        <v>8930.91</v>
      </c>
      <c r="BY34" s="25" t="n">
        <v>13505.53</v>
      </c>
      <c r="BZ34" s="25" t="n">
        <v>23666.23</v>
      </c>
      <c r="CA34" s="25" t="n">
        <v>30579.44</v>
      </c>
      <c r="CB34" s="25" t="n">
        <v>28578.92</v>
      </c>
      <c r="CC34" s="25" t="n">
        <v>134569.12</v>
      </c>
      <c r="CD34" s="25" t="n">
        <v>230570.15</v>
      </c>
      <c r="CE34" s="25" t="n">
        <v>39473.61</v>
      </c>
      <c r="CF34" s="25" t="n">
        <v>36891.22</v>
      </c>
      <c r="CG34" s="25" t="n">
        <f aca="false">SUM(CF34,CD34,CB34,BZ34,BX34,BV34,BT34,BR34,BP34,BN34,BL34,BJ34,BH34)</f>
        <v>762432.33</v>
      </c>
      <c r="CH34" s="25" t="n">
        <f aca="false">CG34+BF34</f>
        <v>7871525.58</v>
      </c>
      <c r="CI34" s="25" t="n">
        <f aca="false">SUM(CE34,CC34,CA34,BY34,BW34,BU34,BS34,BQ34,BO34,BM34,BK34,BI34,BG34,BD34,BB34,AZ34,AX34,AV34,AT34,AR34,AP34,AN34)</f>
        <v>8360357.52</v>
      </c>
      <c r="CJ34" s="25" t="n">
        <f aca="false">CI34-CH34</f>
        <v>488831.94</v>
      </c>
      <c r="CK34" s="25" t="str">
        <f aca="false">IF(CE34-CF34+CC34-CD34+CA34-CB34+BU34-BV34+BK34-BL34+BI34-BJ34 &gt; 0, CE34-CF34+CC34-CD34+CA34-CB34+BU34-BV34+BK34-BL34+BI34-BJ34, "-")</f>
        <v>-</v>
      </c>
      <c r="CL34" s="25" t="str">
        <f aca="false">IF(CJ34&lt;0,"⚠ Over Budget","✓ Within Budget")</f>
        <v>✓ Within Budget</v>
      </c>
      <c r="CM34" s="27"/>
    </row>
    <row r="35" customFormat="false" ht="18.75" hidden="false" customHeight="true" outlineLevel="0" collapsed="false">
      <c r="A35" s="28" t="s">
        <v>102</v>
      </c>
      <c r="B35" s="28" t="n">
        <v>2024</v>
      </c>
      <c r="C35" s="28" t="n">
        <v>19</v>
      </c>
      <c r="D35" s="28" t="n">
        <v>1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1</v>
      </c>
      <c r="J35" s="28" t="n">
        <v>1</v>
      </c>
      <c r="K35" s="28" t="n">
        <v>0</v>
      </c>
      <c r="L35" s="28" t="n">
        <v>0</v>
      </c>
      <c r="M35" s="28" t="n">
        <v>0</v>
      </c>
      <c r="N35" s="28" t="n">
        <v>0</v>
      </c>
      <c r="O35" s="28" t="n">
        <v>0</v>
      </c>
      <c r="P35" s="28" t="n">
        <v>0</v>
      </c>
      <c r="Q35" s="28" t="n">
        <v>0</v>
      </c>
      <c r="R35" s="28" t="n">
        <v>0</v>
      </c>
      <c r="S35" s="28" t="n">
        <v>20</v>
      </c>
      <c r="T35" s="28" t="n">
        <v>5</v>
      </c>
      <c r="U35" s="28" t="n">
        <v>15</v>
      </c>
      <c r="V35" s="28" t="n">
        <v>20</v>
      </c>
      <c r="W35" s="28" t="n">
        <v>0</v>
      </c>
      <c r="X35" s="28" t="n">
        <v>1</v>
      </c>
      <c r="Y35" s="28" t="n">
        <v>4</v>
      </c>
      <c r="Z35" s="28" t="n">
        <v>7</v>
      </c>
      <c r="AA35" s="28" t="n">
        <v>6</v>
      </c>
      <c r="AB35" s="28" t="n">
        <v>2</v>
      </c>
      <c r="AC35" s="28" t="n">
        <v>1</v>
      </c>
      <c r="AD35" s="29" t="n">
        <v>0</v>
      </c>
      <c r="AE35" s="29" t="n">
        <v>0</v>
      </c>
      <c r="AF35" s="30" t="n">
        <v>61.7</v>
      </c>
      <c r="AG35" s="31" t="n">
        <v>893571</v>
      </c>
      <c r="AH35" s="31" t="n">
        <v>1383450</v>
      </c>
      <c r="AI35" s="31" t="n">
        <v>2148807</v>
      </c>
      <c r="AJ35" s="31" t="n">
        <v>3432584</v>
      </c>
      <c r="AK35" s="31" t="n">
        <v>5165637</v>
      </c>
      <c r="AL35" s="31" t="n">
        <v>8760717</v>
      </c>
      <c r="AM35" s="31" t="n">
        <v>3883286.72</v>
      </c>
      <c r="AN35" s="31" t="n">
        <v>6578934.92</v>
      </c>
      <c r="AO35" s="31" t="n">
        <v>6148537.31</v>
      </c>
      <c r="AP35" s="31" t="n">
        <v>657893.49</v>
      </c>
      <c r="AQ35" s="31" t="n">
        <v>614853.73</v>
      </c>
      <c r="AR35" s="31" t="n">
        <v>23923.4</v>
      </c>
      <c r="AS35" s="31" t="n">
        <v>0</v>
      </c>
      <c r="AT35" s="31" t="n">
        <v>328946.75</v>
      </c>
      <c r="AU35" s="31" t="n">
        <v>307426.87</v>
      </c>
      <c r="AV35" s="31" t="n">
        <v>26370.77</v>
      </c>
      <c r="AW35" s="31" t="n">
        <v>22965.2</v>
      </c>
      <c r="AX35" s="31" t="n">
        <v>16381.84</v>
      </c>
      <c r="AY35" s="31" t="n">
        <v>15310.14</v>
      </c>
      <c r="AZ35" s="31" t="n">
        <v>32092.37</v>
      </c>
      <c r="BA35" s="31" t="n">
        <v>0</v>
      </c>
      <c r="BB35" s="31" t="n">
        <v>3369.01</v>
      </c>
      <c r="BC35" s="31" t="n">
        <v>0</v>
      </c>
      <c r="BD35" s="31" t="n">
        <v>370.99</v>
      </c>
      <c r="BE35" s="31" t="n">
        <v>0</v>
      </c>
      <c r="BF35" s="31" t="n">
        <f aca="false">SUM(BE35,BC35,BA35,AY35,AW35,AU35,AS35,AQ35,AO35)</f>
        <v>7109093.25</v>
      </c>
      <c r="BG35" s="31" t="n">
        <v>37743.77</v>
      </c>
      <c r="BH35" s="31" t="n">
        <v>22046.6</v>
      </c>
      <c r="BI35" s="31" t="n">
        <v>15016.69</v>
      </c>
      <c r="BJ35" s="31" t="n">
        <v>14034.29</v>
      </c>
      <c r="BK35" s="31" t="n">
        <v>10921.23</v>
      </c>
      <c r="BL35" s="31" t="n">
        <v>10206.76</v>
      </c>
      <c r="BM35" s="31" t="n">
        <v>45869.17</v>
      </c>
      <c r="BN35" s="31" t="n">
        <v>496209.15</v>
      </c>
      <c r="BO35" s="31" t="n">
        <v>3919.1</v>
      </c>
      <c r="BP35" s="31" t="n">
        <v>841918.58</v>
      </c>
      <c r="BQ35" s="31" t="n">
        <v>201180.55</v>
      </c>
      <c r="BR35" s="31" t="n">
        <v>188019.21</v>
      </c>
      <c r="BS35" s="31" t="n">
        <v>7376.62</v>
      </c>
      <c r="BT35" s="31" t="n">
        <v>6580.67</v>
      </c>
      <c r="BU35" s="31" t="n">
        <v>164473.37</v>
      </c>
      <c r="BV35" s="31" t="n">
        <v>153713.43</v>
      </c>
      <c r="BW35" s="31" t="n">
        <v>18347.67</v>
      </c>
      <c r="BX35" s="31" t="n">
        <v>8930.91</v>
      </c>
      <c r="BY35" s="31" t="n">
        <v>4853.88</v>
      </c>
      <c r="BZ35" s="31" t="n">
        <v>10206.76</v>
      </c>
      <c r="CA35" s="31" t="n">
        <v>30579.44</v>
      </c>
      <c r="CB35" s="31" t="n">
        <v>28578.92</v>
      </c>
      <c r="CC35" s="31" t="n">
        <v>161482.95</v>
      </c>
      <c r="CD35" s="31" t="n">
        <v>230570.15</v>
      </c>
      <c r="CE35" s="31" t="n">
        <v>39473.61</v>
      </c>
      <c r="CF35" s="31" t="n">
        <v>36891.22</v>
      </c>
      <c r="CG35" s="31" t="n">
        <f aca="false">SUM(CF35,CD35,CB35,BZ35,BX35,BV35,BT35,BR35,BP35,BN35,BL35,BJ35,BH35)</f>
        <v>2047906.65</v>
      </c>
      <c r="CH35" s="31" t="n">
        <f aca="false">CG35+BF35</f>
        <v>9156999.9</v>
      </c>
      <c r="CI35" s="31" t="n">
        <f aca="false">SUM(CE35,CC35,CA35,BY35,BW35,BU35,BS35,BQ35,BO35,BM35,BK35,BI35,BG35,BD35,BB35,AZ35,AX35,AV35,AT35,AR35,AP35,AN35)</f>
        <v>8409521.59</v>
      </c>
      <c r="CJ35" s="31" t="n">
        <f aca="false">CI35-CH35</f>
        <v>-747478.310000001</v>
      </c>
      <c r="CK35" s="31" t="str">
        <f aca="false">IF(CE35-CF35+CC35-CD35+CA35-CB35+BU35-BV35+BK35-BL35+BI35-BJ35 &gt; 0, CE35-CF35+CC35-CD35+CA35-CB35+BU35-BV35+BK35-BL35+BI35-BJ35, "-")</f>
        <v>-</v>
      </c>
      <c r="CL35" s="31" t="str">
        <f aca="false">IF(CJ35&lt;0,"⚠ Over Budget","✓ Within Budget")</f>
        <v>⚠ Over Budget</v>
      </c>
      <c r="CM35" s="33" t="s">
        <v>117</v>
      </c>
    </row>
    <row r="36" customFormat="false" ht="14.25" hidden="false" customHeight="false" outlineLevel="0" collapsed="false">
      <c r="A36" s="22" t="s">
        <v>103</v>
      </c>
      <c r="B36" s="22" t="n">
        <v>2024</v>
      </c>
      <c r="C36" s="22" t="n">
        <v>20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20</v>
      </c>
      <c r="T36" s="22" t="n">
        <v>5</v>
      </c>
      <c r="U36" s="22" t="n">
        <v>15</v>
      </c>
      <c r="V36" s="22" t="n">
        <v>20</v>
      </c>
      <c r="W36" s="22" t="n">
        <v>0</v>
      </c>
      <c r="X36" s="22" t="n">
        <v>1</v>
      </c>
      <c r="Y36" s="22" t="n">
        <v>4</v>
      </c>
      <c r="Z36" s="22" t="n">
        <v>7</v>
      </c>
      <c r="AA36" s="22" t="n">
        <v>6</v>
      </c>
      <c r="AB36" s="22" t="n">
        <v>2</v>
      </c>
      <c r="AC36" s="22" t="n">
        <v>1</v>
      </c>
      <c r="AD36" s="23" t="n">
        <v>0</v>
      </c>
      <c r="AE36" s="23" t="n">
        <v>0.012757623240781</v>
      </c>
      <c r="AF36" s="24" t="n">
        <v>60.9</v>
      </c>
      <c r="AG36" s="25" t="n">
        <v>908501</v>
      </c>
      <c r="AH36" s="25" t="n">
        <v>1410343</v>
      </c>
      <c r="AI36" s="25" t="n">
        <v>2172023</v>
      </c>
      <c r="AJ36" s="25" t="n">
        <v>3468197</v>
      </c>
      <c r="AK36" s="25" t="n">
        <v>5227023</v>
      </c>
      <c r="AL36" s="25" t="n">
        <v>8865460</v>
      </c>
      <c r="AM36" s="25" t="n">
        <v>3929367.06</v>
      </c>
      <c r="AN36" s="25" t="n">
        <v>6657002.7</v>
      </c>
      <c r="AO36" s="25" t="n">
        <v>6221497.85</v>
      </c>
      <c r="AP36" s="25" t="n">
        <v>665700.27</v>
      </c>
      <c r="AQ36" s="25" t="n">
        <v>622149.78</v>
      </c>
      <c r="AR36" s="25" t="n">
        <v>774633.04</v>
      </c>
      <c r="AS36" s="25" t="n">
        <v>248859.91</v>
      </c>
      <c r="AT36" s="25" t="n">
        <v>332850.13</v>
      </c>
      <c r="AU36" s="25" t="n">
        <v>311074.89</v>
      </c>
      <c r="AV36" s="25" t="n">
        <v>21576.09</v>
      </c>
      <c r="AW36" s="25" t="n">
        <v>22965.2</v>
      </c>
      <c r="AX36" s="25" t="n">
        <v>16381.84</v>
      </c>
      <c r="AY36" s="25" t="n">
        <v>15310.14</v>
      </c>
      <c r="AZ36" s="25" t="n">
        <v>64946.37</v>
      </c>
      <c r="BA36" s="25" t="n">
        <v>0</v>
      </c>
      <c r="BB36" s="25" t="n">
        <v>3408.99</v>
      </c>
      <c r="BC36" s="25" t="n">
        <v>0</v>
      </c>
      <c r="BD36" s="25" t="n">
        <v>375.39</v>
      </c>
      <c r="BE36" s="25" t="n">
        <v>0</v>
      </c>
      <c r="BF36" s="25" t="n">
        <f aca="false">SUM(BE36,BC36,BA36,AY36,AW36,AU36,AS36,AQ36,AO36)</f>
        <v>7441857.77</v>
      </c>
      <c r="BG36" s="25" t="n">
        <v>22832.65</v>
      </c>
      <c r="BH36" s="25" t="n">
        <v>17147.35</v>
      </c>
      <c r="BI36" s="25" t="n">
        <v>15016.69</v>
      </c>
      <c r="BJ36" s="25" t="n">
        <v>14034.29</v>
      </c>
      <c r="BK36" s="25" t="n">
        <v>10921.23</v>
      </c>
      <c r="BL36" s="25" t="n">
        <v>10206.76</v>
      </c>
      <c r="BM36" s="25" t="n">
        <v>45869.17</v>
      </c>
      <c r="BN36" s="25" t="n">
        <v>42868.38</v>
      </c>
      <c r="BO36" s="25" t="n">
        <v>3919.1</v>
      </c>
      <c r="BP36" s="25" t="n">
        <v>0</v>
      </c>
      <c r="BQ36" s="25" t="n">
        <v>201180.55</v>
      </c>
      <c r="BR36" s="25" t="n">
        <v>188019.21</v>
      </c>
      <c r="BS36" s="25" t="n">
        <v>6706.02</v>
      </c>
      <c r="BT36" s="25" t="n">
        <v>6580.67</v>
      </c>
      <c r="BU36" s="25" t="n">
        <v>166425.07</v>
      </c>
      <c r="BV36" s="25" t="n">
        <v>155537.45</v>
      </c>
      <c r="BW36" s="25" t="n">
        <v>13760.75</v>
      </c>
      <c r="BX36" s="25" t="n">
        <v>8930.91</v>
      </c>
      <c r="BY36" s="25" t="n">
        <v>247375.17</v>
      </c>
      <c r="BZ36" s="25" t="n">
        <v>81278.35</v>
      </c>
      <c r="CA36" s="25" t="n">
        <v>30579.44</v>
      </c>
      <c r="CB36" s="25" t="n">
        <v>28578.92</v>
      </c>
      <c r="CC36" s="25" t="n">
        <v>217865.54</v>
      </c>
      <c r="CD36" s="25" t="n">
        <v>233306.17</v>
      </c>
      <c r="CE36" s="25" t="n">
        <v>39942.02</v>
      </c>
      <c r="CF36" s="25" t="n">
        <v>37328.99</v>
      </c>
      <c r="CG36" s="25" t="n">
        <f aca="false">SUM(CF36,CD36,CB36,BZ36,BX36,BV36,BT36,BR36,BP36,BN36,BL36,BJ36,BH36)</f>
        <v>823817.45</v>
      </c>
      <c r="CH36" s="25" t="n">
        <f aca="false">CG36+BF36</f>
        <v>8265675.22</v>
      </c>
      <c r="CI36" s="25" t="n">
        <f aca="false">SUM(CE36,CC36,CA36,BY36,BW36,BU36,BS36,BQ36,BO36,BM36,BK36,BI36,BG36,BD36,BB36,AZ36,AX36,AV36,AT36,AR36,AP36,AN36)</f>
        <v>9559268.22</v>
      </c>
      <c r="CJ36" s="25" t="n">
        <f aca="false">CI36-CH36</f>
        <v>1293593</v>
      </c>
      <c r="CK36" s="25" t="n">
        <f aca="false">IF(CE36-CF36+CC36-CD36+CA36-CB36+BU36-BV36+BK36-BL36+BI36-BJ36 &gt; 0, CE36-CF36+CC36-CD36+CA36-CB36+BU36-BV36+BK36-BL36+BI36-BJ36, "-")</f>
        <v>1757.40999999998</v>
      </c>
      <c r="CL36" s="25" t="str">
        <f aca="false">IF(CJ36&lt;0,"⚠ Over Budget","✓ Within Budget")</f>
        <v>✓ Within Budget</v>
      </c>
      <c r="CM36" s="27"/>
    </row>
    <row r="37" customFormat="false" ht="14.25" hidden="false" customHeight="false" outlineLevel="0" collapsed="false">
      <c r="A37" s="16" t="s">
        <v>104</v>
      </c>
      <c r="B37" s="16" t="n">
        <v>2024</v>
      </c>
      <c r="C37" s="16" t="n">
        <v>20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20</v>
      </c>
      <c r="T37" s="16" t="n">
        <v>4</v>
      </c>
      <c r="U37" s="16" t="n">
        <v>16</v>
      </c>
      <c r="V37" s="16" t="n">
        <v>20</v>
      </c>
      <c r="W37" s="16" t="n">
        <v>0</v>
      </c>
      <c r="X37" s="16" t="n">
        <v>1</v>
      </c>
      <c r="Y37" s="16" t="n">
        <v>4</v>
      </c>
      <c r="Z37" s="16" t="n">
        <v>7</v>
      </c>
      <c r="AA37" s="16" t="n">
        <v>6</v>
      </c>
      <c r="AB37" s="16" t="n">
        <v>2</v>
      </c>
      <c r="AC37" s="16" t="n">
        <v>1</v>
      </c>
      <c r="AD37" s="17" t="n">
        <v>0</v>
      </c>
      <c r="AE37" s="17" t="n">
        <v>0</v>
      </c>
      <c r="AF37" s="18" t="n">
        <v>60.2</v>
      </c>
      <c r="AG37" s="19" t="n">
        <v>908501</v>
      </c>
      <c r="AH37" s="19" t="n">
        <v>1410343</v>
      </c>
      <c r="AI37" s="19" t="n">
        <v>2172023</v>
      </c>
      <c r="AJ37" s="19" t="n">
        <v>3468197</v>
      </c>
      <c r="AK37" s="19" t="n">
        <v>5227023</v>
      </c>
      <c r="AL37" s="19" t="n">
        <v>8865460</v>
      </c>
      <c r="AM37" s="19" t="n">
        <v>3929367.06</v>
      </c>
      <c r="AN37" s="19" t="n">
        <v>6306634.13</v>
      </c>
      <c r="AO37" s="19" t="n">
        <v>5894050.59</v>
      </c>
      <c r="AP37" s="19" t="n">
        <v>630663.41</v>
      </c>
      <c r="AQ37" s="19" t="n">
        <v>589405.06</v>
      </c>
      <c r="AR37" s="19" t="n">
        <v>74532.95</v>
      </c>
      <c r="AS37" s="19" t="n">
        <v>0</v>
      </c>
      <c r="AT37" s="19" t="n">
        <v>315331.71</v>
      </c>
      <c r="AU37" s="19" t="n">
        <v>294702.53</v>
      </c>
      <c r="AV37" s="19" t="n">
        <v>24225.78</v>
      </c>
      <c r="AW37" s="19" t="n">
        <v>29008.68</v>
      </c>
      <c r="AX37" s="19" t="n">
        <v>15519.64</v>
      </c>
      <c r="AY37" s="19" t="n">
        <v>14504.34</v>
      </c>
      <c r="AZ37" s="19" t="n">
        <v>30764.07</v>
      </c>
      <c r="BA37" s="19" t="n">
        <v>0</v>
      </c>
      <c r="BB37" s="19" t="n">
        <v>1136.33</v>
      </c>
      <c r="BC37" s="19" t="n">
        <v>0</v>
      </c>
      <c r="BD37" s="19" t="n">
        <v>112618.47</v>
      </c>
      <c r="BE37" s="19" t="n">
        <v>196468.35</v>
      </c>
      <c r="BF37" s="19" t="n">
        <f aca="false">SUM(BE37,BC37,BA37,AY37,AW37,AU37,AS37,AQ37,AO37)</f>
        <v>7018139.55</v>
      </c>
      <c r="BG37" s="19" t="n">
        <v>28252.65</v>
      </c>
      <c r="BH37" s="19" t="n">
        <v>18565.55</v>
      </c>
      <c r="BI37" s="19" t="n">
        <v>14226.34</v>
      </c>
      <c r="BJ37" s="19" t="n">
        <v>13295.64</v>
      </c>
      <c r="BK37" s="19" t="n">
        <v>10346.43</v>
      </c>
      <c r="BL37" s="19" t="n">
        <v>9669.56</v>
      </c>
      <c r="BM37" s="19" t="n">
        <v>43455</v>
      </c>
      <c r="BN37" s="19" t="n">
        <v>40612.15</v>
      </c>
      <c r="BO37" s="19" t="n">
        <v>3919.1</v>
      </c>
      <c r="BP37" s="19" t="n">
        <v>0</v>
      </c>
      <c r="BQ37" s="19" t="n">
        <v>201180.55</v>
      </c>
      <c r="BR37" s="19" t="n">
        <v>188019.21</v>
      </c>
      <c r="BS37" s="19" t="n">
        <v>6035.42</v>
      </c>
      <c r="BT37" s="19" t="n">
        <v>6580.67</v>
      </c>
      <c r="BU37" s="19" t="n">
        <v>157665.85</v>
      </c>
      <c r="BV37" s="19" t="n">
        <v>147351.26</v>
      </c>
      <c r="BW37" s="19" t="n">
        <v>8691</v>
      </c>
      <c r="BX37" s="19" t="n">
        <v>8460.86</v>
      </c>
      <c r="BY37" s="19" t="n">
        <v>38950.75</v>
      </c>
      <c r="BZ37" s="19" t="n">
        <v>27301.93</v>
      </c>
      <c r="CA37" s="19" t="n">
        <v>28970</v>
      </c>
      <c r="CB37" s="19" t="n">
        <v>27074.77</v>
      </c>
      <c r="CC37" s="19" t="n">
        <v>206398.94</v>
      </c>
      <c r="CD37" s="19" t="n">
        <v>221026.9</v>
      </c>
      <c r="CE37" s="19" t="n">
        <v>37839.8</v>
      </c>
      <c r="CF37" s="19" t="n">
        <v>35364.3</v>
      </c>
      <c r="CG37" s="19" t="n">
        <f aca="false">SUM(CF37,CD37,CB37,BZ37,BX37,BV37,BT37,BR37,BP37,BN37,BL37,BJ37,BH37)</f>
        <v>743322.8</v>
      </c>
      <c r="CH37" s="19" t="n">
        <f aca="false">CG37+BF37</f>
        <v>7761462.35</v>
      </c>
      <c r="CI37" s="19" t="n">
        <f aca="false">SUM(CE37,CC37,CA37,BY37,BW37,BU37,BS37,BQ37,BO37,BM37,BK37,BI37,BG37,BD37,BB37,AZ37,AX37,AV37,AT37,AR37,AP37,AN37)</f>
        <v>8297358.32</v>
      </c>
      <c r="CJ37" s="19" t="n">
        <f aca="false">CI37-CH37</f>
        <v>535895.970000001</v>
      </c>
      <c r="CK37" s="19" t="n">
        <f aca="false">IF(CE37-CF37+CC37-CD37+CA37-CB37+BU37-BV37+BK37-BL37+BI37-BJ37 &gt; 0, CE37-CF37+CC37-CD37+CA37-CB37+BU37-BV37+BK37-BL37+BI37-BJ37, "-")</f>
        <v>1664.93000000002</v>
      </c>
      <c r="CL37" s="19" t="str">
        <f aca="false">IF(CJ37&lt;0,"⚠ Over Budget","✓ Within Budget")</f>
        <v>✓ Within Budget</v>
      </c>
      <c r="CM37" s="21"/>
    </row>
    <row r="38" customFormat="false" ht="18.75" hidden="false" customHeight="true" outlineLevel="0" collapsed="false">
      <c r="A38" s="28" t="s">
        <v>105</v>
      </c>
      <c r="B38" s="28" t="n">
        <v>2024</v>
      </c>
      <c r="C38" s="28" t="n">
        <v>20</v>
      </c>
      <c r="D38" s="28" t="n">
        <v>0</v>
      </c>
      <c r="E38" s="28" t="n">
        <v>0</v>
      </c>
      <c r="F38" s="28" t="n">
        <v>0</v>
      </c>
      <c r="G38" s="28" t="n">
        <v>0</v>
      </c>
      <c r="H38" s="28" t="n">
        <v>0</v>
      </c>
      <c r="I38" s="28" t="n">
        <v>0</v>
      </c>
      <c r="J38" s="28" t="n">
        <v>0</v>
      </c>
      <c r="K38" s="28" t="n">
        <v>0</v>
      </c>
      <c r="L38" s="28" t="n">
        <v>0</v>
      </c>
      <c r="M38" s="28" t="n">
        <v>0</v>
      </c>
      <c r="N38" s="28" t="n">
        <v>0</v>
      </c>
      <c r="O38" s="28" t="n">
        <v>0</v>
      </c>
      <c r="P38" s="28" t="n">
        <v>0</v>
      </c>
      <c r="Q38" s="28" t="n">
        <v>0</v>
      </c>
      <c r="R38" s="28" t="n">
        <v>0</v>
      </c>
      <c r="S38" s="28" t="n">
        <v>20</v>
      </c>
      <c r="T38" s="28" t="n">
        <v>4</v>
      </c>
      <c r="U38" s="28" t="n">
        <v>16</v>
      </c>
      <c r="V38" s="28" t="n">
        <v>20</v>
      </c>
      <c r="W38" s="28" t="n">
        <v>0</v>
      </c>
      <c r="X38" s="28" t="n">
        <v>1</v>
      </c>
      <c r="Y38" s="28" t="n">
        <v>4</v>
      </c>
      <c r="Z38" s="28" t="n">
        <v>7</v>
      </c>
      <c r="AA38" s="28" t="n">
        <v>6</v>
      </c>
      <c r="AB38" s="28" t="n">
        <v>2</v>
      </c>
      <c r="AC38" s="28" t="n">
        <v>1</v>
      </c>
      <c r="AD38" s="29" t="n">
        <v>0</v>
      </c>
      <c r="AE38" s="29" t="n">
        <v>0</v>
      </c>
      <c r="AF38" s="30" t="n">
        <v>59.8</v>
      </c>
      <c r="AG38" s="31" t="n">
        <v>908501</v>
      </c>
      <c r="AH38" s="31" t="n">
        <v>1410343</v>
      </c>
      <c r="AI38" s="31" t="n">
        <v>2172023</v>
      </c>
      <c r="AJ38" s="31" t="n">
        <v>3468197</v>
      </c>
      <c r="AK38" s="31" t="n">
        <v>5227023</v>
      </c>
      <c r="AL38" s="31" t="n">
        <v>8865460</v>
      </c>
      <c r="AM38" s="31" t="n">
        <v>3929367.06</v>
      </c>
      <c r="AN38" s="31" t="n">
        <v>6306634.13</v>
      </c>
      <c r="AO38" s="31" t="n">
        <v>5894050.59</v>
      </c>
      <c r="AP38" s="31" t="n">
        <v>630663.41</v>
      </c>
      <c r="AQ38" s="31" t="n">
        <v>589405.06</v>
      </c>
      <c r="AR38" s="31" t="n">
        <v>2751985.8</v>
      </c>
      <c r="AS38" s="31" t="n">
        <v>1996206.88</v>
      </c>
      <c r="AT38" s="31" t="n">
        <v>315331.71</v>
      </c>
      <c r="AU38" s="31" t="n">
        <v>294702.53</v>
      </c>
      <c r="AV38" s="31" t="n">
        <v>21197.56</v>
      </c>
      <c r="AW38" s="31" t="n">
        <v>29008.68</v>
      </c>
      <c r="AX38" s="31" t="n">
        <v>15519.64</v>
      </c>
      <c r="AY38" s="31" t="n">
        <v>14504.34</v>
      </c>
      <c r="AZ38" s="31" t="n">
        <v>46146.1</v>
      </c>
      <c r="BA38" s="31" t="n">
        <v>0</v>
      </c>
      <c r="BB38" s="31" t="n">
        <v>1136.33</v>
      </c>
      <c r="BC38" s="31" t="n">
        <v>0</v>
      </c>
      <c r="BD38" s="31" t="n">
        <v>375.39</v>
      </c>
      <c r="BE38" s="31" t="n">
        <v>0</v>
      </c>
      <c r="BF38" s="31" t="n">
        <f aca="false">SUM(BE38,BC38,BA38,AY38,AW38,AU38,AS38,AQ38,AO38)</f>
        <v>8817878.08</v>
      </c>
      <c r="BG38" s="31" t="n">
        <v>4635.2</v>
      </c>
      <c r="BH38" s="31" t="n">
        <v>8122.43</v>
      </c>
      <c r="BI38" s="31" t="n">
        <v>14226.34</v>
      </c>
      <c r="BJ38" s="31" t="n">
        <v>13295.64</v>
      </c>
      <c r="BK38" s="31" t="n">
        <v>10346.43</v>
      </c>
      <c r="BL38" s="31" t="n">
        <v>9669.56</v>
      </c>
      <c r="BM38" s="31" t="n">
        <v>43455</v>
      </c>
      <c r="BN38" s="31" t="n">
        <v>40612.15</v>
      </c>
      <c r="BO38" s="31" t="n">
        <v>3919.1</v>
      </c>
      <c r="BP38" s="31" t="n">
        <v>0</v>
      </c>
      <c r="BQ38" s="31" t="n">
        <v>201180.55</v>
      </c>
      <c r="BR38" s="31" t="n">
        <v>188019.21</v>
      </c>
      <c r="BS38" s="31" t="n">
        <v>5364.81</v>
      </c>
      <c r="BT38" s="31" t="n">
        <v>6580.67</v>
      </c>
      <c r="BU38" s="31" t="n">
        <v>157665.85</v>
      </c>
      <c r="BV38" s="31" t="n">
        <v>147351.26</v>
      </c>
      <c r="BW38" s="31" t="n">
        <v>4345.5</v>
      </c>
      <c r="BX38" s="31" t="n">
        <v>8460.86</v>
      </c>
      <c r="BY38" s="31" t="n">
        <v>49763.8</v>
      </c>
      <c r="BZ38" s="31" t="n">
        <v>1441682.99</v>
      </c>
      <c r="CA38" s="31" t="n">
        <v>28970</v>
      </c>
      <c r="CB38" s="31" t="n">
        <v>27074.77</v>
      </c>
      <c r="CC38" s="31" t="n">
        <v>128999.33</v>
      </c>
      <c r="CD38" s="31" t="n">
        <v>1426857.03</v>
      </c>
      <c r="CE38" s="31" t="n">
        <v>37839.8</v>
      </c>
      <c r="CF38" s="31" t="n">
        <v>35364.3</v>
      </c>
      <c r="CG38" s="31" t="n">
        <f aca="false">SUM(CF38,CD38,CB38,BZ38,BX38,BV38,BT38,BR38,BP38,BN38,BL38,BJ38,BH38)</f>
        <v>3353090.87</v>
      </c>
      <c r="CH38" s="31" t="n">
        <f aca="false">CG38+BF38</f>
        <v>12170968.95</v>
      </c>
      <c r="CI38" s="31" t="n">
        <f aca="false">SUM(CE38,CC38,CA38,BY38,BW38,BU38,BS38,BQ38,BO38,BM38,BK38,BI38,BG38,BD38,BB38,AZ38,AX38,AV38,AT38,AR38,AP38,AN38)</f>
        <v>10779701.78</v>
      </c>
      <c r="CJ38" s="31" t="n">
        <f aca="false">CI38-CH38</f>
        <v>-1391267.17</v>
      </c>
      <c r="CK38" s="31" t="str">
        <f aca="false">IF(CE38-CF38+CC38-CD38+CA38-CB38+BU38-BV38+BK38-BL38+BI38-BJ38 &gt; 0, CE38-CF38+CC38-CD38+CA38-CB38+BU38-BV38+BK38-BL38+BI38-BJ38, "-")</f>
        <v>-</v>
      </c>
      <c r="CL38" s="31" t="str">
        <f aca="false">IF(CJ38&lt;0,"⚠ Over Budget","✓ Within Budget")</f>
        <v>⚠ Over Budget</v>
      </c>
      <c r="CM38" s="33" t="s">
        <v>118</v>
      </c>
    </row>
    <row r="39" customFormat="false" ht="14.25" hidden="false" customHeight="false" outlineLevel="0" collapsed="false">
      <c r="A39" s="16" t="s">
        <v>92</v>
      </c>
      <c r="B39" s="16" t="n">
        <v>2025</v>
      </c>
      <c r="C39" s="16" t="n">
        <v>20</v>
      </c>
      <c r="D39" s="16" t="n">
        <v>1</v>
      </c>
      <c r="E39" s="16" t="n">
        <v>0</v>
      </c>
      <c r="F39" s="16" t="n">
        <v>1</v>
      </c>
      <c r="G39" s="16" t="n">
        <v>0</v>
      </c>
      <c r="H39" s="16" t="n">
        <v>0</v>
      </c>
      <c r="I39" s="16" t="n">
        <v>1</v>
      </c>
      <c r="J39" s="16" t="n">
        <v>2</v>
      </c>
      <c r="K39" s="16" t="n">
        <v>1</v>
      </c>
      <c r="L39" s="16" t="n">
        <v>0</v>
      </c>
      <c r="M39" s="16" t="n">
        <v>1</v>
      </c>
      <c r="N39" s="16" t="n">
        <v>0</v>
      </c>
      <c r="O39" s="16" t="n">
        <v>0</v>
      </c>
      <c r="P39" s="16" t="n">
        <v>1</v>
      </c>
      <c r="Q39" s="16" t="n">
        <v>2</v>
      </c>
      <c r="R39" s="16" t="n">
        <v>0</v>
      </c>
      <c r="S39" s="16" t="n">
        <v>20</v>
      </c>
      <c r="T39" s="16" t="n">
        <v>4</v>
      </c>
      <c r="U39" s="16" t="n">
        <v>16</v>
      </c>
      <c r="V39" s="16" t="n">
        <v>20</v>
      </c>
      <c r="W39" s="16" t="n">
        <v>0</v>
      </c>
      <c r="X39" s="16" t="n">
        <v>1</v>
      </c>
      <c r="Y39" s="16" t="n">
        <v>4</v>
      </c>
      <c r="Z39" s="16" t="n">
        <v>7</v>
      </c>
      <c r="AA39" s="16" t="n">
        <v>6</v>
      </c>
      <c r="AB39" s="16" t="n">
        <v>2</v>
      </c>
      <c r="AC39" s="16" t="n">
        <v>1</v>
      </c>
      <c r="AD39" s="17" t="n">
        <v>1.2</v>
      </c>
      <c r="AE39" s="17" t="n">
        <v>0</v>
      </c>
      <c r="AF39" s="18" t="n">
        <v>59.4</v>
      </c>
      <c r="AG39" s="19" t="n">
        <v>908501</v>
      </c>
      <c r="AH39" s="19" t="n">
        <v>1410343</v>
      </c>
      <c r="AI39" s="19" t="n">
        <v>2172023</v>
      </c>
      <c r="AJ39" s="19" t="n">
        <v>3468197</v>
      </c>
      <c r="AK39" s="19" t="n">
        <v>5227023</v>
      </c>
      <c r="AL39" s="19" t="n">
        <v>8865460</v>
      </c>
      <c r="AM39" s="19" t="n">
        <v>3783713.03</v>
      </c>
      <c r="AN39" s="19" t="n">
        <v>6410240.49</v>
      </c>
      <c r="AO39" s="19" t="n">
        <v>5990878.96</v>
      </c>
      <c r="AP39" s="19" t="n">
        <v>641024.05</v>
      </c>
      <c r="AQ39" s="19" t="n">
        <v>599087.9</v>
      </c>
      <c r="AR39" s="19" t="n">
        <v>104894.84</v>
      </c>
      <c r="AS39" s="19" t="n">
        <v>359452.74</v>
      </c>
      <c r="AT39" s="19" t="n">
        <v>320512.02</v>
      </c>
      <c r="AU39" s="19" t="n">
        <v>299543.95</v>
      </c>
      <c r="AV39" s="19" t="n">
        <v>24623.77</v>
      </c>
      <c r="AW39" s="19" t="n">
        <v>29485.24</v>
      </c>
      <c r="AX39" s="19" t="n">
        <v>15774.6</v>
      </c>
      <c r="AY39" s="19" t="n">
        <v>14742.62</v>
      </c>
      <c r="AZ39" s="19" t="n">
        <v>15634.73</v>
      </c>
      <c r="BA39" s="19" t="n">
        <v>0</v>
      </c>
      <c r="BB39" s="19" t="n">
        <v>21884.18</v>
      </c>
      <c r="BC39" s="19" t="n">
        <v>63061.88</v>
      </c>
      <c r="BD39" s="19" t="n">
        <v>867.55</v>
      </c>
      <c r="BE39" s="19" t="n">
        <v>0</v>
      </c>
      <c r="BF39" s="19" t="n">
        <f aca="false">SUM(BE39,BC39,BA39,AY39,AW39,AU39,AS39,AQ39,AO39)</f>
        <v>7356253.29</v>
      </c>
      <c r="BG39" s="19" t="n">
        <v>3140.9</v>
      </c>
      <c r="BH39" s="19" t="n">
        <v>8255.87</v>
      </c>
      <c r="BI39" s="19" t="n">
        <v>14460.05</v>
      </c>
      <c r="BJ39" s="19" t="n">
        <v>13514.07</v>
      </c>
      <c r="BK39" s="19" t="n">
        <v>10516.4</v>
      </c>
      <c r="BL39" s="19" t="n">
        <v>9828.41</v>
      </c>
      <c r="BM39" s="19" t="n">
        <v>44168.88</v>
      </c>
      <c r="BN39" s="19" t="n">
        <v>41279.33</v>
      </c>
      <c r="BO39" s="19" t="n">
        <v>52833.59</v>
      </c>
      <c r="BP39" s="19" t="n">
        <v>90524.85</v>
      </c>
      <c r="BQ39" s="19" t="n">
        <v>207560.55</v>
      </c>
      <c r="BR39" s="19" t="n">
        <v>193981.82</v>
      </c>
      <c r="BS39" s="19" t="n">
        <v>6226.82</v>
      </c>
      <c r="BT39" s="19" t="n">
        <v>6789.36</v>
      </c>
      <c r="BU39" s="19" t="n">
        <v>160256.01</v>
      </c>
      <c r="BV39" s="19" t="n">
        <v>149771.97</v>
      </c>
      <c r="BW39" s="19" t="n">
        <v>4416.89</v>
      </c>
      <c r="BX39" s="19" t="n">
        <v>8599.86</v>
      </c>
      <c r="BY39" s="19" t="n">
        <v>4673.96</v>
      </c>
      <c r="BZ39" s="19" t="n">
        <v>9828.41</v>
      </c>
      <c r="CA39" s="19" t="n">
        <v>29445.92</v>
      </c>
      <c r="CB39" s="19" t="n">
        <v>27519.55</v>
      </c>
      <c r="CC39" s="19" t="n">
        <v>131118.56</v>
      </c>
      <c r="CD39" s="19" t="n">
        <v>224657.96</v>
      </c>
      <c r="CE39" s="19" t="n">
        <v>38461.44</v>
      </c>
      <c r="CF39" s="19" t="n">
        <v>35945.27</v>
      </c>
      <c r="CG39" s="19" t="n">
        <f aca="false">SUM(CF39,CD39,CB39,BZ39,BX39,BV39,BT39,BR39,BP39,BN39,BL39,BJ39,BH39)</f>
        <v>820496.73</v>
      </c>
      <c r="CH39" s="19" t="n">
        <f aca="false">CG39+BF39</f>
        <v>8176750.02</v>
      </c>
      <c r="CI39" s="19" t="n">
        <f aca="false">SUM(CE39,CC39,CA39,BY39,BW39,BU39,BS39,BQ39,BO39,BM39,BK39,BI39,BG39,BD39,BB39,AZ39,AX39,AV39,AT39,AR39,AP39,AN39)</f>
        <v>8262736.2</v>
      </c>
      <c r="CJ39" s="19" t="n">
        <f aca="false">CI39-CH39</f>
        <v>85986.1800000006</v>
      </c>
      <c r="CK39" s="19" t="str">
        <f aca="false">IF(CE39-CF39+CC39-CD39+CA39-CB39+BU39-BV39+BK39-BL39+BI39-BJ39 &gt; 0, CE39-CF39+CC39-CD39+CA39-CB39+BU39-BV39+BK39-BL39+BI39-BJ39, "-")</f>
        <v>-</v>
      </c>
      <c r="CL39" s="19" t="str">
        <f aca="false">IF(CJ39&lt;0,"⚠ Over Budget","✓ Within Budget")</f>
        <v>✓ Within Budget</v>
      </c>
      <c r="CM39" s="21"/>
    </row>
    <row r="40" customFormat="false" ht="14.25" hidden="false" customHeight="false" outlineLevel="0" collapsed="false">
      <c r="A40" s="22" t="s">
        <v>93</v>
      </c>
      <c r="B40" s="22" t="n">
        <v>2025</v>
      </c>
      <c r="C40" s="22" t="n">
        <v>20</v>
      </c>
      <c r="D40" s="22" t="n">
        <v>1</v>
      </c>
      <c r="E40" s="22" t="n">
        <v>0</v>
      </c>
      <c r="F40" s="22" t="n">
        <v>1</v>
      </c>
      <c r="G40" s="22" t="n">
        <v>0</v>
      </c>
      <c r="H40" s="22" t="n">
        <v>0</v>
      </c>
      <c r="I40" s="22" t="n">
        <v>1</v>
      </c>
      <c r="J40" s="22" t="n">
        <v>2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1</v>
      </c>
      <c r="S40" s="22" t="n">
        <v>21</v>
      </c>
      <c r="T40" s="22" t="n">
        <v>4</v>
      </c>
      <c r="U40" s="22" t="n">
        <v>17</v>
      </c>
      <c r="V40" s="22" t="n">
        <v>21</v>
      </c>
      <c r="W40" s="22" t="n">
        <v>0</v>
      </c>
      <c r="X40" s="22" t="n">
        <v>1</v>
      </c>
      <c r="Y40" s="22" t="n">
        <v>4</v>
      </c>
      <c r="Z40" s="22" t="n">
        <v>7</v>
      </c>
      <c r="AA40" s="22" t="n">
        <v>6</v>
      </c>
      <c r="AB40" s="22" t="n">
        <v>2</v>
      </c>
      <c r="AC40" s="22" t="n">
        <v>1</v>
      </c>
      <c r="AD40" s="23" t="n">
        <v>0</v>
      </c>
      <c r="AE40" s="23" t="n">
        <v>0</v>
      </c>
      <c r="AF40" s="24" t="n">
        <v>58.9</v>
      </c>
      <c r="AG40" s="25" t="n">
        <v>908501</v>
      </c>
      <c r="AH40" s="25" t="n">
        <v>1410343</v>
      </c>
      <c r="AI40" s="25" t="n">
        <v>2172023</v>
      </c>
      <c r="AJ40" s="25" t="n">
        <v>3468197</v>
      </c>
      <c r="AK40" s="25" t="n">
        <v>5227023</v>
      </c>
      <c r="AL40" s="25" t="n">
        <v>8865460</v>
      </c>
      <c r="AM40" s="25" t="n">
        <v>3783713.03</v>
      </c>
      <c r="AN40" s="25" t="n">
        <v>6410240.49</v>
      </c>
      <c r="AO40" s="25" t="n">
        <v>5990878.96</v>
      </c>
      <c r="AP40" s="25" t="n">
        <v>641024.05</v>
      </c>
      <c r="AQ40" s="25" t="n">
        <v>599087.9</v>
      </c>
      <c r="AR40" s="25" t="n">
        <v>17482.47</v>
      </c>
      <c r="AS40" s="25" t="n">
        <v>0</v>
      </c>
      <c r="AT40" s="25" t="n">
        <v>320512.02</v>
      </c>
      <c r="AU40" s="25" t="n">
        <v>299543.95</v>
      </c>
      <c r="AV40" s="25" t="n">
        <v>24623.77</v>
      </c>
      <c r="AW40" s="25" t="n">
        <v>29485.24</v>
      </c>
      <c r="AX40" s="25" t="n">
        <v>15774.6</v>
      </c>
      <c r="AY40" s="25" t="n">
        <v>14742.62</v>
      </c>
      <c r="AZ40" s="25" t="n">
        <v>15634.73</v>
      </c>
      <c r="BA40" s="25" t="n">
        <v>0</v>
      </c>
      <c r="BB40" s="25" t="n">
        <v>3282.63</v>
      </c>
      <c r="BC40" s="25" t="n">
        <v>0</v>
      </c>
      <c r="BD40" s="25" t="n">
        <v>1084.44</v>
      </c>
      <c r="BE40" s="25" t="n">
        <v>0</v>
      </c>
      <c r="BF40" s="25" t="n">
        <f aca="false">SUM(BE40,BC40,BA40,AY40,AW40,AU40,AS40,AQ40,AO40)</f>
        <v>6933738.67</v>
      </c>
      <c r="BG40" s="25" t="n">
        <v>3140.9</v>
      </c>
      <c r="BH40" s="25" t="n">
        <v>8255.87</v>
      </c>
      <c r="BI40" s="25" t="n">
        <v>14460.05</v>
      </c>
      <c r="BJ40" s="25" t="n">
        <v>13514.07</v>
      </c>
      <c r="BK40" s="25" t="n">
        <v>10516.4</v>
      </c>
      <c r="BL40" s="25" t="n">
        <v>9828.41</v>
      </c>
      <c r="BM40" s="25" t="n">
        <v>44168.88</v>
      </c>
      <c r="BN40" s="25" t="n">
        <v>41279.33</v>
      </c>
      <c r="BO40" s="25" t="n">
        <v>3773.83</v>
      </c>
      <c r="BP40" s="25" t="n">
        <v>0</v>
      </c>
      <c r="BQ40" s="25" t="n">
        <v>207560.55</v>
      </c>
      <c r="BR40" s="25" t="n">
        <v>193981.82</v>
      </c>
      <c r="BS40" s="25" t="n">
        <v>6226.82</v>
      </c>
      <c r="BT40" s="25" t="n">
        <v>6789.36</v>
      </c>
      <c r="BU40" s="25" t="n">
        <v>160256.01</v>
      </c>
      <c r="BV40" s="25" t="n">
        <v>149771.97</v>
      </c>
      <c r="BW40" s="25" t="n">
        <v>4416.89</v>
      </c>
      <c r="BX40" s="25" t="n">
        <v>8599.86</v>
      </c>
      <c r="BY40" s="25" t="n">
        <v>4673.96</v>
      </c>
      <c r="BZ40" s="25" t="n">
        <v>9828.41</v>
      </c>
      <c r="CA40" s="25" t="n">
        <v>29445.92</v>
      </c>
      <c r="CB40" s="25" t="n">
        <v>27519.55</v>
      </c>
      <c r="CC40" s="25" t="n">
        <v>131118.56</v>
      </c>
      <c r="CD40" s="25" t="n">
        <v>224657.96</v>
      </c>
      <c r="CE40" s="25" t="n">
        <v>38461.44</v>
      </c>
      <c r="CF40" s="25" t="n">
        <v>35945.27</v>
      </c>
      <c r="CG40" s="25" t="n">
        <f aca="false">SUM(CF40,CD40,CB40,BZ40,BX40,BV40,BT40,BR40,BP40,BN40,BL40,BJ40,BH40)</f>
        <v>729971.88</v>
      </c>
      <c r="CH40" s="25" t="n">
        <f aca="false">CG40+BF40</f>
        <v>7663710.55</v>
      </c>
      <c r="CI40" s="25" t="n">
        <f aca="false">SUM(CE40,CC40,CA40,BY40,BW40,BU40,BS40,BQ40,BO40,BM40,BK40,BI40,BG40,BD40,BB40,AZ40,AX40,AV40,AT40,AR40,AP40,AN40)</f>
        <v>8107879.41</v>
      </c>
      <c r="CJ40" s="25" t="n">
        <f aca="false">CI40-CH40</f>
        <v>444168.86</v>
      </c>
      <c r="CK40" s="25" t="str">
        <f aca="false">IF(CE40-CF40+CC40-CD40+CA40-CB40+BU40-BV40+BK40-BL40+BI40-BJ40 &gt; 0, CE40-CF40+CC40-CD40+CA40-CB40+BU40-BV40+BK40-BL40+BI40-BJ40, "-")</f>
        <v>-</v>
      </c>
      <c r="CL40" s="25" t="str">
        <f aca="false">IF(CJ40&lt;0,"⚠ Over Budget","✓ Within Budget")</f>
        <v>✓ Within Budget</v>
      </c>
      <c r="CM40" s="27"/>
    </row>
    <row r="41" customFormat="false" ht="14.25" hidden="false" customHeight="false" outlineLevel="0" collapsed="false">
      <c r="A41" s="16" t="s">
        <v>94</v>
      </c>
      <c r="B41" s="16" t="n">
        <v>2025</v>
      </c>
      <c r="C41" s="16" t="n">
        <v>21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21</v>
      </c>
      <c r="T41" s="16" t="n">
        <v>4</v>
      </c>
      <c r="U41" s="16" t="n">
        <v>17</v>
      </c>
      <c r="V41" s="16" t="n">
        <v>21</v>
      </c>
      <c r="W41" s="16" t="n">
        <v>0</v>
      </c>
      <c r="X41" s="16" t="n">
        <v>1</v>
      </c>
      <c r="Y41" s="16" t="n">
        <v>4</v>
      </c>
      <c r="Z41" s="16" t="n">
        <v>7</v>
      </c>
      <c r="AA41" s="16" t="n">
        <v>6</v>
      </c>
      <c r="AB41" s="16" t="n">
        <v>2</v>
      </c>
      <c r="AC41" s="16" t="n">
        <v>1</v>
      </c>
      <c r="AD41" s="17" t="n">
        <v>0</v>
      </c>
      <c r="AE41" s="17" t="n">
        <v>0</v>
      </c>
      <c r="AF41" s="18" t="n">
        <v>58.5</v>
      </c>
      <c r="AG41" s="19" t="n">
        <v>908501</v>
      </c>
      <c r="AH41" s="19" t="n">
        <v>1410343</v>
      </c>
      <c r="AI41" s="19" t="n">
        <v>2172023</v>
      </c>
      <c r="AJ41" s="19" t="n">
        <v>3468197</v>
      </c>
      <c r="AK41" s="19" t="n">
        <v>5227023</v>
      </c>
      <c r="AL41" s="19" t="n">
        <v>8865460</v>
      </c>
      <c r="AM41" s="19" t="n">
        <v>3783713.03</v>
      </c>
      <c r="AN41" s="19" t="n">
        <v>6410240.49</v>
      </c>
      <c r="AO41" s="19" t="n">
        <v>5990878.96</v>
      </c>
      <c r="AP41" s="19" t="n">
        <v>641024.05</v>
      </c>
      <c r="AQ41" s="19" t="n">
        <v>599087.9</v>
      </c>
      <c r="AR41" s="19" t="n">
        <v>29137.46</v>
      </c>
      <c r="AS41" s="19" t="n">
        <v>0</v>
      </c>
      <c r="AT41" s="19" t="n">
        <v>320512.02</v>
      </c>
      <c r="AU41" s="19" t="n">
        <v>299543.95</v>
      </c>
      <c r="AV41" s="19" t="n">
        <v>23084.78</v>
      </c>
      <c r="AW41" s="19" t="n">
        <v>22113.93</v>
      </c>
      <c r="AX41" s="19" t="n">
        <v>15774.6</v>
      </c>
      <c r="AY41" s="19" t="n">
        <v>14742.62</v>
      </c>
      <c r="AZ41" s="19" t="n">
        <v>50031.15</v>
      </c>
      <c r="BA41" s="19" t="n">
        <v>0</v>
      </c>
      <c r="BB41" s="19" t="n">
        <v>5471.04</v>
      </c>
      <c r="BC41" s="19" t="n">
        <v>0</v>
      </c>
      <c r="BD41" s="19" t="n">
        <v>1084.44</v>
      </c>
      <c r="BE41" s="19" t="n">
        <v>0</v>
      </c>
      <c r="BF41" s="19" t="n">
        <f aca="false">SUM(BE41,BC41,BA41,AY41,AW41,AU41,AS41,AQ41,AO41)</f>
        <v>6926367.36</v>
      </c>
      <c r="BG41" s="19" t="n">
        <v>3140.9</v>
      </c>
      <c r="BH41" s="19" t="n">
        <v>8255.87</v>
      </c>
      <c r="BI41" s="19" t="n">
        <v>14460.05</v>
      </c>
      <c r="BJ41" s="19" t="n">
        <v>13514.07</v>
      </c>
      <c r="BK41" s="19" t="n">
        <v>10516.4</v>
      </c>
      <c r="BL41" s="19" t="n">
        <v>9828.41</v>
      </c>
      <c r="BM41" s="19" t="n">
        <v>44168.88</v>
      </c>
      <c r="BN41" s="19" t="n">
        <v>41279.33</v>
      </c>
      <c r="BO41" s="19" t="n">
        <v>3773.83</v>
      </c>
      <c r="BP41" s="19" t="n">
        <v>0</v>
      </c>
      <c r="BQ41" s="19" t="n">
        <v>207560.55</v>
      </c>
      <c r="BR41" s="19" t="n">
        <v>193981.82</v>
      </c>
      <c r="BS41" s="19" t="n">
        <v>6918.68</v>
      </c>
      <c r="BT41" s="19" t="n">
        <v>6789.36</v>
      </c>
      <c r="BU41" s="19" t="n">
        <v>160256.01</v>
      </c>
      <c r="BV41" s="19" t="n">
        <v>149771.97</v>
      </c>
      <c r="BW41" s="19" t="n">
        <v>4416.89</v>
      </c>
      <c r="BX41" s="19" t="n">
        <v>8599.86</v>
      </c>
      <c r="BY41" s="19" t="n">
        <v>29280.42</v>
      </c>
      <c r="BZ41" s="19" t="n">
        <v>25654.58</v>
      </c>
      <c r="CA41" s="19" t="n">
        <v>29445.92</v>
      </c>
      <c r="CB41" s="19" t="n">
        <v>27519.55</v>
      </c>
      <c r="CC41" s="19" t="n">
        <v>1406561.42</v>
      </c>
      <c r="CD41" s="19" t="n">
        <v>481999.24</v>
      </c>
      <c r="CE41" s="19" t="n">
        <v>38461.44</v>
      </c>
      <c r="CF41" s="19" t="n">
        <v>35945.27</v>
      </c>
      <c r="CG41" s="19" t="n">
        <f aca="false">SUM(CF41,CD41,CB41,BZ41,BX41,BV41,BT41,BR41,BP41,BN41,BL41,BJ41,BH41)</f>
        <v>1003139.33</v>
      </c>
      <c r="CH41" s="19" t="n">
        <f aca="false">CG41+BF41</f>
        <v>7929506.69</v>
      </c>
      <c r="CI41" s="19" t="n">
        <f aca="false">SUM(CE41,CC41,CA41,BY41,BW41,BU41,BS41,BQ41,BO41,BM41,BK41,BI41,BG41,BD41,BB41,AZ41,AX41,AV41,AT41,AR41,AP41,AN41)</f>
        <v>9455321.42</v>
      </c>
      <c r="CJ41" s="19" t="n">
        <f aca="false">CI41-CH41</f>
        <v>1525814.73</v>
      </c>
      <c r="CK41" s="19" t="n">
        <f aca="false">IF(CE41-CF41+CC41-CD41+CA41-CB41+BU41-BV41+BK41-BL41+BI41-BJ41 &gt; 0, CE41-CF41+CC41-CD41+CA41-CB41+BU41-BV41+BK41-BL41+BI41-BJ41, "-")</f>
        <v>941122.73</v>
      </c>
      <c r="CL41" s="19" t="str">
        <f aca="false">IF(CJ41&lt;0,"⚠ Over Budget","✓ Within Budget")</f>
        <v>✓ Within Budget</v>
      </c>
      <c r="CM41" s="21"/>
    </row>
    <row r="42" customFormat="false" ht="14.25" hidden="false" customHeight="false" outlineLevel="0" collapsed="false">
      <c r="A42" s="22" t="s">
        <v>96</v>
      </c>
      <c r="B42" s="22" t="n">
        <v>2025</v>
      </c>
      <c r="C42" s="22" t="n">
        <v>21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21</v>
      </c>
      <c r="T42" s="22" t="n">
        <v>4</v>
      </c>
      <c r="U42" s="22" t="n">
        <v>17</v>
      </c>
      <c r="V42" s="22" t="n">
        <v>21</v>
      </c>
      <c r="W42" s="22" t="n">
        <v>0</v>
      </c>
      <c r="X42" s="22" t="n">
        <v>1</v>
      </c>
      <c r="Y42" s="22" t="n">
        <v>4</v>
      </c>
      <c r="Z42" s="22" t="n">
        <v>7</v>
      </c>
      <c r="AA42" s="22" t="n">
        <v>6</v>
      </c>
      <c r="AB42" s="22" t="n">
        <v>2</v>
      </c>
      <c r="AC42" s="22" t="n">
        <v>1</v>
      </c>
      <c r="AD42" s="23" t="n">
        <v>0</v>
      </c>
      <c r="AE42" s="23" t="n">
        <v>0.0963963204621398</v>
      </c>
      <c r="AF42" s="24" t="n">
        <v>58</v>
      </c>
      <c r="AG42" s="25" t="n">
        <v>1011256</v>
      </c>
      <c r="AH42" s="25" t="n">
        <v>1564878</v>
      </c>
      <c r="AI42" s="25" t="n">
        <v>2399337</v>
      </c>
      <c r="AJ42" s="25" t="n">
        <v>3770289</v>
      </c>
      <c r="AK42" s="25" t="n">
        <v>5601971</v>
      </c>
      <c r="AL42" s="25" t="n">
        <v>9546089</v>
      </c>
      <c r="AM42" s="25" t="n">
        <v>4122599.81</v>
      </c>
      <c r="AN42" s="25" t="n">
        <v>6984371.18</v>
      </c>
      <c r="AO42" s="25" t="n">
        <v>6527449.7</v>
      </c>
      <c r="AP42" s="25" t="n">
        <v>698437.12</v>
      </c>
      <c r="AQ42" s="25" t="n">
        <v>652744.97</v>
      </c>
      <c r="AR42" s="25" t="n">
        <v>355567.99</v>
      </c>
      <c r="AS42" s="25" t="n">
        <v>456921.48</v>
      </c>
      <c r="AT42" s="25" t="n">
        <v>349218.56</v>
      </c>
      <c r="AU42" s="25" t="n">
        <v>326372.49</v>
      </c>
      <c r="AV42" s="25" t="n">
        <v>27701.74</v>
      </c>
      <c r="AW42" s="25" t="n">
        <v>22113.93</v>
      </c>
      <c r="AX42" s="25" t="n">
        <v>15774.6</v>
      </c>
      <c r="AY42" s="25" t="n">
        <v>14742.62</v>
      </c>
      <c r="AZ42" s="25" t="n">
        <v>68140.21</v>
      </c>
      <c r="BA42" s="25" t="n">
        <v>0</v>
      </c>
      <c r="BB42" s="25" t="n">
        <v>5961.06</v>
      </c>
      <c r="BC42" s="25" t="n">
        <v>0</v>
      </c>
      <c r="BD42" s="25" t="n">
        <v>393.86</v>
      </c>
      <c r="BE42" s="25" t="n">
        <v>0</v>
      </c>
      <c r="BF42" s="25" t="n">
        <f aca="false">SUM(BE42,BC42,BA42,AY42,AW42,AU42,AS42,AQ42,AO42)</f>
        <v>8000345.19</v>
      </c>
      <c r="BG42" s="25" t="n">
        <v>54292.67</v>
      </c>
      <c r="BH42" s="25" t="n">
        <v>25947.01</v>
      </c>
      <c r="BI42" s="25" t="n">
        <v>14460.05</v>
      </c>
      <c r="BJ42" s="25" t="n">
        <v>13514.07</v>
      </c>
      <c r="BK42" s="25" t="n">
        <v>10516.4</v>
      </c>
      <c r="BL42" s="25" t="n">
        <v>9828.41</v>
      </c>
      <c r="BM42" s="25" t="n">
        <v>44168.88</v>
      </c>
      <c r="BN42" s="25" t="n">
        <v>41279.33</v>
      </c>
      <c r="BO42" s="25" t="n">
        <v>18869.14</v>
      </c>
      <c r="BP42" s="25" t="n">
        <v>0</v>
      </c>
      <c r="BQ42" s="25" t="n">
        <v>207560.55</v>
      </c>
      <c r="BR42" s="25" t="n">
        <v>193981.82</v>
      </c>
      <c r="BS42" s="25" t="n">
        <v>6918.68</v>
      </c>
      <c r="BT42" s="25" t="n">
        <v>6789.36</v>
      </c>
      <c r="BU42" s="25" t="n">
        <v>174609.28</v>
      </c>
      <c r="BV42" s="25" t="n">
        <v>163186.24</v>
      </c>
      <c r="BW42" s="25" t="n">
        <v>17667.55</v>
      </c>
      <c r="BX42" s="25" t="n">
        <v>8599.86</v>
      </c>
      <c r="BY42" s="25" t="n">
        <v>4673.96</v>
      </c>
      <c r="BZ42" s="25" t="n">
        <v>9828.41</v>
      </c>
      <c r="CA42" s="25" t="n">
        <v>29445.92</v>
      </c>
      <c r="CB42" s="25" t="n">
        <v>27519.55</v>
      </c>
      <c r="CC42" s="25" t="n">
        <v>2387452.21</v>
      </c>
      <c r="CD42" s="25" t="n">
        <v>818130.04</v>
      </c>
      <c r="CE42" s="25" t="n">
        <v>41906.23</v>
      </c>
      <c r="CF42" s="25" t="n">
        <v>39164.7</v>
      </c>
      <c r="CG42" s="25" t="n">
        <f aca="false">SUM(CF42,CD42,CB42,BZ42,BX42,BV42,BT42,BR42,BP42,BN42,BL42,BJ42,BH42)</f>
        <v>1357768.8</v>
      </c>
      <c r="CH42" s="25" t="n">
        <f aca="false">CG42+BF42</f>
        <v>9358113.99</v>
      </c>
      <c r="CI42" s="25" t="n">
        <f aca="false">SUM(CE42,CC42,CA42,BY42,BW42,BU42,BS42,BQ42,BO42,BM42,BK42,BI42,BG42,BD42,BB42,AZ42,AX42,AV42,AT42,AR42,AP42,AN42)</f>
        <v>11518107.84</v>
      </c>
      <c r="CJ42" s="25" t="n">
        <f aca="false">CI42-CH42</f>
        <v>2159993.85</v>
      </c>
      <c r="CK42" s="25" t="n">
        <f aca="false">IF(CE42-CF42+CC42-CD42+CA42-CB42+BU42-BV42+BK42-BL42+BI42-BJ42 &gt; 0, CE42-CF42+CC42-CD42+CA42-CB42+BU42-BV42+BK42-BL42+BI42-BJ42, "-")</f>
        <v>1587047.08</v>
      </c>
      <c r="CL42" s="25" t="str">
        <f aca="false">IF(CJ42&lt;0,"⚠ Over Budget","✓ Within Budget")</f>
        <v>✓ Within Budget</v>
      </c>
      <c r="CM42" s="27"/>
    </row>
    <row r="43" customFormat="false" ht="14.25" hidden="false" customHeight="false" outlineLevel="0" collapsed="false">
      <c r="A43" s="16" t="s">
        <v>98</v>
      </c>
      <c r="B43" s="16" t="n">
        <v>2025</v>
      </c>
      <c r="C43" s="16" t="n">
        <v>21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21</v>
      </c>
      <c r="T43" s="16" t="n">
        <v>4</v>
      </c>
      <c r="U43" s="16" t="n">
        <v>17</v>
      </c>
      <c r="V43" s="16" t="n">
        <v>21</v>
      </c>
      <c r="W43" s="16" t="n">
        <v>0</v>
      </c>
      <c r="X43" s="16" t="n">
        <v>1</v>
      </c>
      <c r="Y43" s="16" t="n">
        <v>4</v>
      </c>
      <c r="Z43" s="16" t="n">
        <v>7</v>
      </c>
      <c r="AA43" s="16" t="n">
        <v>6</v>
      </c>
      <c r="AB43" s="16" t="n">
        <v>2</v>
      </c>
      <c r="AC43" s="16" t="n">
        <v>1</v>
      </c>
      <c r="AD43" s="17" t="n">
        <v>0</v>
      </c>
      <c r="AE43" s="17" t="n">
        <v>0</v>
      </c>
      <c r="AF43" s="18" t="n">
        <v>57.6</v>
      </c>
      <c r="AG43" s="19" t="n">
        <v>1011256</v>
      </c>
      <c r="AH43" s="19" t="n">
        <v>1564878</v>
      </c>
      <c r="AI43" s="19" t="n">
        <v>2399337</v>
      </c>
      <c r="AJ43" s="19" t="n">
        <v>3770289</v>
      </c>
      <c r="AK43" s="19" t="n">
        <v>5601971</v>
      </c>
      <c r="AL43" s="19" t="n">
        <v>9546089</v>
      </c>
      <c r="AM43" s="19" t="n">
        <v>4122599.81</v>
      </c>
      <c r="AN43" s="19" t="n">
        <v>6984371.18</v>
      </c>
      <c r="AO43" s="19" t="n">
        <v>6527449.7</v>
      </c>
      <c r="AP43" s="19" t="n">
        <v>698437.12</v>
      </c>
      <c r="AQ43" s="19" t="n">
        <v>652744.97</v>
      </c>
      <c r="AR43" s="19" t="n">
        <v>25397.71</v>
      </c>
      <c r="AS43" s="19" t="n">
        <v>0</v>
      </c>
      <c r="AT43" s="19" t="n">
        <v>349218.56</v>
      </c>
      <c r="AU43" s="19" t="n">
        <v>326372.49</v>
      </c>
      <c r="AV43" s="19" t="n">
        <v>30010.22</v>
      </c>
      <c r="AW43" s="19" t="n">
        <v>22113.93</v>
      </c>
      <c r="AX43" s="19" t="n">
        <v>15774.6</v>
      </c>
      <c r="AY43" s="19" t="n">
        <v>14742.62</v>
      </c>
      <c r="AZ43" s="19" t="n">
        <v>20442.06</v>
      </c>
      <c r="BA43" s="19" t="n">
        <v>0</v>
      </c>
      <c r="BB43" s="19" t="n">
        <v>2384.42</v>
      </c>
      <c r="BC43" s="19" t="n">
        <v>0</v>
      </c>
      <c r="BD43" s="19" t="n">
        <v>393.86</v>
      </c>
      <c r="BE43" s="19" t="n">
        <v>0</v>
      </c>
      <c r="BF43" s="19" t="n">
        <f aca="false">SUM(BE43,BC43,BA43,AY43,AW43,AU43,AS43,AQ43,AO43)</f>
        <v>7543423.71</v>
      </c>
      <c r="BG43" s="19" t="n">
        <v>36344.68</v>
      </c>
      <c r="BH43" s="19" t="n">
        <v>21229.37</v>
      </c>
      <c r="BI43" s="19" t="n">
        <v>14460.05</v>
      </c>
      <c r="BJ43" s="19" t="n">
        <v>13514.07</v>
      </c>
      <c r="BK43" s="19" t="n">
        <v>10516.4</v>
      </c>
      <c r="BL43" s="19" t="n">
        <v>9828.41</v>
      </c>
      <c r="BM43" s="19" t="n">
        <v>44168.88</v>
      </c>
      <c r="BN43" s="19" t="n">
        <v>41279.33</v>
      </c>
      <c r="BO43" s="19" t="n">
        <v>7547.66</v>
      </c>
      <c r="BP43" s="19" t="n">
        <v>0</v>
      </c>
      <c r="BQ43" s="19" t="n">
        <v>207560.55</v>
      </c>
      <c r="BR43" s="19" t="n">
        <v>193981.82</v>
      </c>
      <c r="BS43" s="19" t="n">
        <v>7610.55</v>
      </c>
      <c r="BT43" s="19" t="n">
        <v>6789.36</v>
      </c>
      <c r="BU43" s="19" t="n">
        <v>174609.28</v>
      </c>
      <c r="BV43" s="19" t="n">
        <v>163186.24</v>
      </c>
      <c r="BW43" s="19" t="n">
        <v>13250.67</v>
      </c>
      <c r="BX43" s="19" t="n">
        <v>8599.86</v>
      </c>
      <c r="BY43" s="19" t="n">
        <v>4673.96</v>
      </c>
      <c r="BZ43" s="19" t="n">
        <v>9828.41</v>
      </c>
      <c r="CA43" s="19" t="n">
        <v>29445.92</v>
      </c>
      <c r="CB43" s="19" t="n">
        <v>27519.55</v>
      </c>
      <c r="CC43" s="19" t="n">
        <v>228579.42</v>
      </c>
      <c r="CD43" s="19" t="n">
        <v>244779.36</v>
      </c>
      <c r="CE43" s="19" t="n">
        <v>41906.23</v>
      </c>
      <c r="CF43" s="19" t="n">
        <v>39164.7</v>
      </c>
      <c r="CG43" s="19" t="n">
        <f aca="false">SUM(CF43,CD43,CB43,BZ43,BX43,BV43,BT43,BR43,BP43,BN43,BL43,BJ43,BH43)</f>
        <v>779700.48</v>
      </c>
      <c r="CH43" s="19" t="n">
        <f aca="false">CG43+BF43</f>
        <v>8323124.19</v>
      </c>
      <c r="CI43" s="19" t="n">
        <f aca="false">SUM(CE43,CC43,CA43,BY43,BW43,BU43,BS43,BQ43,BO43,BM43,BK43,BI43,BG43,BD43,BB43,AZ43,AX43,AV43,AT43,AR43,AP43,AN43)</f>
        <v>8947103.98</v>
      </c>
      <c r="CJ43" s="19" t="n">
        <f aca="false">CI43-CH43</f>
        <v>623979.790000001</v>
      </c>
      <c r="CK43" s="19" t="n">
        <f aca="false">IF(CE43-CF43+CC43-CD43+CA43-CB43+BU43-BV43+BK43-BL43+BI43-BJ43 &gt; 0, CE43-CF43+CC43-CD43+CA43-CB43+BU43-BV43+BK43-BL43+BI43-BJ43, "-")</f>
        <v>1524.97000000003</v>
      </c>
      <c r="CL43" s="19" t="str">
        <f aca="false">IF(CJ43&lt;0,"⚠ Over Budget","✓ Within Budget")</f>
        <v>✓ Within Budget</v>
      </c>
      <c r="CM43" s="21"/>
    </row>
    <row r="44" customFormat="false" ht="14.25" hidden="false" customHeight="false" outlineLevel="0" collapsed="false">
      <c r="A44" s="22" t="s">
        <v>99</v>
      </c>
      <c r="B44" s="22" t="n">
        <v>2025</v>
      </c>
      <c r="C44" s="22" t="n">
        <v>21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21</v>
      </c>
      <c r="T44" s="22" t="n">
        <v>6</v>
      </c>
      <c r="U44" s="22" t="n">
        <v>15</v>
      </c>
      <c r="V44" s="22" t="n">
        <v>21</v>
      </c>
      <c r="W44" s="22" t="n">
        <v>0</v>
      </c>
      <c r="X44" s="22" t="n">
        <v>1</v>
      </c>
      <c r="Y44" s="22" t="n">
        <v>4</v>
      </c>
      <c r="Z44" s="22" t="n">
        <v>7</v>
      </c>
      <c r="AA44" s="22" t="n">
        <v>6</v>
      </c>
      <c r="AB44" s="22" t="n">
        <v>2</v>
      </c>
      <c r="AC44" s="22" t="n">
        <v>1</v>
      </c>
      <c r="AD44" s="23" t="n">
        <v>0</v>
      </c>
      <c r="AE44" s="23" t="n">
        <v>0</v>
      </c>
      <c r="AF44" s="24" t="n">
        <v>57.9</v>
      </c>
      <c r="AG44" s="25" t="n">
        <v>1011256</v>
      </c>
      <c r="AH44" s="25" t="n">
        <v>1564878</v>
      </c>
      <c r="AI44" s="25" t="n">
        <v>2399337</v>
      </c>
      <c r="AJ44" s="25" t="n">
        <v>3770289</v>
      </c>
      <c r="AK44" s="25" t="n">
        <v>5601971</v>
      </c>
      <c r="AL44" s="25" t="n">
        <v>9546089</v>
      </c>
      <c r="AM44" s="25" t="n">
        <v>4122599.81</v>
      </c>
      <c r="AN44" s="25" t="n">
        <v>6984371.18</v>
      </c>
      <c r="AO44" s="25" t="n">
        <v>6527449.7</v>
      </c>
      <c r="AP44" s="25" t="n">
        <v>698437.12</v>
      </c>
      <c r="AQ44" s="25" t="n">
        <v>652744.97</v>
      </c>
      <c r="AR44" s="25" t="n">
        <v>25397.71</v>
      </c>
      <c r="AS44" s="25" t="n">
        <v>0</v>
      </c>
      <c r="AT44" s="25" t="n">
        <v>349218.56</v>
      </c>
      <c r="AU44" s="25" t="n">
        <v>326372.49</v>
      </c>
      <c r="AV44" s="25" t="n">
        <v>34627.17</v>
      </c>
      <c r="AW44" s="25" t="n">
        <v>22113.93</v>
      </c>
      <c r="AX44" s="25" t="n">
        <v>15774.6</v>
      </c>
      <c r="AY44" s="25" t="n">
        <v>14742.62</v>
      </c>
      <c r="AZ44" s="25" t="n">
        <v>20442.06</v>
      </c>
      <c r="BA44" s="25" t="n">
        <v>0</v>
      </c>
      <c r="BB44" s="25" t="n">
        <v>3576.63</v>
      </c>
      <c r="BC44" s="25" t="n">
        <v>0</v>
      </c>
      <c r="BD44" s="25" t="n">
        <v>787.71</v>
      </c>
      <c r="BE44" s="25" t="n">
        <v>0</v>
      </c>
      <c r="BF44" s="25" t="n">
        <f aca="false">SUM(BE44,BC44,BA44,AY44,AW44,AU44,AS44,AQ44,AO44)</f>
        <v>7543423.71</v>
      </c>
      <c r="BG44" s="25" t="n">
        <v>6281.8</v>
      </c>
      <c r="BH44" s="25" t="n">
        <v>8255.87</v>
      </c>
      <c r="BI44" s="25" t="n">
        <v>14460.05</v>
      </c>
      <c r="BJ44" s="25" t="n">
        <v>13514.07</v>
      </c>
      <c r="BK44" s="25" t="n">
        <v>10516.4</v>
      </c>
      <c r="BL44" s="25" t="n">
        <v>9828.41</v>
      </c>
      <c r="BM44" s="25" t="n">
        <v>44168.88</v>
      </c>
      <c r="BN44" s="25" t="n">
        <v>41279.33</v>
      </c>
      <c r="BO44" s="25" t="n">
        <v>3773.83</v>
      </c>
      <c r="BP44" s="25" t="n">
        <v>0</v>
      </c>
      <c r="BQ44" s="25" t="n">
        <v>193723.18</v>
      </c>
      <c r="BR44" s="25" t="n">
        <v>181049.7</v>
      </c>
      <c r="BS44" s="25" t="n">
        <v>8394.67</v>
      </c>
      <c r="BT44" s="25" t="n">
        <v>6336.74</v>
      </c>
      <c r="BU44" s="25" t="n">
        <v>174609.28</v>
      </c>
      <c r="BV44" s="25" t="n">
        <v>163186.24</v>
      </c>
      <c r="BW44" s="25" t="n">
        <v>8833.78</v>
      </c>
      <c r="BX44" s="25" t="n">
        <v>8599.86</v>
      </c>
      <c r="BY44" s="25" t="n">
        <v>131383.41</v>
      </c>
      <c r="BZ44" s="25" t="n">
        <v>55254.7</v>
      </c>
      <c r="CA44" s="25" t="n">
        <v>29445.92</v>
      </c>
      <c r="CB44" s="25" t="n">
        <v>27519.55</v>
      </c>
      <c r="CC44" s="25" t="n">
        <v>142862.14</v>
      </c>
      <c r="CD44" s="25" t="n">
        <v>244779.36</v>
      </c>
      <c r="CE44" s="25" t="n">
        <v>41906.23</v>
      </c>
      <c r="CF44" s="25" t="n">
        <v>39164.7</v>
      </c>
      <c r="CG44" s="25" t="n">
        <f aca="false">SUM(CF44,CD44,CB44,BZ44,BX44,BV44,BT44,BR44,BP44,BN44,BL44,BJ44,BH44)</f>
        <v>798768.53</v>
      </c>
      <c r="CH44" s="25" t="n">
        <f aca="false">CG44+BF44</f>
        <v>8342192.24</v>
      </c>
      <c r="CI44" s="25" t="n">
        <f aca="false">SUM(CE44,CC44,CA44,BY44,BW44,BU44,BS44,BQ44,BO44,BM44,BK44,BI44,BG44,BD44,BB44,AZ44,AX44,AV44,AT44,AR44,AP44,AN44)</f>
        <v>8942992.31</v>
      </c>
      <c r="CJ44" s="25" t="n">
        <f aca="false">CI44-CH44</f>
        <v>600800.07</v>
      </c>
      <c r="CK44" s="25" t="str">
        <f aca="false">IF(CE44-CF44+CC44-CD44+CA44-CB44+BU44-BV44+BK44-BL44+BI44-BJ44 &gt; 0, CE44-CF44+CC44-CD44+CA44-CB44+BU44-BV44+BK44-BL44+BI44-BJ44, "-")</f>
        <v>-</v>
      </c>
      <c r="CL44" s="25" t="str">
        <f aca="false">IF(CJ44&lt;0,"⚠ Over Budget","✓ Within Budget")</f>
        <v>✓ Within Budget</v>
      </c>
      <c r="CM44" s="27"/>
    </row>
    <row r="45" customFormat="false" ht="18.75" hidden="false" customHeight="true" outlineLevel="0" collapsed="false">
      <c r="A45" s="28" t="s">
        <v>100</v>
      </c>
      <c r="B45" s="28" t="n">
        <v>2025</v>
      </c>
      <c r="C45" s="28" t="n">
        <v>21</v>
      </c>
      <c r="D45" s="28" t="n">
        <v>1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1</v>
      </c>
      <c r="J45" s="28" t="n">
        <v>1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22</v>
      </c>
      <c r="T45" s="28" t="n">
        <v>5</v>
      </c>
      <c r="U45" s="28" t="n">
        <v>17</v>
      </c>
      <c r="V45" s="28" t="n">
        <v>22</v>
      </c>
      <c r="W45" s="28" t="n">
        <v>0</v>
      </c>
      <c r="X45" s="28" t="n">
        <v>1</v>
      </c>
      <c r="Y45" s="28" t="n">
        <v>4</v>
      </c>
      <c r="Z45" s="28" t="n">
        <v>7</v>
      </c>
      <c r="AA45" s="28" t="n">
        <v>6</v>
      </c>
      <c r="AB45" s="28" t="n">
        <v>2</v>
      </c>
      <c r="AC45" s="28" t="n">
        <v>2</v>
      </c>
      <c r="AD45" s="29" t="n">
        <v>0</v>
      </c>
      <c r="AE45" s="29" t="n">
        <v>0</v>
      </c>
      <c r="AF45" s="30" t="n">
        <v>58.4</v>
      </c>
      <c r="AG45" s="31" t="n">
        <v>1011256</v>
      </c>
      <c r="AH45" s="31" t="n">
        <v>1564878</v>
      </c>
      <c r="AI45" s="31" t="n">
        <v>2399337</v>
      </c>
      <c r="AJ45" s="31" t="n">
        <v>3770289</v>
      </c>
      <c r="AK45" s="31" t="n">
        <v>5601971</v>
      </c>
      <c r="AL45" s="31" t="n">
        <v>9546089</v>
      </c>
      <c r="AM45" s="31" t="n">
        <v>4122599.81</v>
      </c>
      <c r="AN45" s="31" t="n">
        <v>6616772.7</v>
      </c>
      <c r="AO45" s="31" t="n">
        <v>7042554.72</v>
      </c>
      <c r="AP45" s="31" t="n">
        <v>661677.27</v>
      </c>
      <c r="AQ45" s="31" t="n">
        <v>618389.97</v>
      </c>
      <c r="AR45" s="31" t="n">
        <v>24060.99</v>
      </c>
      <c r="AS45" s="31" t="n">
        <v>0</v>
      </c>
      <c r="AT45" s="31" t="n">
        <v>330838.63</v>
      </c>
      <c r="AU45" s="31" t="n">
        <v>309194.99</v>
      </c>
      <c r="AV45" s="31" t="n">
        <v>26243.75</v>
      </c>
      <c r="AW45" s="31" t="n">
        <v>20950.04</v>
      </c>
      <c r="AX45" s="31" t="n">
        <v>14944.36</v>
      </c>
      <c r="AY45" s="31" t="n">
        <v>13966.69</v>
      </c>
      <c r="AZ45" s="31" t="n">
        <v>16138.47</v>
      </c>
      <c r="BA45" s="31" t="n">
        <v>0</v>
      </c>
      <c r="BB45" s="31" t="n">
        <v>5961.06</v>
      </c>
      <c r="BC45" s="31" t="n">
        <v>1431091.67</v>
      </c>
      <c r="BD45" s="31" t="n">
        <v>354469.97</v>
      </c>
      <c r="BE45" s="31" t="n">
        <v>206129.99</v>
      </c>
      <c r="BF45" s="31" t="n">
        <f aca="false">SUM(BE45,BC45,BA45,AY45,AW45,AU45,AS45,AQ45,AO45)</f>
        <v>9642278.07</v>
      </c>
      <c r="BG45" s="31" t="n">
        <v>4463.38</v>
      </c>
      <c r="BH45" s="31" t="n">
        <v>7821.35</v>
      </c>
      <c r="BI45" s="31" t="n">
        <v>13699</v>
      </c>
      <c r="BJ45" s="31" t="n">
        <v>12802.8</v>
      </c>
      <c r="BK45" s="31" t="n">
        <v>9962.91</v>
      </c>
      <c r="BL45" s="31" t="n">
        <v>9311.13</v>
      </c>
      <c r="BM45" s="31" t="n">
        <v>41844.21</v>
      </c>
      <c r="BN45" s="31" t="n">
        <v>39106.74</v>
      </c>
      <c r="BO45" s="31" t="n">
        <v>18869.14</v>
      </c>
      <c r="BP45" s="31" t="n">
        <v>572436.67</v>
      </c>
      <c r="BQ45" s="31" t="n">
        <v>193723.18</v>
      </c>
      <c r="BR45" s="31" t="n">
        <v>181049.7</v>
      </c>
      <c r="BS45" s="31" t="n">
        <v>8394.67</v>
      </c>
      <c r="BT45" s="31" t="n">
        <v>6336.74</v>
      </c>
      <c r="BU45" s="31" t="n">
        <v>165419.32</v>
      </c>
      <c r="BV45" s="31" t="n">
        <v>154597.49</v>
      </c>
      <c r="BW45" s="31" t="n">
        <v>4184.42</v>
      </c>
      <c r="BX45" s="31" t="n">
        <v>8147.24</v>
      </c>
      <c r="BY45" s="31" t="n">
        <v>4427.96</v>
      </c>
      <c r="BZ45" s="31" t="n">
        <v>9311.13</v>
      </c>
      <c r="CA45" s="31" t="n">
        <v>27896.14</v>
      </c>
      <c r="CB45" s="31" t="n">
        <v>26071.16</v>
      </c>
      <c r="CC45" s="31" t="n">
        <v>135343.08</v>
      </c>
      <c r="CD45" s="31" t="n">
        <v>231896.24</v>
      </c>
      <c r="CE45" s="31" t="n">
        <v>39700.64</v>
      </c>
      <c r="CF45" s="31" t="n">
        <v>37103.4</v>
      </c>
      <c r="CG45" s="31" t="n">
        <f aca="false">SUM(CF45,CD45,CB45,BZ45,BX45,BV45,BT45,BR45,BP45,BN45,BL45,BJ45,BH45)</f>
        <v>1295991.79</v>
      </c>
      <c r="CH45" s="31" t="n">
        <f aca="false">CG45+BF45</f>
        <v>10938269.86</v>
      </c>
      <c r="CI45" s="31" t="n">
        <f aca="false">SUM(CE45,CC45,CA45,BY45,BW45,BU45,BS45,BQ45,BO45,BM45,BK45,BI45,BG45,BD45,BB45,AZ45,AX45,AV45,AT45,AR45,AP45,AN45)</f>
        <v>8719035.25</v>
      </c>
      <c r="CJ45" s="31" t="n">
        <f aca="false">CI45-CH45</f>
        <v>-2219234.61</v>
      </c>
      <c r="CK45" s="31" t="str">
        <f aca="false">IF(CE45-CF45+CC45-CD45+CA45-CB45+BU45-BV45+BK45-BL45+BI45-BJ45 &gt; 0, CE45-CF45+CC45-CD45+CA45-CB45+BU45-BV45+BK45-BL45+BI45-BJ45, "-")</f>
        <v>-</v>
      </c>
      <c r="CL45" s="31" t="str">
        <f aca="false">IF(CJ45&lt;0,"⚠ Over Budget","✓ Within Budget")</f>
        <v>⚠ Over Budget</v>
      </c>
      <c r="CM45" s="33" t="s">
        <v>110</v>
      </c>
    </row>
    <row r="46" customFormat="false" ht="14.25" hidden="false" customHeight="false" outlineLevel="0" collapsed="false">
      <c r="A46" s="22" t="s">
        <v>101</v>
      </c>
      <c r="B46" s="22" t="n">
        <v>2025</v>
      </c>
      <c r="C46" s="22" t="n">
        <v>22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1</v>
      </c>
      <c r="S46" s="22" t="n">
        <v>21</v>
      </c>
      <c r="T46" s="22" t="n">
        <v>5</v>
      </c>
      <c r="U46" s="22" t="n">
        <v>16</v>
      </c>
      <c r="V46" s="22" t="n">
        <v>21</v>
      </c>
      <c r="W46" s="22" t="n">
        <v>0</v>
      </c>
      <c r="X46" s="22" t="n">
        <v>1</v>
      </c>
      <c r="Y46" s="22" t="n">
        <v>4</v>
      </c>
      <c r="Z46" s="22" t="n">
        <v>7</v>
      </c>
      <c r="AA46" s="22" t="n">
        <v>6</v>
      </c>
      <c r="AB46" s="22" t="n">
        <v>2</v>
      </c>
      <c r="AC46" s="22" t="n">
        <v>1</v>
      </c>
      <c r="AD46" s="23" t="n">
        <v>0</v>
      </c>
      <c r="AE46" s="23" t="n">
        <v>0</v>
      </c>
      <c r="AF46" s="24" t="n">
        <v>58.8</v>
      </c>
      <c r="AG46" s="25" t="n">
        <v>1011256</v>
      </c>
      <c r="AH46" s="25" t="n">
        <v>1564878</v>
      </c>
      <c r="AI46" s="25" t="n">
        <v>2399337</v>
      </c>
      <c r="AJ46" s="25" t="n">
        <v>3770289</v>
      </c>
      <c r="AK46" s="25" t="n">
        <v>5601971</v>
      </c>
      <c r="AL46" s="25" t="n">
        <v>9546089</v>
      </c>
      <c r="AM46" s="25" t="n">
        <v>4122599.81</v>
      </c>
      <c r="AN46" s="25" t="n">
        <v>6616772.7</v>
      </c>
      <c r="AO46" s="25" t="n">
        <v>6183899.72</v>
      </c>
      <c r="AP46" s="25" t="n">
        <v>661677.27</v>
      </c>
      <c r="AQ46" s="25" t="n">
        <v>618389.97</v>
      </c>
      <c r="AR46" s="25" t="n">
        <v>24060.99</v>
      </c>
      <c r="AS46" s="25" t="n">
        <v>0</v>
      </c>
      <c r="AT46" s="25" t="n">
        <v>330838.63</v>
      </c>
      <c r="AU46" s="25" t="n">
        <v>309194.99</v>
      </c>
      <c r="AV46" s="25" t="n">
        <v>21869.79</v>
      </c>
      <c r="AW46" s="25" t="n">
        <v>20950.04</v>
      </c>
      <c r="AX46" s="25" t="n">
        <v>14944.36</v>
      </c>
      <c r="AY46" s="25" t="n">
        <v>13966.69</v>
      </c>
      <c r="AZ46" s="25" t="n">
        <v>16138.47</v>
      </c>
      <c r="BA46" s="25" t="n">
        <v>0</v>
      </c>
      <c r="BB46" s="25" t="n">
        <v>5961.06</v>
      </c>
      <c r="BC46" s="25" t="n">
        <v>0</v>
      </c>
      <c r="BD46" s="25" t="n">
        <v>1181.57</v>
      </c>
      <c r="BE46" s="25" t="n">
        <v>0</v>
      </c>
      <c r="BF46" s="25" t="n">
        <f aca="false">SUM(BE46,BC46,BA46,AY46,AW46,AU46,AS46,AQ46,AO46)</f>
        <v>7146401.41</v>
      </c>
      <c r="BG46" s="25" t="n">
        <v>23910.98</v>
      </c>
      <c r="BH46" s="25" t="n">
        <v>16760.03</v>
      </c>
      <c r="BI46" s="25" t="n">
        <v>13699</v>
      </c>
      <c r="BJ46" s="25" t="n">
        <v>12802.8</v>
      </c>
      <c r="BK46" s="25" t="n">
        <v>9962.91</v>
      </c>
      <c r="BL46" s="25" t="n">
        <v>9311.13</v>
      </c>
      <c r="BM46" s="25" t="n">
        <v>41844.21</v>
      </c>
      <c r="BN46" s="25" t="n">
        <v>39106.74</v>
      </c>
      <c r="BO46" s="25" t="n">
        <v>7547.66</v>
      </c>
      <c r="BP46" s="25" t="n">
        <v>0</v>
      </c>
      <c r="BQ46" s="25" t="n">
        <v>193723.18</v>
      </c>
      <c r="BR46" s="25" t="n">
        <v>181049.7</v>
      </c>
      <c r="BS46" s="25" t="n">
        <v>8394.67</v>
      </c>
      <c r="BT46" s="25" t="n">
        <v>6336.74</v>
      </c>
      <c r="BU46" s="25" t="n">
        <v>165419.32</v>
      </c>
      <c r="BV46" s="25" t="n">
        <v>154597.49</v>
      </c>
      <c r="BW46" s="25" t="n">
        <v>8368.84</v>
      </c>
      <c r="BX46" s="25" t="n">
        <v>8147.24</v>
      </c>
      <c r="BY46" s="25" t="n">
        <v>12074.26</v>
      </c>
      <c r="BZ46" s="25" t="n">
        <v>21158.17</v>
      </c>
      <c r="CA46" s="25" t="n">
        <v>27896.14</v>
      </c>
      <c r="CB46" s="25" t="n">
        <v>26071.16</v>
      </c>
      <c r="CC46" s="25" t="n">
        <v>135343.08</v>
      </c>
      <c r="CD46" s="25" t="n">
        <v>231896.24</v>
      </c>
      <c r="CE46" s="25" t="n">
        <v>39700.64</v>
      </c>
      <c r="CF46" s="25" t="n">
        <v>37103.4</v>
      </c>
      <c r="CG46" s="25" t="n">
        <f aca="false">SUM(CF46,CD46,CB46,BZ46,BX46,BV46,BT46,BR46,BP46,BN46,BL46,BJ46,BH46)</f>
        <v>744340.84</v>
      </c>
      <c r="CH46" s="25" t="n">
        <f aca="false">CG46+BF46</f>
        <v>7890742.25</v>
      </c>
      <c r="CI46" s="25" t="n">
        <f aca="false">SUM(CE46,CC46,CA46,BY46,BW46,BU46,BS46,BQ46,BO46,BM46,BK46,BI46,BG46,BD46,BB46,AZ46,AX46,AV46,AT46,AR46,AP46,AN46)</f>
        <v>8381329.73</v>
      </c>
      <c r="CJ46" s="25" t="n">
        <f aca="false">CI46-CH46</f>
        <v>490587.48</v>
      </c>
      <c r="CK46" s="25" t="str">
        <f aca="false">IF(CE46-CF46+CC46-CD46+CA46-CB46+BU46-BV46+BK46-BL46+BI46-BJ46 &gt; 0, CE46-CF46+CC46-CD46+CA46-CB46+BU46-BV46+BK46-BL46+BI46-BJ46, "-")</f>
        <v>-</v>
      </c>
      <c r="CL46" s="25" t="str">
        <f aca="false">IF(CJ46&lt;0,"⚠ Over Budget","✓ Within Budget")</f>
        <v>✓ Within Budget</v>
      </c>
      <c r="CM46" s="27"/>
    </row>
    <row r="47" customFormat="false" ht="18.75" hidden="false" customHeight="true" outlineLevel="0" collapsed="false">
      <c r="A47" s="28" t="s">
        <v>102</v>
      </c>
      <c r="B47" s="28" t="n">
        <v>2025</v>
      </c>
      <c r="C47" s="28" t="n">
        <v>21</v>
      </c>
      <c r="D47" s="28" t="n">
        <v>1</v>
      </c>
      <c r="E47" s="28" t="n">
        <v>0</v>
      </c>
      <c r="F47" s="28" t="n">
        <v>1</v>
      </c>
      <c r="G47" s="28" t="n">
        <v>0</v>
      </c>
      <c r="H47" s="28" t="n">
        <v>0</v>
      </c>
      <c r="I47" s="28" t="n">
        <v>1</v>
      </c>
      <c r="J47" s="28" t="n">
        <v>2</v>
      </c>
      <c r="K47" s="28" t="n">
        <v>1</v>
      </c>
      <c r="L47" s="28" t="n">
        <v>0</v>
      </c>
      <c r="M47" s="28" t="n">
        <v>0</v>
      </c>
      <c r="N47" s="28" t="n">
        <v>0</v>
      </c>
      <c r="O47" s="28" t="n">
        <v>0</v>
      </c>
      <c r="P47" s="28" t="n">
        <v>1</v>
      </c>
      <c r="Q47" s="28" t="n">
        <v>1</v>
      </c>
      <c r="R47" s="28" t="n">
        <v>0</v>
      </c>
      <c r="S47" s="28" t="n">
        <v>22</v>
      </c>
      <c r="T47" s="28" t="n">
        <v>5</v>
      </c>
      <c r="U47" s="28" t="n">
        <v>17</v>
      </c>
      <c r="V47" s="28" t="n">
        <v>22</v>
      </c>
      <c r="W47" s="28" t="n">
        <v>0</v>
      </c>
      <c r="X47" s="28" t="n">
        <v>1</v>
      </c>
      <c r="Y47" s="28" t="n">
        <v>4</v>
      </c>
      <c r="Z47" s="28" t="n">
        <v>7</v>
      </c>
      <c r="AA47" s="28" t="n">
        <v>6</v>
      </c>
      <c r="AB47" s="28" t="n">
        <v>2</v>
      </c>
      <c r="AC47" s="28" t="n">
        <v>2</v>
      </c>
      <c r="AD47" s="29" t="n">
        <v>0.571429</v>
      </c>
      <c r="AE47" s="29" t="n">
        <v>0</v>
      </c>
      <c r="AF47" s="30" t="n">
        <v>59.1</v>
      </c>
      <c r="AG47" s="31" t="n">
        <v>1011256</v>
      </c>
      <c r="AH47" s="31" t="n">
        <v>1564878</v>
      </c>
      <c r="AI47" s="31" t="n">
        <v>2399337</v>
      </c>
      <c r="AJ47" s="31" t="n">
        <v>3770289</v>
      </c>
      <c r="AK47" s="31" t="n">
        <v>5601971</v>
      </c>
      <c r="AL47" s="31" t="n">
        <v>9546089</v>
      </c>
      <c r="AM47" s="31" t="n">
        <v>4122599.81</v>
      </c>
      <c r="AN47" s="31" t="n">
        <v>6249174.21</v>
      </c>
      <c r="AO47" s="31" t="n">
        <v>5840349.73</v>
      </c>
      <c r="AP47" s="31" t="n">
        <v>624917.42</v>
      </c>
      <c r="AQ47" s="31" t="n">
        <v>584034.97</v>
      </c>
      <c r="AR47" s="31" t="n">
        <v>22724.27</v>
      </c>
      <c r="AS47" s="31" t="n">
        <v>0</v>
      </c>
      <c r="AT47" s="31" t="n">
        <v>312458.71</v>
      </c>
      <c r="AU47" s="31" t="n">
        <v>292017.49</v>
      </c>
      <c r="AV47" s="31" t="n">
        <v>22720.29</v>
      </c>
      <c r="AW47" s="31" t="n">
        <v>19786.15</v>
      </c>
      <c r="AX47" s="31" t="n">
        <v>14114.12</v>
      </c>
      <c r="AY47" s="31" t="n">
        <v>13190.76</v>
      </c>
      <c r="AZ47" s="31" t="n">
        <v>30483.78</v>
      </c>
      <c r="BA47" s="31" t="n">
        <v>0</v>
      </c>
      <c r="BB47" s="31" t="n">
        <v>3576.63</v>
      </c>
      <c r="BC47" s="31" t="n">
        <v>0</v>
      </c>
      <c r="BD47" s="31" t="n">
        <v>393.86</v>
      </c>
      <c r="BE47" s="31" t="n">
        <v>0</v>
      </c>
      <c r="BF47" s="31" t="n">
        <f aca="false">SUM(BE47,BC47,BA47,AY47,AW47,AU47,AS47,AQ47,AO47)</f>
        <v>6749379.1</v>
      </c>
      <c r="BG47" s="31" t="n">
        <v>32518.93</v>
      </c>
      <c r="BH47" s="31" t="n">
        <v>18994.7</v>
      </c>
      <c r="BI47" s="31" t="n">
        <v>12937.94</v>
      </c>
      <c r="BJ47" s="31" t="n">
        <v>12091.53</v>
      </c>
      <c r="BK47" s="31" t="n">
        <v>9409.41</v>
      </c>
      <c r="BL47" s="31" t="n">
        <v>8793.84</v>
      </c>
      <c r="BM47" s="31" t="n">
        <v>39519.53</v>
      </c>
      <c r="BN47" s="31" t="n">
        <v>562539.01</v>
      </c>
      <c r="BO47" s="31" t="n">
        <v>3773.83</v>
      </c>
      <c r="BP47" s="31" t="n">
        <v>976123.34</v>
      </c>
      <c r="BQ47" s="31" t="n">
        <v>179885.81</v>
      </c>
      <c r="BR47" s="31" t="n">
        <v>168117.58</v>
      </c>
      <c r="BS47" s="31" t="n">
        <v>6595.81</v>
      </c>
      <c r="BT47" s="31" t="n">
        <v>5884.12</v>
      </c>
      <c r="BU47" s="31" t="n">
        <v>156229.36</v>
      </c>
      <c r="BV47" s="31" t="n">
        <v>146008.74</v>
      </c>
      <c r="BW47" s="31" t="n">
        <v>15807.81</v>
      </c>
      <c r="BX47" s="31" t="n">
        <v>7694.61</v>
      </c>
      <c r="BY47" s="31" t="n">
        <v>4181.96</v>
      </c>
      <c r="BZ47" s="31" t="n">
        <v>8793.84</v>
      </c>
      <c r="CA47" s="31" t="n">
        <v>26346.35</v>
      </c>
      <c r="CB47" s="31" t="n">
        <v>24622.76</v>
      </c>
      <c r="CC47" s="31" t="n">
        <v>153388.82</v>
      </c>
      <c r="CD47" s="31" t="n">
        <v>219013.11</v>
      </c>
      <c r="CE47" s="31" t="n">
        <v>37495.05</v>
      </c>
      <c r="CF47" s="31" t="n">
        <v>35042.1</v>
      </c>
      <c r="CG47" s="31" t="n">
        <f aca="false">SUM(CF47,CD47,CB47,BZ47,BX47,BV47,BT47,BR47,BP47,BN47,BL47,BJ47,BH47)</f>
        <v>2193719.28</v>
      </c>
      <c r="CH47" s="31" t="n">
        <f aca="false">CG47+BF47</f>
        <v>8943098.38</v>
      </c>
      <c r="CI47" s="31" t="n">
        <f aca="false">SUM(CE47,CC47,CA47,BY47,BW47,BU47,BS47,BQ47,BO47,BM47,BK47,BI47,BG47,BD47,BB47,AZ47,AX47,AV47,AT47,AR47,AP47,AN47)</f>
        <v>7958653.9</v>
      </c>
      <c r="CJ47" s="31" t="n">
        <f aca="false">CI47-CH47</f>
        <v>-984444.48</v>
      </c>
      <c r="CK47" s="31" t="str">
        <f aca="false">IF(CE47-CF47+CC47-CD47+CA47-CB47+BU47-BV47+BK47-BL47+BI47-BJ47 &gt; 0, CE47-CF47+CC47-CD47+CA47-CB47+BU47-BV47+BK47-BL47+BI47-BJ47, "-")</f>
        <v>-</v>
      </c>
      <c r="CL47" s="31" t="str">
        <f aca="false">IF(CJ47&lt;0,"⚠ Over Budget","✓ Within Budget")</f>
        <v>⚠ Over Budget</v>
      </c>
      <c r="CM47" s="33" t="s">
        <v>117</v>
      </c>
    </row>
    <row r="48" customFormat="false" ht="14.25" hidden="false" customHeight="false" outlineLevel="0" collapsed="false">
      <c r="A48" s="28" t="s">
        <v>103</v>
      </c>
      <c r="B48" s="28" t="n">
        <v>2025</v>
      </c>
      <c r="C48" s="28" t="n">
        <v>22</v>
      </c>
      <c r="D48" s="28" t="n">
        <v>0</v>
      </c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0</v>
      </c>
      <c r="N48" s="28" t="n">
        <v>0</v>
      </c>
      <c r="O48" s="28" t="n">
        <v>0</v>
      </c>
      <c r="P48" s="28" t="n">
        <v>0</v>
      </c>
      <c r="Q48" s="28" t="n">
        <v>0</v>
      </c>
      <c r="R48" s="28" t="n">
        <v>1</v>
      </c>
      <c r="S48" s="28" t="n">
        <v>21</v>
      </c>
      <c r="T48" s="28" t="n">
        <v>5</v>
      </c>
      <c r="U48" s="28" t="n">
        <v>16</v>
      </c>
      <c r="V48" s="28" t="n">
        <v>21</v>
      </c>
      <c r="W48" s="28" t="n">
        <v>0</v>
      </c>
      <c r="X48" s="28" t="n">
        <v>1</v>
      </c>
      <c r="Y48" s="28" t="n">
        <v>4</v>
      </c>
      <c r="Z48" s="28" t="n">
        <v>7</v>
      </c>
      <c r="AA48" s="28" t="n">
        <v>6</v>
      </c>
      <c r="AB48" s="28" t="n">
        <v>2</v>
      </c>
      <c r="AC48" s="28" t="n">
        <v>1</v>
      </c>
      <c r="AD48" s="29" t="n">
        <v>0</v>
      </c>
      <c r="AE48" s="29" t="n">
        <v>0.0148152562194671</v>
      </c>
      <c r="AF48" s="30" t="n">
        <v>59.5</v>
      </c>
      <c r="AG48" s="31" t="n">
        <v>1029067</v>
      </c>
      <c r="AH48" s="31" t="n">
        <v>1595906</v>
      </c>
      <c r="AI48" s="31" t="n">
        <v>2431572</v>
      </c>
      <c r="AJ48" s="31" t="n">
        <v>3825643</v>
      </c>
      <c r="AK48" s="31" t="n">
        <v>5664407</v>
      </c>
      <c r="AL48" s="31" t="n">
        <v>9646048</v>
      </c>
      <c r="AM48" s="31" t="n">
        <v>4179057.17</v>
      </c>
      <c r="AN48" s="31" t="n">
        <v>6334754.16</v>
      </c>
      <c r="AO48" s="31" t="n">
        <v>5920330.99</v>
      </c>
      <c r="AP48" s="31" t="n">
        <v>633475.42</v>
      </c>
      <c r="AQ48" s="31" t="n">
        <v>592033.1</v>
      </c>
      <c r="AR48" s="31" t="n">
        <v>737135.03</v>
      </c>
      <c r="AS48" s="31" t="n">
        <v>1657721.38</v>
      </c>
      <c r="AT48" s="31" t="n">
        <v>316737.71</v>
      </c>
      <c r="AU48" s="31" t="n">
        <v>296016.55</v>
      </c>
      <c r="AV48" s="31" t="n">
        <v>18589.33</v>
      </c>
      <c r="AW48" s="31" t="n">
        <v>19786.15</v>
      </c>
      <c r="AX48" s="31" t="n">
        <v>14114.12</v>
      </c>
      <c r="AY48" s="31" t="n">
        <v>13190.76</v>
      </c>
      <c r="AZ48" s="31" t="n">
        <v>61802.48</v>
      </c>
      <c r="BA48" s="31" t="n">
        <v>608960.63</v>
      </c>
      <c r="BB48" s="31" t="n">
        <v>3625.61</v>
      </c>
      <c r="BC48" s="31" t="n">
        <v>0</v>
      </c>
      <c r="BD48" s="31" t="n">
        <v>399.25</v>
      </c>
      <c r="BE48" s="31" t="n">
        <v>0</v>
      </c>
      <c r="BF48" s="31" t="n">
        <f aca="false">SUM(BE48,BC48,BA48,AY48,AW48,AU48,AS48,AQ48,AO48)</f>
        <v>9108039.56</v>
      </c>
      <c r="BG48" s="31" t="n">
        <v>19671.94</v>
      </c>
      <c r="BH48" s="31" t="n">
        <v>14773.66</v>
      </c>
      <c r="BI48" s="31" t="n">
        <v>12937.94</v>
      </c>
      <c r="BJ48" s="31" t="n">
        <v>12091.53</v>
      </c>
      <c r="BK48" s="31" t="n">
        <v>9409.41</v>
      </c>
      <c r="BL48" s="31" t="n">
        <v>8793.84</v>
      </c>
      <c r="BM48" s="31" t="n">
        <v>39519.53</v>
      </c>
      <c r="BN48" s="31" t="n">
        <v>36934.14</v>
      </c>
      <c r="BO48" s="31" t="n">
        <v>3773.83</v>
      </c>
      <c r="BP48" s="31" t="n">
        <v>0</v>
      </c>
      <c r="BQ48" s="31" t="n">
        <v>179885.81</v>
      </c>
      <c r="BR48" s="31" t="n">
        <v>168117.58</v>
      </c>
      <c r="BS48" s="31" t="n">
        <v>5996.19</v>
      </c>
      <c r="BT48" s="31" t="n">
        <v>5884.12</v>
      </c>
      <c r="BU48" s="31" t="n">
        <v>158368.85</v>
      </c>
      <c r="BV48" s="31" t="n">
        <v>148008.27</v>
      </c>
      <c r="BW48" s="31" t="n">
        <v>11855.86</v>
      </c>
      <c r="BX48" s="31" t="n">
        <v>7694.61</v>
      </c>
      <c r="BY48" s="31" t="n">
        <v>173621.92</v>
      </c>
      <c r="BZ48" s="31" t="n">
        <v>57045.75</v>
      </c>
      <c r="CA48" s="31" t="n">
        <v>26346.35</v>
      </c>
      <c r="CB48" s="31" t="n">
        <v>24622.76</v>
      </c>
      <c r="CC48" s="31" t="n">
        <v>207319.23</v>
      </c>
      <c r="CD48" s="31" t="n">
        <v>222012.41</v>
      </c>
      <c r="CE48" s="31" t="n">
        <v>38008.52</v>
      </c>
      <c r="CF48" s="31" t="n">
        <v>35521.99</v>
      </c>
      <c r="CG48" s="31" t="n">
        <f aca="false">SUM(CF48,CD48,CB48,BZ48,BX48,BV48,BT48,BR48,BP48,BN48,BL48,BJ48,BH48)</f>
        <v>741500.66</v>
      </c>
      <c r="CH48" s="31" t="n">
        <f aca="false">CG48+BF48</f>
        <v>9849540.22</v>
      </c>
      <c r="CI48" s="31" t="n">
        <f aca="false">SUM(CE48,CC48,CA48,BY48,BW48,BU48,BS48,BQ48,BO48,BM48,BK48,BI48,BG48,BD48,BB48,AZ48,AX48,AV48,AT48,AR48,AP48,AN48)</f>
        <v>9007348.49</v>
      </c>
      <c r="CJ48" s="31" t="n">
        <f aca="false">CI48-CH48</f>
        <v>-842191.73</v>
      </c>
      <c r="CK48" s="31" t="n">
        <f aca="false">IF(CE48-CF48+CC48-CD48+CA48-CB48+BU48-BV48+BK48-BL48+BI48-BJ48 &gt; 0, CE48-CF48+CC48-CD48+CA48-CB48+BU48-BV48+BK48-BL48+BI48-BJ48, "-")</f>
        <v>1339.50000000002</v>
      </c>
      <c r="CL48" s="31" t="str">
        <f aca="false">IF(CJ48&lt;0,"⚠ Over Budget","✓ Within Budget")</f>
        <v>⚠ Over Budget</v>
      </c>
      <c r="CM48" s="33" t="s">
        <v>111</v>
      </c>
    </row>
    <row r="49" customFormat="false" ht="18.75" hidden="false" customHeight="true" outlineLevel="0" collapsed="false">
      <c r="A49" s="28" t="s">
        <v>104</v>
      </c>
      <c r="B49" s="28" t="n">
        <v>2025</v>
      </c>
      <c r="C49" s="28" t="n">
        <v>21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0</v>
      </c>
      <c r="S49" s="28" t="n">
        <v>21</v>
      </c>
      <c r="T49" s="28" t="n">
        <v>5</v>
      </c>
      <c r="U49" s="28" t="n">
        <v>16</v>
      </c>
      <c r="V49" s="28" t="n">
        <v>21</v>
      </c>
      <c r="W49" s="28" t="n">
        <v>0</v>
      </c>
      <c r="X49" s="28" t="n">
        <v>1</v>
      </c>
      <c r="Y49" s="28" t="n">
        <v>4</v>
      </c>
      <c r="Z49" s="28" t="n">
        <v>7</v>
      </c>
      <c r="AA49" s="28" t="n">
        <v>6</v>
      </c>
      <c r="AB49" s="28" t="n">
        <v>2</v>
      </c>
      <c r="AC49" s="28" t="n">
        <v>1</v>
      </c>
      <c r="AD49" s="29" t="n">
        <v>0</v>
      </c>
      <c r="AE49" s="29" t="n">
        <v>0</v>
      </c>
      <c r="AF49" s="30" t="n">
        <v>59.8</v>
      </c>
      <c r="AG49" s="31" t="n">
        <v>1029067</v>
      </c>
      <c r="AH49" s="31" t="n">
        <v>1595906</v>
      </c>
      <c r="AI49" s="31" t="n">
        <v>2431572</v>
      </c>
      <c r="AJ49" s="31" t="n">
        <v>3825643</v>
      </c>
      <c r="AK49" s="31" t="n">
        <v>5664407</v>
      </c>
      <c r="AL49" s="31" t="n">
        <v>9646048</v>
      </c>
      <c r="AM49" s="31" t="n">
        <v>4179057.17</v>
      </c>
      <c r="AN49" s="31" t="n">
        <v>5962121.57</v>
      </c>
      <c r="AO49" s="31" t="n">
        <v>5572076.23</v>
      </c>
      <c r="AP49" s="31" t="n">
        <v>596212.16</v>
      </c>
      <c r="AQ49" s="31" t="n">
        <v>557207.62</v>
      </c>
      <c r="AR49" s="31" t="n">
        <v>70461.44</v>
      </c>
      <c r="AS49" s="31" t="n">
        <v>0</v>
      </c>
      <c r="AT49" s="31" t="n">
        <v>298106.08</v>
      </c>
      <c r="AU49" s="31" t="n">
        <v>278603.81</v>
      </c>
      <c r="AV49" s="31" t="n">
        <v>20735.81</v>
      </c>
      <c r="AW49" s="31" t="n">
        <v>24829.67</v>
      </c>
      <c r="AX49" s="31" t="n">
        <v>13283.88</v>
      </c>
      <c r="AY49" s="31" t="n">
        <v>12414.84</v>
      </c>
      <c r="AZ49" s="31" t="n">
        <v>29083.52</v>
      </c>
      <c r="BA49" s="31" t="n">
        <v>0</v>
      </c>
      <c r="BB49" s="31" t="n">
        <v>1208.54</v>
      </c>
      <c r="BC49" s="31" t="n">
        <v>0</v>
      </c>
      <c r="BD49" s="31" t="n">
        <v>119774.76</v>
      </c>
      <c r="BE49" s="31" t="n">
        <v>208952.86</v>
      </c>
      <c r="BF49" s="31" t="n">
        <f aca="false">SUM(BE49,BC49,BA49,AY49,AW49,AU49,AS49,AQ49,AO49)</f>
        <v>6654085.03</v>
      </c>
      <c r="BG49" s="31" t="n">
        <v>24182.56</v>
      </c>
      <c r="BH49" s="31" t="n">
        <v>15890.99</v>
      </c>
      <c r="BI49" s="31" t="n">
        <v>12176.89</v>
      </c>
      <c r="BJ49" s="31" t="n">
        <v>11380.27</v>
      </c>
      <c r="BK49" s="31" t="n">
        <v>8855.92</v>
      </c>
      <c r="BL49" s="31" t="n">
        <v>8276.56</v>
      </c>
      <c r="BM49" s="31" t="n">
        <v>37194.85</v>
      </c>
      <c r="BN49" s="31" t="n">
        <v>34761.54</v>
      </c>
      <c r="BO49" s="31" t="n">
        <v>3773.83</v>
      </c>
      <c r="BP49" s="31" t="n">
        <v>0</v>
      </c>
      <c r="BQ49" s="31" t="n">
        <v>166048.44</v>
      </c>
      <c r="BR49" s="31" t="n">
        <v>155185.46</v>
      </c>
      <c r="BS49" s="31" t="n">
        <v>4981.45</v>
      </c>
      <c r="BT49" s="31" t="n">
        <v>5431.49</v>
      </c>
      <c r="BU49" s="31" t="n">
        <v>149053.04</v>
      </c>
      <c r="BV49" s="31" t="n">
        <v>139301.91</v>
      </c>
      <c r="BW49" s="31" t="n">
        <v>7438.97</v>
      </c>
      <c r="BX49" s="31" t="n">
        <v>7241.99</v>
      </c>
      <c r="BY49" s="31" t="n">
        <v>33966.29</v>
      </c>
      <c r="BZ49" s="31" t="n">
        <v>1601388.91</v>
      </c>
      <c r="CA49" s="31" t="n">
        <v>24796.57</v>
      </c>
      <c r="CB49" s="31" t="n">
        <v>23174.36</v>
      </c>
      <c r="CC49" s="31" t="n">
        <v>195123.98</v>
      </c>
      <c r="CD49" s="31" t="n">
        <v>208952.86</v>
      </c>
      <c r="CE49" s="31" t="n">
        <v>35772.73</v>
      </c>
      <c r="CF49" s="31" t="n">
        <v>33432.46</v>
      </c>
      <c r="CG49" s="31" t="n">
        <f aca="false">SUM(CF49,CD49,CB49,BZ49,BX49,BV49,BT49,BR49,BP49,BN49,BL49,BJ49,BH49)</f>
        <v>2244418.8</v>
      </c>
      <c r="CH49" s="31" t="n">
        <f aca="false">CG49+BF49</f>
        <v>8898503.83</v>
      </c>
      <c r="CI49" s="31" t="n">
        <f aca="false">SUM(CE49,CC49,CA49,BY49,BW49,BU49,BS49,BQ49,BO49,BM49,BK49,BI49,BG49,BD49,BB49,AZ49,AX49,AV49,AT49,AR49,AP49,AN49)</f>
        <v>7814353.28</v>
      </c>
      <c r="CJ49" s="31" t="n">
        <f aca="false">CI49-CH49</f>
        <v>-1084150.55</v>
      </c>
      <c r="CK49" s="31" t="n">
        <f aca="false">IF(CE49-CF49+CC49-CD49+CA49-CB49+BU49-BV49+BK49-BL49+BI49-BJ49 &gt; 0, CE49-CF49+CC49-CD49+CA49-CB49+BU49-BV49+BK49-BL49+BI49-BJ49, "-")</f>
        <v>1260.71000000001</v>
      </c>
      <c r="CL49" s="31" t="str">
        <f aca="false">IF(CJ49&lt;0,"⚠ Over Budget","✓ Within Budget")</f>
        <v>⚠ Over Budget</v>
      </c>
      <c r="CM49" s="33" t="s">
        <v>109</v>
      </c>
    </row>
    <row r="50" customFormat="false" ht="14.25" hidden="false" customHeight="false" outlineLevel="0" collapsed="false">
      <c r="A50" s="22" t="s">
        <v>105</v>
      </c>
      <c r="B50" s="22" t="n">
        <v>2025</v>
      </c>
      <c r="C50" s="22" t="n">
        <v>21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21</v>
      </c>
      <c r="T50" s="22" t="n">
        <v>4</v>
      </c>
      <c r="U50" s="22" t="n">
        <v>17</v>
      </c>
      <c r="V50" s="22" t="n">
        <v>21</v>
      </c>
      <c r="W50" s="22" t="n">
        <v>0</v>
      </c>
      <c r="X50" s="22" t="n">
        <v>1</v>
      </c>
      <c r="Y50" s="22" t="n">
        <v>4</v>
      </c>
      <c r="Z50" s="22" t="n">
        <v>7</v>
      </c>
      <c r="AA50" s="22" t="n">
        <v>6</v>
      </c>
      <c r="AB50" s="22" t="n">
        <v>2</v>
      </c>
      <c r="AC50" s="22" t="n">
        <v>1</v>
      </c>
      <c r="AD50" s="23" t="n">
        <v>0</v>
      </c>
      <c r="AE50" s="23" t="n">
        <v>0</v>
      </c>
      <c r="AF50" s="24" t="n">
        <v>60.1</v>
      </c>
      <c r="AG50" s="25" t="n">
        <v>1029067</v>
      </c>
      <c r="AH50" s="25" t="n">
        <v>1595906</v>
      </c>
      <c r="AI50" s="25" t="n">
        <v>2431572</v>
      </c>
      <c r="AJ50" s="25" t="n">
        <v>3825643</v>
      </c>
      <c r="AK50" s="25" t="n">
        <v>5664407</v>
      </c>
      <c r="AL50" s="25" t="n">
        <v>9646048</v>
      </c>
      <c r="AM50" s="25" t="n">
        <v>4179057.17</v>
      </c>
      <c r="AN50" s="25" t="n">
        <v>5589488.97</v>
      </c>
      <c r="AO50" s="25" t="n">
        <v>5223821.47</v>
      </c>
      <c r="AP50" s="25" t="n">
        <v>558948.9</v>
      </c>
      <c r="AQ50" s="25" t="n">
        <v>522382.15</v>
      </c>
      <c r="AR50" s="25" t="n">
        <v>2439049.73</v>
      </c>
      <c r="AS50" s="25" t="n">
        <v>522382.15</v>
      </c>
      <c r="AT50" s="25" t="n">
        <v>279474.45</v>
      </c>
      <c r="AU50" s="25" t="n">
        <v>261191.07</v>
      </c>
      <c r="AV50" s="25" t="n">
        <v>17009.84</v>
      </c>
      <c r="AW50" s="25" t="n">
        <v>23277.82</v>
      </c>
      <c r="AX50" s="25" t="n">
        <v>12453.63</v>
      </c>
      <c r="AY50" s="25" t="n">
        <v>11638.91</v>
      </c>
      <c r="AZ50" s="25" t="n">
        <v>40898.7</v>
      </c>
      <c r="BA50" s="25" t="n">
        <v>0</v>
      </c>
      <c r="BB50" s="25" t="n">
        <v>1208.54</v>
      </c>
      <c r="BC50" s="25" t="n">
        <v>0</v>
      </c>
      <c r="BD50" s="25" t="n">
        <v>119774.76</v>
      </c>
      <c r="BE50" s="25" t="n">
        <v>208952.86</v>
      </c>
      <c r="BF50" s="25" t="n">
        <f aca="false">SUM(BE50,BC50,BA50,AY50,AW50,AU50,AS50,AQ50,AO50)</f>
        <v>6773646.43</v>
      </c>
      <c r="BG50" s="25" t="n">
        <v>3719.49</v>
      </c>
      <c r="BH50" s="25" t="n">
        <v>6517.79</v>
      </c>
      <c r="BI50" s="25" t="n">
        <v>11415.83</v>
      </c>
      <c r="BJ50" s="25" t="n">
        <v>10669</v>
      </c>
      <c r="BK50" s="25" t="n">
        <v>8302.42</v>
      </c>
      <c r="BL50" s="25" t="n">
        <v>7759.27</v>
      </c>
      <c r="BM50" s="25" t="n">
        <v>34870.17</v>
      </c>
      <c r="BN50" s="25" t="n">
        <v>32588.95</v>
      </c>
      <c r="BO50" s="25" t="n">
        <v>3773.83</v>
      </c>
      <c r="BP50" s="25" t="n">
        <v>0</v>
      </c>
      <c r="BQ50" s="25" t="n">
        <v>166048.44</v>
      </c>
      <c r="BR50" s="25" t="n">
        <v>155185.46</v>
      </c>
      <c r="BS50" s="25" t="n">
        <v>4427.96</v>
      </c>
      <c r="BT50" s="25" t="n">
        <v>5431.49</v>
      </c>
      <c r="BU50" s="25" t="n">
        <v>139737.22</v>
      </c>
      <c r="BV50" s="25" t="n">
        <v>130595.54</v>
      </c>
      <c r="BW50" s="25" t="n">
        <v>3487.02</v>
      </c>
      <c r="BX50" s="25" t="n">
        <v>6789.36</v>
      </c>
      <c r="BY50" s="25" t="n">
        <v>34541.2</v>
      </c>
      <c r="BZ50" s="25" t="n">
        <v>24211.12</v>
      </c>
      <c r="CA50" s="25" t="n">
        <v>23246.78</v>
      </c>
      <c r="CB50" s="25" t="n">
        <v>21725.96</v>
      </c>
      <c r="CC50" s="25" t="n">
        <v>114330.46</v>
      </c>
      <c r="CD50" s="25" t="n">
        <v>195893.3</v>
      </c>
      <c r="CE50" s="25" t="n">
        <v>33536.93</v>
      </c>
      <c r="CF50" s="25" t="n">
        <v>31342.93</v>
      </c>
      <c r="CG50" s="25" t="n">
        <f aca="false">SUM(CF50,CD50,CB50,BZ50,BX50,BV50,BT50,BR50,BP50,BN50,BL50,BJ50,BH50)</f>
        <v>628710.17</v>
      </c>
      <c r="CH50" s="25" t="n">
        <f aca="false">CG50+BF50</f>
        <v>7402356.6</v>
      </c>
      <c r="CI50" s="25" t="n">
        <f aca="false">SUM(CE50,CC50,CA50,BY50,BW50,BU50,BS50,BQ50,BO50,BM50,BK50,BI50,BG50,BD50,BB50,AZ50,AX50,AV50,AT50,AR50,AP50,AN50)</f>
        <v>9639745.27</v>
      </c>
      <c r="CJ50" s="25" t="n">
        <f aca="false">CI50-CH50</f>
        <v>2237388.67</v>
      </c>
      <c r="CK50" s="25" t="str">
        <f aca="false">IF(CE50-CF50+CC50-CD50+CA50-CB50+BU50-BV50+BK50-BL50+BI50-BJ50 &gt; 0, CE50-CF50+CC50-CD50+CA50-CB50+BU50-BV50+BK50-BL50+BI50-BJ50, "-")</f>
        <v>-</v>
      </c>
      <c r="CL50" s="25" t="str">
        <f aca="false">IF(CJ50&lt;0,"⚠ Over Budget","✓ Within Budget")</f>
        <v>✓ Within Budget</v>
      </c>
      <c r="CM50" s="27"/>
    </row>
    <row r="51" customFormat="false" ht="14.25" hidden="false" customHeight="false" outlineLevel="0" collapsed="false">
      <c r="A51" s="28" t="s">
        <v>92</v>
      </c>
      <c r="B51" s="28" t="n">
        <v>2026</v>
      </c>
      <c r="C51" s="28" t="n">
        <v>21</v>
      </c>
      <c r="D51" s="28" t="n">
        <v>0</v>
      </c>
      <c r="E51" s="28" t="n">
        <v>1</v>
      </c>
      <c r="F51" s="28" t="n">
        <v>1</v>
      </c>
      <c r="G51" s="28" t="n">
        <v>1</v>
      </c>
      <c r="H51" s="28" t="n">
        <v>0</v>
      </c>
      <c r="I51" s="28" t="n">
        <v>0</v>
      </c>
      <c r="J51" s="28" t="n">
        <v>3</v>
      </c>
      <c r="K51" s="28" t="n">
        <v>1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1</v>
      </c>
      <c r="Q51" s="28" t="n">
        <v>1</v>
      </c>
      <c r="R51" s="28" t="n">
        <v>0</v>
      </c>
      <c r="S51" s="28" t="n">
        <v>23</v>
      </c>
      <c r="T51" s="28" t="n">
        <v>6</v>
      </c>
      <c r="U51" s="28" t="n">
        <v>17</v>
      </c>
      <c r="V51" s="28" t="n">
        <v>23</v>
      </c>
      <c r="W51" s="28" t="n">
        <v>0</v>
      </c>
      <c r="X51" s="28" t="n">
        <v>1</v>
      </c>
      <c r="Y51" s="28" t="n">
        <v>4</v>
      </c>
      <c r="Z51" s="28" t="n">
        <v>8</v>
      </c>
      <c r="AA51" s="28" t="n">
        <v>6</v>
      </c>
      <c r="AB51" s="28" t="n">
        <v>3</v>
      </c>
      <c r="AC51" s="28" t="n">
        <v>1</v>
      </c>
      <c r="AD51" s="29" t="n">
        <v>0.571429</v>
      </c>
      <c r="AE51" s="29" t="n">
        <v>0</v>
      </c>
      <c r="AF51" s="30" t="n">
        <v>60.5</v>
      </c>
      <c r="AG51" s="31" t="n">
        <v>1029067</v>
      </c>
      <c r="AH51" s="31" t="n">
        <v>1595906</v>
      </c>
      <c r="AI51" s="31" t="n">
        <v>2431572</v>
      </c>
      <c r="AJ51" s="31" t="n">
        <v>3825643</v>
      </c>
      <c r="AK51" s="31" t="n">
        <v>5664407</v>
      </c>
      <c r="AL51" s="31" t="n">
        <v>9646048</v>
      </c>
      <c r="AM51" s="31" t="n">
        <v>4036898.97</v>
      </c>
      <c r="AN51" s="31" t="n">
        <v>5759309.19</v>
      </c>
      <c r="AO51" s="31" t="n">
        <v>5867945.06</v>
      </c>
      <c r="AP51" s="31" t="n">
        <v>575930.92</v>
      </c>
      <c r="AQ51" s="31" t="n">
        <v>538253.2</v>
      </c>
      <c r="AR51" s="31" t="n">
        <v>94243.24</v>
      </c>
      <c r="AS51" s="31" t="n">
        <v>322951.92</v>
      </c>
      <c r="AT51" s="31" t="n">
        <v>287965.46</v>
      </c>
      <c r="AU51" s="31" t="n">
        <v>269126.6</v>
      </c>
      <c r="AV51" s="31" t="n">
        <v>20030.44</v>
      </c>
      <c r="AW51" s="31" t="n">
        <v>23985.05</v>
      </c>
      <c r="AX51" s="31" t="n">
        <v>12832</v>
      </c>
      <c r="AY51" s="31" t="n">
        <v>11992.52</v>
      </c>
      <c r="AZ51" s="31" t="n">
        <v>14047.1</v>
      </c>
      <c r="BA51" s="31" t="n">
        <v>0</v>
      </c>
      <c r="BB51" s="31" t="n">
        <v>35022.83</v>
      </c>
      <c r="BC51" s="31" t="n">
        <v>909944.31</v>
      </c>
      <c r="BD51" s="31" t="n">
        <v>925.6</v>
      </c>
      <c r="BE51" s="31" t="n">
        <v>0</v>
      </c>
      <c r="BF51" s="31" t="n">
        <f aca="false">SUM(BE51,BC51,BA51,AY51,AW51,AU51,AS51,AQ51,AO51)</f>
        <v>7944198.66</v>
      </c>
      <c r="BG51" s="31" t="n">
        <v>2554.99</v>
      </c>
      <c r="BH51" s="31" t="n">
        <v>6715.81</v>
      </c>
      <c r="BI51" s="31" t="n">
        <v>11762.67</v>
      </c>
      <c r="BJ51" s="31" t="n">
        <v>10993.15</v>
      </c>
      <c r="BK51" s="31" t="n">
        <v>8554.67</v>
      </c>
      <c r="BL51" s="31" t="n">
        <v>7995.02</v>
      </c>
      <c r="BM51" s="31" t="n">
        <v>35929.6</v>
      </c>
      <c r="BN51" s="31" t="n">
        <v>33579.07</v>
      </c>
      <c r="BO51" s="31" t="n">
        <v>76554.55</v>
      </c>
      <c r="BP51" s="31" t="n">
        <v>454776.96</v>
      </c>
      <c r="BQ51" s="31" t="n">
        <v>160400</v>
      </c>
      <c r="BR51" s="31" t="n">
        <v>149906.54</v>
      </c>
      <c r="BS51" s="31" t="n">
        <v>4812</v>
      </c>
      <c r="BT51" s="31" t="n">
        <v>5246.73</v>
      </c>
      <c r="BU51" s="31" t="n">
        <v>143982.73</v>
      </c>
      <c r="BV51" s="31" t="n">
        <v>134563.3</v>
      </c>
      <c r="BW51" s="31" t="n">
        <v>3592.96</v>
      </c>
      <c r="BX51" s="31" t="n">
        <v>6995.64</v>
      </c>
      <c r="BY51" s="31" t="n">
        <v>3802.07</v>
      </c>
      <c r="BZ51" s="31" t="n">
        <v>7995.02</v>
      </c>
      <c r="CA51" s="31" t="n">
        <v>23953.07</v>
      </c>
      <c r="CB51" s="31" t="n">
        <v>22386.04</v>
      </c>
      <c r="CC51" s="31" t="n">
        <v>117804.05</v>
      </c>
      <c r="CD51" s="31" t="n">
        <v>201844.95</v>
      </c>
      <c r="CE51" s="31" t="n">
        <v>34555.86</v>
      </c>
      <c r="CF51" s="31" t="n">
        <v>32295.19</v>
      </c>
      <c r="CG51" s="31" t="n">
        <f aca="false">SUM(CF51,CD51,CB51,BZ51,BX51,BV51,BT51,BR51,BP51,BN51,BL51,BJ51,BH51)</f>
        <v>1075293.42</v>
      </c>
      <c r="CH51" s="31" t="n">
        <f aca="false">CG51+BF51</f>
        <v>9019492.08</v>
      </c>
      <c r="CI51" s="31" t="n">
        <f aca="false">SUM(CE51,CC51,CA51,BY51,BW51,BU51,BS51,BQ51,BO51,BM51,BK51,BI51,BG51,BD51,BB51,AZ51,AX51,AV51,AT51,AR51,AP51,AN51)</f>
        <v>7428566</v>
      </c>
      <c r="CJ51" s="31" t="n">
        <f aca="false">CI51-CH51</f>
        <v>-1590926.08</v>
      </c>
      <c r="CK51" s="31" t="str">
        <f aca="false">IF(CE51-CF51+CC51-CD51+CA51-CB51+BU51-BV51+BK51-BL51+BI51-BJ51 &gt; 0, CE51-CF51+CC51-CD51+CA51-CB51+BU51-BV51+BK51-BL51+BI51-BJ51, "-")</f>
        <v>-</v>
      </c>
      <c r="CL51" s="31" t="str">
        <f aca="false">IF(CJ51&lt;0,"⚠ Over Budget","✓ Within Budget")</f>
        <v>⚠ Over Budget</v>
      </c>
      <c r="CM51" s="33" t="s">
        <v>106</v>
      </c>
    </row>
    <row r="52" customFormat="false" ht="14.25" hidden="false" customHeight="false" outlineLevel="0" collapsed="false">
      <c r="A52" s="22" t="s">
        <v>93</v>
      </c>
      <c r="B52" s="22" t="n">
        <v>2026</v>
      </c>
      <c r="C52" s="22" t="n">
        <v>23</v>
      </c>
      <c r="D52" s="22" t="n">
        <v>1</v>
      </c>
      <c r="E52" s="22" t="n">
        <v>0</v>
      </c>
      <c r="F52" s="22" t="n">
        <v>1</v>
      </c>
      <c r="G52" s="22" t="n">
        <v>0</v>
      </c>
      <c r="H52" s="22" t="n">
        <v>0</v>
      </c>
      <c r="I52" s="22" t="n">
        <v>1</v>
      </c>
      <c r="J52" s="22" t="n">
        <v>2</v>
      </c>
      <c r="K52" s="22" t="n">
        <v>1</v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1</v>
      </c>
      <c r="Q52" s="22" t="n">
        <v>1</v>
      </c>
      <c r="R52" s="22" t="n">
        <v>1</v>
      </c>
      <c r="S52" s="22" t="n">
        <v>23</v>
      </c>
      <c r="T52" s="22" t="n">
        <v>5</v>
      </c>
      <c r="U52" s="22" t="n">
        <v>18</v>
      </c>
      <c r="V52" s="22" t="n">
        <v>23</v>
      </c>
      <c r="W52" s="22" t="n">
        <v>0</v>
      </c>
      <c r="X52" s="22" t="n">
        <v>1</v>
      </c>
      <c r="Y52" s="22" t="n">
        <v>4</v>
      </c>
      <c r="Z52" s="22" t="n">
        <v>8</v>
      </c>
      <c r="AA52" s="22" t="n">
        <v>6</v>
      </c>
      <c r="AB52" s="22" t="n">
        <v>3</v>
      </c>
      <c r="AC52" s="22" t="n">
        <v>1</v>
      </c>
      <c r="AD52" s="23" t="n">
        <v>0.521739</v>
      </c>
      <c r="AE52" s="23" t="n">
        <v>0</v>
      </c>
      <c r="AF52" s="24" t="n">
        <v>60.8</v>
      </c>
      <c r="AG52" s="25" t="n">
        <v>1029067</v>
      </c>
      <c r="AH52" s="25" t="n">
        <v>1595906</v>
      </c>
      <c r="AI52" s="25" t="n">
        <v>2431572</v>
      </c>
      <c r="AJ52" s="25" t="n">
        <v>3825643</v>
      </c>
      <c r="AK52" s="25" t="n">
        <v>5664407</v>
      </c>
      <c r="AL52" s="25" t="n">
        <v>9646048</v>
      </c>
      <c r="AM52" s="25" t="n">
        <v>4036898.97</v>
      </c>
      <c r="AN52" s="25" t="n">
        <v>6479222.84</v>
      </c>
      <c r="AO52" s="25" t="n">
        <v>6055348.45</v>
      </c>
      <c r="AP52" s="25" t="n">
        <v>647922.28</v>
      </c>
      <c r="AQ52" s="25" t="n">
        <v>605534.85</v>
      </c>
      <c r="AR52" s="25" t="n">
        <v>17670.61</v>
      </c>
      <c r="AS52" s="25" t="n">
        <v>0</v>
      </c>
      <c r="AT52" s="25" t="n">
        <v>323961.14</v>
      </c>
      <c r="AU52" s="25" t="n">
        <v>302767.42</v>
      </c>
      <c r="AV52" s="25" t="n">
        <v>22534.24</v>
      </c>
      <c r="AW52" s="25" t="n">
        <v>26983.18</v>
      </c>
      <c r="AX52" s="25" t="n">
        <v>14436</v>
      </c>
      <c r="AY52" s="25" t="n">
        <v>13491.59</v>
      </c>
      <c r="AZ52" s="25" t="n">
        <v>15802.98</v>
      </c>
      <c r="BA52" s="25" t="n">
        <v>0</v>
      </c>
      <c r="BB52" s="25" t="n">
        <v>70045.65</v>
      </c>
      <c r="BC52" s="25" t="n">
        <v>67281.65</v>
      </c>
      <c r="BD52" s="25" t="n">
        <v>1157</v>
      </c>
      <c r="BE52" s="25" t="n">
        <v>0</v>
      </c>
      <c r="BF52" s="25" t="n">
        <f aca="false">SUM(BE52,BC52,BA52,AY52,AW52,AU52,AS52,AQ52,AO52)</f>
        <v>7071407.14</v>
      </c>
      <c r="BG52" s="25" t="n">
        <v>2874.37</v>
      </c>
      <c r="BH52" s="25" t="n">
        <v>7555.29</v>
      </c>
      <c r="BI52" s="25" t="n">
        <v>13233</v>
      </c>
      <c r="BJ52" s="25" t="n">
        <v>12367.29</v>
      </c>
      <c r="BK52" s="25" t="n">
        <v>9624</v>
      </c>
      <c r="BL52" s="25" t="n">
        <v>8994.39</v>
      </c>
      <c r="BM52" s="25" t="n">
        <v>40420.8</v>
      </c>
      <c r="BN52" s="25" t="n">
        <v>37776.45</v>
      </c>
      <c r="BO52" s="25" t="n">
        <v>51036.36</v>
      </c>
      <c r="BP52" s="25" t="n">
        <v>87445.48</v>
      </c>
      <c r="BQ52" s="25" t="n">
        <v>187133.33</v>
      </c>
      <c r="BR52" s="25" t="n">
        <v>174890.97</v>
      </c>
      <c r="BS52" s="25" t="n">
        <v>5614</v>
      </c>
      <c r="BT52" s="25" t="n">
        <v>6121.18</v>
      </c>
      <c r="BU52" s="25" t="n">
        <v>161980.57</v>
      </c>
      <c r="BV52" s="25" t="n">
        <v>151383.71</v>
      </c>
      <c r="BW52" s="25" t="n">
        <v>4042.08</v>
      </c>
      <c r="BX52" s="25" t="n">
        <v>7870.09</v>
      </c>
      <c r="BY52" s="25" t="n">
        <v>4277.33</v>
      </c>
      <c r="BZ52" s="25" t="n">
        <v>8994.39</v>
      </c>
      <c r="CA52" s="25" t="n">
        <v>26947.2</v>
      </c>
      <c r="CB52" s="25" t="n">
        <v>25184.3</v>
      </c>
      <c r="CC52" s="25" t="n">
        <v>132529.56</v>
      </c>
      <c r="CD52" s="25" t="n">
        <v>227075.57</v>
      </c>
      <c r="CE52" s="25" t="n">
        <v>38875.34</v>
      </c>
      <c r="CF52" s="25" t="n">
        <v>36332.09</v>
      </c>
      <c r="CG52" s="25" t="n">
        <f aca="false">SUM(CF52,CD52,CB52,BZ52,BX52,BV52,BT52,BR52,BP52,BN52,BL52,BJ52,BH52)</f>
        <v>791991.2</v>
      </c>
      <c r="CH52" s="25" t="n">
        <f aca="false">CG52+BF52</f>
        <v>7863398.34</v>
      </c>
      <c r="CI52" s="25" t="n">
        <f aca="false">SUM(CE52,CC52,CA52,BY52,BW52,BU52,BS52,BQ52,BO52,BM52,BK52,BI52,BG52,BD52,BB52,AZ52,AX52,AV52,AT52,AR52,AP52,AN52)</f>
        <v>8271340.68</v>
      </c>
      <c r="CJ52" s="25" t="n">
        <f aca="false">CI52-CH52</f>
        <v>407942.339999999</v>
      </c>
      <c r="CK52" s="25" t="str">
        <f aca="false">IF(CE52-CF52+CC52-CD52+CA52-CB52+BU52-BV52+BK52-BL52+BI52-BJ52 &gt; 0, CE52-CF52+CC52-CD52+CA52-CB52+BU52-BV52+BK52-BL52+BI52-BJ52, "-")</f>
        <v>-</v>
      </c>
      <c r="CL52" s="25" t="str">
        <f aca="false">IF(CJ52&lt;0,"⚠ Over Budget","✓ Within Budget")</f>
        <v>✓ Within Budget</v>
      </c>
      <c r="CM52" s="27"/>
    </row>
    <row r="53" customFormat="false" ht="14.25" hidden="false" customHeight="false" outlineLevel="0" collapsed="false">
      <c r="A53" s="16" t="s">
        <v>94</v>
      </c>
      <c r="B53" s="16" t="n">
        <v>2026</v>
      </c>
      <c r="C53" s="16" t="n">
        <v>23</v>
      </c>
      <c r="D53" s="16" t="n">
        <v>0</v>
      </c>
      <c r="E53" s="16" t="n">
        <v>0</v>
      </c>
      <c r="F53" s="16" t="n">
        <v>0</v>
      </c>
      <c r="G53" s="16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1</v>
      </c>
      <c r="S53" s="16" t="n">
        <v>22</v>
      </c>
      <c r="T53" s="16" t="n">
        <v>5</v>
      </c>
      <c r="U53" s="16" t="n">
        <v>17</v>
      </c>
      <c r="V53" s="16" t="n">
        <v>22</v>
      </c>
      <c r="W53" s="16" t="n">
        <v>0</v>
      </c>
      <c r="X53" s="16" t="n">
        <v>1</v>
      </c>
      <c r="Y53" s="16" t="n">
        <v>4</v>
      </c>
      <c r="Z53" s="16" t="n">
        <v>7</v>
      </c>
      <c r="AA53" s="16" t="n">
        <v>6</v>
      </c>
      <c r="AB53" s="16" t="n">
        <v>2</v>
      </c>
      <c r="AC53" s="16" t="n">
        <v>2</v>
      </c>
      <c r="AD53" s="17" t="n">
        <v>0</v>
      </c>
      <c r="AE53" s="17" t="n">
        <v>0</v>
      </c>
      <c r="AF53" s="18" t="n">
        <v>61.2</v>
      </c>
      <c r="AG53" s="19" t="n">
        <v>1029067</v>
      </c>
      <c r="AH53" s="19" t="n">
        <v>1595906</v>
      </c>
      <c r="AI53" s="19" t="n">
        <v>2431572</v>
      </c>
      <c r="AJ53" s="19" t="n">
        <v>3825643</v>
      </c>
      <c r="AK53" s="19" t="n">
        <v>5664407</v>
      </c>
      <c r="AL53" s="19" t="n">
        <v>9646048</v>
      </c>
      <c r="AM53" s="19" t="n">
        <v>4036898.97</v>
      </c>
      <c r="AN53" s="19" t="n">
        <v>6479222.84</v>
      </c>
      <c r="AO53" s="19" t="n">
        <v>6055348.45</v>
      </c>
      <c r="AP53" s="19" t="n">
        <v>647922.28</v>
      </c>
      <c r="AQ53" s="19" t="n">
        <v>605534.85</v>
      </c>
      <c r="AR53" s="19" t="n">
        <v>29451.01</v>
      </c>
      <c r="AS53" s="19" t="n">
        <v>0</v>
      </c>
      <c r="AT53" s="19" t="n">
        <v>323961.14</v>
      </c>
      <c r="AU53" s="19" t="n">
        <v>302767.42</v>
      </c>
      <c r="AV53" s="19" t="n">
        <v>21125.85</v>
      </c>
      <c r="AW53" s="19" t="n">
        <v>20237.38</v>
      </c>
      <c r="AX53" s="19" t="n">
        <v>14436</v>
      </c>
      <c r="AY53" s="19" t="n">
        <v>13491.59</v>
      </c>
      <c r="AZ53" s="19" t="n">
        <v>50569.54</v>
      </c>
      <c r="BA53" s="19" t="n">
        <v>0</v>
      </c>
      <c r="BB53" s="19" t="n">
        <v>5837.14</v>
      </c>
      <c r="BC53" s="19" t="n">
        <v>0</v>
      </c>
      <c r="BD53" s="19" t="n">
        <v>1157</v>
      </c>
      <c r="BE53" s="19" t="n">
        <v>0</v>
      </c>
      <c r="BF53" s="19" t="n">
        <f aca="false">SUM(BE53,BC53,BA53,AY53,AW53,AU53,AS53,AQ53,AO53)</f>
        <v>6997379.69</v>
      </c>
      <c r="BG53" s="19" t="n">
        <v>2874.37</v>
      </c>
      <c r="BH53" s="19" t="n">
        <v>7555.29</v>
      </c>
      <c r="BI53" s="19" t="n">
        <v>13233</v>
      </c>
      <c r="BJ53" s="19" t="n">
        <v>12367.29</v>
      </c>
      <c r="BK53" s="19" t="n">
        <v>9624</v>
      </c>
      <c r="BL53" s="19" t="n">
        <v>8994.39</v>
      </c>
      <c r="BM53" s="19" t="n">
        <v>40420.8</v>
      </c>
      <c r="BN53" s="19" t="n">
        <v>37776.45</v>
      </c>
      <c r="BO53" s="19" t="n">
        <v>3645.45</v>
      </c>
      <c r="BP53" s="19" t="n">
        <v>0</v>
      </c>
      <c r="BQ53" s="19" t="n">
        <v>187133.33</v>
      </c>
      <c r="BR53" s="19" t="n">
        <v>174890.97</v>
      </c>
      <c r="BS53" s="19" t="n">
        <v>6237.78</v>
      </c>
      <c r="BT53" s="19" t="n">
        <v>6121.18</v>
      </c>
      <c r="BU53" s="19" t="n">
        <v>161980.57</v>
      </c>
      <c r="BV53" s="19" t="n">
        <v>151383.71</v>
      </c>
      <c r="BW53" s="19" t="n">
        <v>4042.08</v>
      </c>
      <c r="BX53" s="19" t="n">
        <v>7870.09</v>
      </c>
      <c r="BY53" s="19" t="n">
        <v>30332.15</v>
      </c>
      <c r="BZ53" s="19" t="n">
        <v>26576.07</v>
      </c>
      <c r="CA53" s="19" t="n">
        <v>26947.2</v>
      </c>
      <c r="CB53" s="19" t="n">
        <v>25184.3</v>
      </c>
      <c r="CC53" s="19" t="n">
        <v>2244647.99</v>
      </c>
      <c r="CD53" s="19" t="n">
        <v>769194.02</v>
      </c>
      <c r="CE53" s="19" t="n">
        <v>38875.34</v>
      </c>
      <c r="CF53" s="19" t="n">
        <v>36332.09</v>
      </c>
      <c r="CG53" s="19" t="n">
        <f aca="false">SUM(CF53,CD53,CB53,BZ53,BX53,BV53,BT53,BR53,BP53,BN53,BL53,BJ53,BH53)</f>
        <v>1264245.85</v>
      </c>
      <c r="CH53" s="19" t="n">
        <f aca="false">CG53+BF53</f>
        <v>8261625.54</v>
      </c>
      <c r="CI53" s="19" t="n">
        <f aca="false">SUM(CE53,CC53,CA53,BY53,BW53,BU53,BS53,BQ53,BO53,BM53,BK53,BI53,BG53,BD53,BB53,AZ53,AX53,AV53,AT53,AR53,AP53,AN53)</f>
        <v>10343676.86</v>
      </c>
      <c r="CJ53" s="19" t="n">
        <f aca="false">CI53-CH53</f>
        <v>2082051.32</v>
      </c>
      <c r="CK53" s="19" t="n">
        <f aca="false">IF(CE53-CF53+CC53-CD53+CA53-CB53+BU53-BV53+BK53-BL53+BI53-BJ53 &gt; 0, CE53-CF53+CC53-CD53+CA53-CB53+BU53-BV53+BK53-BL53+BI53-BJ53, "-")</f>
        <v>1491852.3</v>
      </c>
      <c r="CL53" s="19" t="str">
        <f aca="false">IF(CJ53&lt;0,"⚠ Over Budget","✓ Within Budget")</f>
        <v>✓ Within Budget</v>
      </c>
      <c r="CM53" s="21"/>
    </row>
    <row r="54" customFormat="false" ht="18.75" hidden="false" customHeight="true" outlineLevel="0" collapsed="false">
      <c r="A54" s="28" t="s">
        <v>96</v>
      </c>
      <c r="B54" s="28" t="n">
        <v>2026</v>
      </c>
      <c r="C54" s="28" t="n">
        <v>22</v>
      </c>
      <c r="D54" s="28" t="n">
        <v>0</v>
      </c>
      <c r="E54" s="28" t="n">
        <v>0</v>
      </c>
      <c r="F54" s="28" t="n">
        <v>0</v>
      </c>
      <c r="G54" s="28" t="n">
        <v>0</v>
      </c>
      <c r="H54" s="28" t="n">
        <v>0</v>
      </c>
      <c r="I54" s="28" t="n">
        <v>0</v>
      </c>
      <c r="J54" s="28" t="n">
        <v>0</v>
      </c>
      <c r="K54" s="28" t="n">
        <v>0</v>
      </c>
      <c r="L54" s="28" t="n">
        <v>0</v>
      </c>
      <c r="M54" s="28" t="n">
        <v>0</v>
      </c>
      <c r="N54" s="28" t="n">
        <v>0</v>
      </c>
      <c r="O54" s="28" t="n">
        <v>0</v>
      </c>
      <c r="P54" s="28" t="n">
        <v>0</v>
      </c>
      <c r="Q54" s="28" t="n">
        <v>0</v>
      </c>
      <c r="R54" s="28" t="n">
        <v>0</v>
      </c>
      <c r="S54" s="28" t="n">
        <v>22</v>
      </c>
      <c r="T54" s="28" t="n">
        <v>5</v>
      </c>
      <c r="U54" s="28" t="n">
        <v>17</v>
      </c>
      <c r="V54" s="28" t="n">
        <v>22</v>
      </c>
      <c r="W54" s="28" t="n">
        <v>0</v>
      </c>
      <c r="X54" s="28" t="n">
        <v>1</v>
      </c>
      <c r="Y54" s="28" t="n">
        <v>4</v>
      </c>
      <c r="Z54" s="28" t="n">
        <v>7</v>
      </c>
      <c r="AA54" s="28" t="n">
        <v>6</v>
      </c>
      <c r="AB54" s="28" t="n">
        <v>2</v>
      </c>
      <c r="AC54" s="28" t="n">
        <v>2</v>
      </c>
      <c r="AD54" s="29" t="n">
        <v>0</v>
      </c>
      <c r="AE54" s="29" t="n">
        <v>0.0922588279945454</v>
      </c>
      <c r="AF54" s="30" t="n">
        <v>61.5</v>
      </c>
      <c r="AG54" s="31" t="n">
        <v>1150949</v>
      </c>
      <c r="AH54" s="31" t="n">
        <v>1757914</v>
      </c>
      <c r="AI54" s="31" t="n">
        <v>2660848</v>
      </c>
      <c r="AJ54" s="31" t="n">
        <v>4162431</v>
      </c>
      <c r="AK54" s="31" t="n">
        <v>6090132</v>
      </c>
      <c r="AL54" s="31" t="n">
        <v>10332493</v>
      </c>
      <c r="AM54" s="31" t="n">
        <v>4387584.87</v>
      </c>
      <c r="AN54" s="31" t="n">
        <v>7042073.72</v>
      </c>
      <c r="AO54" s="31" t="n">
        <v>8676804.92</v>
      </c>
      <c r="AP54" s="31" t="n">
        <v>704207.37</v>
      </c>
      <c r="AQ54" s="31" t="n">
        <v>658137.73</v>
      </c>
      <c r="AR54" s="31" t="n">
        <v>358505.57</v>
      </c>
      <c r="AS54" s="31" t="n">
        <v>1857648.16</v>
      </c>
      <c r="AT54" s="31" t="n">
        <v>352103.69</v>
      </c>
      <c r="AU54" s="31" t="n">
        <v>329068.87</v>
      </c>
      <c r="AV54" s="31" t="n">
        <v>25351.02</v>
      </c>
      <c r="AW54" s="31" t="n">
        <v>20237.38</v>
      </c>
      <c r="AX54" s="31" t="n">
        <v>14436</v>
      </c>
      <c r="AY54" s="31" t="n">
        <v>13491.59</v>
      </c>
      <c r="AZ54" s="31" t="n">
        <v>68703.16</v>
      </c>
      <c r="BA54" s="31" t="n">
        <v>0</v>
      </c>
      <c r="BB54" s="31" t="n">
        <v>6344.21</v>
      </c>
      <c r="BC54" s="31" t="n">
        <v>0</v>
      </c>
      <c r="BD54" s="31" t="n">
        <v>419.17</v>
      </c>
      <c r="BE54" s="31" t="n">
        <v>0</v>
      </c>
      <c r="BF54" s="31" t="n">
        <f aca="false">SUM(BE54,BC54,BA54,AY54,AW54,AU54,AS54,AQ54,AO54)</f>
        <v>11555388.65</v>
      </c>
      <c r="BG54" s="31" t="n">
        <v>49685.5</v>
      </c>
      <c r="BH54" s="31" t="n">
        <v>23745.2</v>
      </c>
      <c r="BI54" s="31" t="n">
        <v>13233</v>
      </c>
      <c r="BJ54" s="31" t="n">
        <v>12367.29</v>
      </c>
      <c r="BK54" s="31" t="n">
        <v>9624</v>
      </c>
      <c r="BL54" s="31" t="n">
        <v>8994.39</v>
      </c>
      <c r="BM54" s="31" t="n">
        <v>40420.8</v>
      </c>
      <c r="BN54" s="31" t="n">
        <v>37776.45</v>
      </c>
      <c r="BO54" s="31" t="n">
        <v>18227.27</v>
      </c>
      <c r="BP54" s="31" t="n">
        <v>0</v>
      </c>
      <c r="BQ54" s="31" t="n">
        <v>187133.33</v>
      </c>
      <c r="BR54" s="31" t="n">
        <v>174890.97</v>
      </c>
      <c r="BS54" s="31" t="n">
        <v>6237.78</v>
      </c>
      <c r="BT54" s="31" t="n">
        <v>6121.18</v>
      </c>
      <c r="BU54" s="31" t="n">
        <v>176051.84</v>
      </c>
      <c r="BV54" s="31" t="n">
        <v>164534.43</v>
      </c>
      <c r="BW54" s="31" t="n">
        <v>16168.32</v>
      </c>
      <c r="BX54" s="31" t="n">
        <v>7870.09</v>
      </c>
      <c r="BY54" s="31" t="n">
        <v>4277.33</v>
      </c>
      <c r="BZ54" s="31" t="n">
        <v>8994.39</v>
      </c>
      <c r="CA54" s="31" t="n">
        <v>26947.2</v>
      </c>
      <c r="CB54" s="31" t="n">
        <v>25184.3</v>
      </c>
      <c r="CC54" s="31" t="n">
        <v>1965010.22</v>
      </c>
      <c r="CD54" s="31" t="n">
        <v>673367.99</v>
      </c>
      <c r="CE54" s="31" t="n">
        <v>42252.44</v>
      </c>
      <c r="CF54" s="31" t="n">
        <v>39488.26</v>
      </c>
      <c r="CG54" s="31" t="n">
        <f aca="false">SUM(CF54,CD54,CB54,BZ54,BX54,BV54,BT54,BR54,BP54,BN54,BL54,BJ54,BH54)</f>
        <v>1183334.94</v>
      </c>
      <c r="CH54" s="31" t="n">
        <f aca="false">CG54+BF54</f>
        <v>12738723.59</v>
      </c>
      <c r="CI54" s="31" t="n">
        <f aca="false">SUM(CE54,CC54,CA54,BY54,BW54,BU54,BS54,BQ54,BO54,BM54,BK54,BI54,BG54,BD54,BB54,AZ54,AX54,AV54,AT54,AR54,AP54,AN54)</f>
        <v>11127412.94</v>
      </c>
      <c r="CJ54" s="31" t="n">
        <f aca="false">CI54-CH54</f>
        <v>-1611310.65</v>
      </c>
      <c r="CK54" s="31" t="n">
        <f aca="false">IF(CE54-CF54+CC54-CD54+CA54-CB54+BU54-BV54+BK54-BL54+BI54-BJ54 &gt; 0, CE54-CF54+CC54-CD54+CA54-CB54+BU54-BV54+BK54-BL54+BI54-BJ54, "-")</f>
        <v>1309182.04</v>
      </c>
      <c r="CL54" s="31" t="str">
        <f aca="false">IF(CJ54&lt;0,"⚠ Over Budget","✓ Within Budget")</f>
        <v>⚠ Over Budget</v>
      </c>
      <c r="CM54" s="33" t="s">
        <v>107</v>
      </c>
    </row>
    <row r="55" customFormat="false" ht="14.25" hidden="false" customHeight="false" outlineLevel="0" collapsed="false">
      <c r="A55" s="16" t="s">
        <v>98</v>
      </c>
      <c r="B55" s="16" t="n">
        <v>2026</v>
      </c>
      <c r="C55" s="16" t="n">
        <v>22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22</v>
      </c>
      <c r="T55" s="16" t="n">
        <v>5</v>
      </c>
      <c r="U55" s="16" t="n">
        <v>17</v>
      </c>
      <c r="V55" s="16" t="n">
        <v>22</v>
      </c>
      <c r="W55" s="16" t="n">
        <v>0</v>
      </c>
      <c r="X55" s="16" t="n">
        <v>1</v>
      </c>
      <c r="Y55" s="16" t="n">
        <v>4</v>
      </c>
      <c r="Z55" s="16" t="n">
        <v>7</v>
      </c>
      <c r="AA55" s="16" t="n">
        <v>6</v>
      </c>
      <c r="AB55" s="16" t="n">
        <v>2</v>
      </c>
      <c r="AC55" s="16" t="n">
        <v>2</v>
      </c>
      <c r="AD55" s="17" t="n">
        <v>0</v>
      </c>
      <c r="AE55" s="17" t="n">
        <v>0</v>
      </c>
      <c r="AF55" s="18" t="n">
        <v>61.8</v>
      </c>
      <c r="AG55" s="19" t="n">
        <v>1150949</v>
      </c>
      <c r="AH55" s="19" t="n">
        <v>1757914</v>
      </c>
      <c r="AI55" s="19" t="n">
        <v>2660848</v>
      </c>
      <c r="AJ55" s="19" t="n">
        <v>4162431</v>
      </c>
      <c r="AK55" s="19" t="n">
        <v>6090132</v>
      </c>
      <c r="AL55" s="19" t="n">
        <v>10332493</v>
      </c>
      <c r="AM55" s="19" t="n">
        <v>4387584.87</v>
      </c>
      <c r="AN55" s="19" t="n">
        <v>7042073.72</v>
      </c>
      <c r="AO55" s="19" t="n">
        <v>6581377.31</v>
      </c>
      <c r="AP55" s="19" t="n">
        <v>704207.37</v>
      </c>
      <c r="AQ55" s="19" t="n">
        <v>658137.73</v>
      </c>
      <c r="AR55" s="19" t="n">
        <v>25607.54</v>
      </c>
      <c r="AS55" s="19" t="n">
        <v>0</v>
      </c>
      <c r="AT55" s="19" t="n">
        <v>352103.69</v>
      </c>
      <c r="AU55" s="19" t="n">
        <v>329068.87</v>
      </c>
      <c r="AV55" s="19" t="n">
        <v>27463.61</v>
      </c>
      <c r="AW55" s="19" t="n">
        <v>20237.38</v>
      </c>
      <c r="AX55" s="19" t="n">
        <v>14436</v>
      </c>
      <c r="AY55" s="19" t="n">
        <v>13491.59</v>
      </c>
      <c r="AZ55" s="19" t="n">
        <v>20610.95</v>
      </c>
      <c r="BA55" s="19" t="n">
        <v>0</v>
      </c>
      <c r="BB55" s="19" t="n">
        <v>2537.68</v>
      </c>
      <c r="BC55" s="19" t="n">
        <v>0</v>
      </c>
      <c r="BD55" s="19" t="n">
        <v>419.17</v>
      </c>
      <c r="BE55" s="19" t="n">
        <v>0</v>
      </c>
      <c r="BF55" s="19" t="n">
        <f aca="false">SUM(BE55,BC55,BA55,AY55,AW55,AU55,AS55,AQ55,AO55)</f>
        <v>7602312.88</v>
      </c>
      <c r="BG55" s="19" t="n">
        <v>33260.54</v>
      </c>
      <c r="BH55" s="19" t="n">
        <v>19427.89</v>
      </c>
      <c r="BI55" s="19" t="n">
        <v>13233</v>
      </c>
      <c r="BJ55" s="19" t="n">
        <v>12367.29</v>
      </c>
      <c r="BK55" s="19" t="n">
        <v>9624</v>
      </c>
      <c r="BL55" s="19" t="n">
        <v>8994.39</v>
      </c>
      <c r="BM55" s="19" t="n">
        <v>40420.8</v>
      </c>
      <c r="BN55" s="19" t="n">
        <v>37776.45</v>
      </c>
      <c r="BO55" s="19" t="n">
        <v>7290.91</v>
      </c>
      <c r="BP55" s="19" t="n">
        <v>0</v>
      </c>
      <c r="BQ55" s="19" t="n">
        <v>187133.33</v>
      </c>
      <c r="BR55" s="19" t="n">
        <v>174890.97</v>
      </c>
      <c r="BS55" s="19" t="n">
        <v>6861.56</v>
      </c>
      <c r="BT55" s="19" t="n">
        <v>6121.18</v>
      </c>
      <c r="BU55" s="19" t="n">
        <v>176051.84</v>
      </c>
      <c r="BV55" s="19" t="n">
        <v>164534.43</v>
      </c>
      <c r="BW55" s="19" t="n">
        <v>12126.24</v>
      </c>
      <c r="BX55" s="19" t="n">
        <v>7870.09</v>
      </c>
      <c r="BY55" s="19" t="n">
        <v>4277.33</v>
      </c>
      <c r="BZ55" s="19" t="n">
        <v>8994.39</v>
      </c>
      <c r="CA55" s="19" t="n">
        <v>26947.2</v>
      </c>
      <c r="CB55" s="19" t="n">
        <v>25184.3</v>
      </c>
      <c r="CC55" s="19" t="n">
        <v>230467.87</v>
      </c>
      <c r="CD55" s="19" t="n">
        <v>246801.65</v>
      </c>
      <c r="CE55" s="19" t="n">
        <v>42252.44</v>
      </c>
      <c r="CF55" s="19" t="n">
        <v>39488.26</v>
      </c>
      <c r="CG55" s="19" t="n">
        <f aca="false">SUM(CF55,CD55,CB55,BZ55,BX55,BV55,BT55,BR55,BP55,BN55,BL55,BJ55,BH55)</f>
        <v>752451.29</v>
      </c>
      <c r="CH55" s="19" t="n">
        <f aca="false">CG55+BF55</f>
        <v>8354764.17</v>
      </c>
      <c r="CI55" s="19" t="n">
        <f aca="false">SUM(CE55,CC55,CA55,BY55,BW55,BU55,BS55,BQ55,BO55,BM55,BK55,BI55,BG55,BD55,BB55,AZ55,AX55,AV55,AT55,AR55,AP55,AN55)</f>
        <v>8979406.79</v>
      </c>
      <c r="CJ55" s="19" t="n">
        <f aca="false">CI55-CH55</f>
        <v>624642.619999999</v>
      </c>
      <c r="CK55" s="19" t="n">
        <f aca="false">IF(CE55-CF55+CC55-CD55+CA55-CB55+BU55-BV55+BK55-BL55+BI55-BJ55 &gt; 0, CE55-CF55+CC55-CD55+CA55-CB55+BU55-BV55+BK55-BL55+BI55-BJ55, "-")</f>
        <v>1206.02999999999</v>
      </c>
      <c r="CL55" s="19" t="str">
        <f aca="false">IF(CJ55&lt;0,"⚠ Over Budget","✓ Within Budget")</f>
        <v>✓ Within Budget</v>
      </c>
      <c r="CM55" s="21"/>
    </row>
    <row r="56" customFormat="false" ht="18.75" hidden="false" customHeight="true" outlineLevel="0" collapsed="false">
      <c r="A56" s="28" t="s">
        <v>99</v>
      </c>
      <c r="B56" s="28" t="n">
        <v>2026</v>
      </c>
      <c r="C56" s="28" t="n">
        <v>22</v>
      </c>
      <c r="D56" s="28" t="n">
        <v>0</v>
      </c>
      <c r="E56" s="28" t="n">
        <v>0</v>
      </c>
      <c r="F56" s="28" t="n">
        <v>0</v>
      </c>
      <c r="G56" s="28" t="n">
        <v>0</v>
      </c>
      <c r="H56" s="28" t="n">
        <v>0</v>
      </c>
      <c r="I56" s="28" t="n">
        <v>0</v>
      </c>
      <c r="J56" s="28" t="n">
        <v>0</v>
      </c>
      <c r="K56" s="28" t="n">
        <v>0</v>
      </c>
      <c r="L56" s="28" t="n">
        <v>0</v>
      </c>
      <c r="M56" s="28" t="n">
        <v>0</v>
      </c>
      <c r="N56" s="28" t="n">
        <v>0</v>
      </c>
      <c r="O56" s="28" t="n">
        <v>0</v>
      </c>
      <c r="P56" s="28" t="n">
        <v>0</v>
      </c>
      <c r="Q56" s="28" t="n">
        <v>0</v>
      </c>
      <c r="R56" s="28" t="n">
        <v>0</v>
      </c>
      <c r="S56" s="28" t="n">
        <v>22</v>
      </c>
      <c r="T56" s="28" t="n">
        <v>4</v>
      </c>
      <c r="U56" s="28" t="n">
        <v>18</v>
      </c>
      <c r="V56" s="28" t="n">
        <v>22</v>
      </c>
      <c r="W56" s="28" t="n">
        <v>0</v>
      </c>
      <c r="X56" s="28" t="n">
        <v>1</v>
      </c>
      <c r="Y56" s="28" t="n">
        <v>4</v>
      </c>
      <c r="Z56" s="28" t="n">
        <v>7</v>
      </c>
      <c r="AA56" s="28" t="n">
        <v>6</v>
      </c>
      <c r="AB56" s="28" t="n">
        <v>2</v>
      </c>
      <c r="AC56" s="28" t="n">
        <v>2</v>
      </c>
      <c r="AD56" s="29" t="n">
        <v>0</v>
      </c>
      <c r="AE56" s="29" t="n">
        <v>0</v>
      </c>
      <c r="AF56" s="30" t="n">
        <v>62.1</v>
      </c>
      <c r="AG56" s="31" t="n">
        <v>1150949</v>
      </c>
      <c r="AH56" s="31" t="n">
        <v>1757914</v>
      </c>
      <c r="AI56" s="31" t="n">
        <v>2660848</v>
      </c>
      <c r="AJ56" s="31" t="n">
        <v>4162431</v>
      </c>
      <c r="AK56" s="31" t="n">
        <v>6090132</v>
      </c>
      <c r="AL56" s="31" t="n">
        <v>10332493</v>
      </c>
      <c r="AM56" s="31" t="n">
        <v>4387584.87</v>
      </c>
      <c r="AN56" s="31" t="n">
        <v>7042073.72</v>
      </c>
      <c r="AO56" s="31" t="n">
        <v>6581377.31</v>
      </c>
      <c r="AP56" s="31" t="n">
        <v>704207.37</v>
      </c>
      <c r="AQ56" s="31" t="n">
        <v>658137.73</v>
      </c>
      <c r="AR56" s="31" t="n">
        <v>25607.54</v>
      </c>
      <c r="AS56" s="31" t="n">
        <v>0</v>
      </c>
      <c r="AT56" s="31" t="n">
        <v>352103.69</v>
      </c>
      <c r="AU56" s="31" t="n">
        <v>329068.87</v>
      </c>
      <c r="AV56" s="31" t="n">
        <v>31688.78</v>
      </c>
      <c r="AW56" s="31" t="n">
        <v>20237.38</v>
      </c>
      <c r="AX56" s="31" t="n">
        <v>14436</v>
      </c>
      <c r="AY56" s="31" t="n">
        <v>13491.59</v>
      </c>
      <c r="AZ56" s="31" t="n">
        <v>20610.95</v>
      </c>
      <c r="BA56" s="31" t="n">
        <v>0</v>
      </c>
      <c r="BB56" s="31" t="n">
        <v>3806.53</v>
      </c>
      <c r="BC56" s="31" t="n">
        <v>0</v>
      </c>
      <c r="BD56" s="31" t="n">
        <v>838.34</v>
      </c>
      <c r="BE56" s="31" t="n">
        <v>0</v>
      </c>
      <c r="BF56" s="31" t="n">
        <f aca="false">SUM(BE56,BC56,BA56,AY56,AW56,AU56,AS56,AQ56,AO56)</f>
        <v>7602312.88</v>
      </c>
      <c r="BG56" s="31" t="n">
        <v>5748.74</v>
      </c>
      <c r="BH56" s="31" t="n">
        <v>7555.29</v>
      </c>
      <c r="BI56" s="31" t="n">
        <v>13233</v>
      </c>
      <c r="BJ56" s="31" t="n">
        <v>12367.29</v>
      </c>
      <c r="BK56" s="31" t="n">
        <v>9624</v>
      </c>
      <c r="BL56" s="31" t="n">
        <v>8994.39</v>
      </c>
      <c r="BM56" s="31" t="n">
        <v>40420.8</v>
      </c>
      <c r="BN56" s="31" t="n">
        <v>37776.45</v>
      </c>
      <c r="BO56" s="31" t="n">
        <v>3645.45</v>
      </c>
      <c r="BP56" s="31" t="n">
        <v>0</v>
      </c>
      <c r="BQ56" s="31" t="n">
        <v>200500</v>
      </c>
      <c r="BR56" s="31" t="n">
        <v>1623682.45</v>
      </c>
      <c r="BS56" s="31" t="n">
        <v>8688.33</v>
      </c>
      <c r="BT56" s="31" t="n">
        <v>622115.24</v>
      </c>
      <c r="BU56" s="31" t="n">
        <v>176051.84</v>
      </c>
      <c r="BV56" s="31" t="n">
        <v>164534.43</v>
      </c>
      <c r="BW56" s="31" t="n">
        <v>8084.16</v>
      </c>
      <c r="BX56" s="31" t="n">
        <v>7870.09</v>
      </c>
      <c r="BY56" s="31" t="n">
        <v>114839.6</v>
      </c>
      <c r="BZ56" s="31" t="n">
        <v>48297.03</v>
      </c>
      <c r="CA56" s="31" t="n">
        <v>26947.2</v>
      </c>
      <c r="CB56" s="31" t="n">
        <v>25184.3</v>
      </c>
      <c r="CC56" s="31" t="n">
        <v>144042.42</v>
      </c>
      <c r="CD56" s="31" t="n">
        <v>246801.65</v>
      </c>
      <c r="CE56" s="31" t="n">
        <v>42252.44</v>
      </c>
      <c r="CF56" s="31" t="n">
        <v>39488.26</v>
      </c>
      <c r="CG56" s="31" t="n">
        <f aca="false">SUM(CF56,CD56,CB56,BZ56,BX56,BV56,BT56,BR56,BP56,BN56,BL56,BJ56,BH56)</f>
        <v>2844666.87</v>
      </c>
      <c r="CH56" s="31" t="n">
        <f aca="false">CG56+BF56</f>
        <v>10446979.75</v>
      </c>
      <c r="CI56" s="31" t="n">
        <f aca="false">SUM(CE56,CC56,CA56,BY56,BW56,BU56,BS56,BQ56,BO56,BM56,BK56,BI56,BG56,BD56,BB56,AZ56,AX56,AV56,AT56,AR56,AP56,AN56)</f>
        <v>8989450.9</v>
      </c>
      <c r="CJ56" s="31" t="n">
        <f aca="false">CI56-CH56</f>
        <v>-1457528.85</v>
      </c>
      <c r="CK56" s="31" t="str">
        <f aca="false">IF(CE56-CF56+CC56-CD56+CA56-CB56+BU56-BV56+BK56-BL56+BI56-BJ56 &gt; 0, CE56-CF56+CC56-CD56+CA56-CB56+BU56-BV56+BK56-BL56+BI56-BJ56, "-")</f>
        <v>-</v>
      </c>
      <c r="CL56" s="31" t="str">
        <f aca="false">IF(CJ56&lt;0,"⚠ Over Budget","✓ Within Budget")</f>
        <v>⚠ Over Budget</v>
      </c>
      <c r="CM56" s="33" t="s">
        <v>108</v>
      </c>
    </row>
    <row r="57" customFormat="false" ht="14.25" hidden="false" customHeight="false" outlineLevel="0" collapsed="false">
      <c r="A57" s="16" t="s">
        <v>100</v>
      </c>
      <c r="B57" s="16" t="n">
        <v>2026</v>
      </c>
      <c r="C57" s="16" t="n">
        <v>22</v>
      </c>
      <c r="D57" s="16" t="n">
        <v>1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1</v>
      </c>
      <c r="J57" s="16" t="n">
        <v>1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23</v>
      </c>
      <c r="T57" s="16" t="n">
        <v>5</v>
      </c>
      <c r="U57" s="16" t="n">
        <v>18</v>
      </c>
      <c r="V57" s="16" t="n">
        <v>23</v>
      </c>
      <c r="W57" s="16" t="n">
        <v>0</v>
      </c>
      <c r="X57" s="16" t="n">
        <v>1</v>
      </c>
      <c r="Y57" s="16" t="n">
        <v>4</v>
      </c>
      <c r="Z57" s="16" t="n">
        <v>8</v>
      </c>
      <c r="AA57" s="16" t="n">
        <v>6</v>
      </c>
      <c r="AB57" s="16" t="n">
        <v>3</v>
      </c>
      <c r="AC57" s="16" t="n">
        <v>1</v>
      </c>
      <c r="AD57" s="17" t="n">
        <v>0</v>
      </c>
      <c r="AE57" s="17" t="n">
        <v>0</v>
      </c>
      <c r="AF57" s="18" t="n">
        <v>62.3</v>
      </c>
      <c r="AG57" s="19" t="n">
        <v>1150949</v>
      </c>
      <c r="AH57" s="19" t="n">
        <v>1757914</v>
      </c>
      <c r="AI57" s="19" t="n">
        <v>2660848</v>
      </c>
      <c r="AJ57" s="19" t="n">
        <v>4162431</v>
      </c>
      <c r="AK57" s="19" t="n">
        <v>6090132</v>
      </c>
      <c r="AL57" s="19" t="n">
        <v>10332493</v>
      </c>
      <c r="AM57" s="19" t="n">
        <v>4387584.87</v>
      </c>
      <c r="AN57" s="19" t="n">
        <v>7042073.72</v>
      </c>
      <c r="AO57" s="19" t="n">
        <v>6581377.31</v>
      </c>
      <c r="AP57" s="19" t="n">
        <v>704207.37</v>
      </c>
      <c r="AQ57" s="19" t="n">
        <v>658137.73</v>
      </c>
      <c r="AR57" s="19" t="n">
        <v>25607.54</v>
      </c>
      <c r="AS57" s="19" t="n">
        <v>0</v>
      </c>
      <c r="AT57" s="19" t="n">
        <v>352103.69</v>
      </c>
      <c r="AU57" s="19" t="n">
        <v>329068.87</v>
      </c>
      <c r="AV57" s="19" t="n">
        <v>25351.02</v>
      </c>
      <c r="AW57" s="19" t="n">
        <v>20237.38</v>
      </c>
      <c r="AX57" s="19" t="n">
        <v>14436</v>
      </c>
      <c r="AY57" s="19" t="n">
        <v>13491.59</v>
      </c>
      <c r="AZ57" s="19" t="n">
        <v>17175.79</v>
      </c>
      <c r="BA57" s="19" t="n">
        <v>0</v>
      </c>
      <c r="BB57" s="19" t="n">
        <v>6344.21</v>
      </c>
      <c r="BC57" s="19" t="n">
        <v>0</v>
      </c>
      <c r="BD57" s="19" t="n">
        <v>1257.51</v>
      </c>
      <c r="BE57" s="19" t="n">
        <v>0</v>
      </c>
      <c r="BF57" s="19" t="n">
        <f aca="false">SUM(BE57,BC57,BA57,AY57,AW57,AU57,AS57,AQ57,AO57)</f>
        <v>7602312.88</v>
      </c>
      <c r="BG57" s="19" t="n">
        <v>4311.55</v>
      </c>
      <c r="BH57" s="19" t="n">
        <v>7555.29</v>
      </c>
      <c r="BI57" s="19" t="n">
        <v>13233</v>
      </c>
      <c r="BJ57" s="19" t="n">
        <v>12367.29</v>
      </c>
      <c r="BK57" s="19" t="n">
        <v>9624</v>
      </c>
      <c r="BL57" s="19" t="n">
        <v>8994.39</v>
      </c>
      <c r="BM57" s="19" t="n">
        <v>40420.8</v>
      </c>
      <c r="BN57" s="19" t="n">
        <v>37776.45</v>
      </c>
      <c r="BO57" s="19" t="n">
        <v>18227.27</v>
      </c>
      <c r="BP57" s="19" t="n">
        <v>0</v>
      </c>
      <c r="BQ57" s="19" t="n">
        <v>187133.33</v>
      </c>
      <c r="BR57" s="19" t="n">
        <v>174890.97</v>
      </c>
      <c r="BS57" s="19" t="n">
        <v>8109.11</v>
      </c>
      <c r="BT57" s="19" t="n">
        <v>6121.18</v>
      </c>
      <c r="BU57" s="19" t="n">
        <v>176051.84</v>
      </c>
      <c r="BV57" s="19" t="n">
        <v>164534.43</v>
      </c>
      <c r="BW57" s="19" t="n">
        <v>4042.08</v>
      </c>
      <c r="BX57" s="19" t="n">
        <v>7870.09</v>
      </c>
      <c r="BY57" s="19" t="n">
        <v>4277.33</v>
      </c>
      <c r="BZ57" s="19" t="n">
        <v>8994.39</v>
      </c>
      <c r="CA57" s="19" t="n">
        <v>26947.2</v>
      </c>
      <c r="CB57" s="19" t="n">
        <v>25184.3</v>
      </c>
      <c r="CC57" s="19" t="n">
        <v>144042.42</v>
      </c>
      <c r="CD57" s="19" t="n">
        <v>246801.65</v>
      </c>
      <c r="CE57" s="19" t="n">
        <v>42252.44</v>
      </c>
      <c r="CF57" s="19" t="n">
        <v>39488.26</v>
      </c>
      <c r="CG57" s="19" t="n">
        <f aca="false">SUM(CF57,CD57,CB57,BZ57,BX57,BV57,BT57,BR57,BP57,BN57,BL57,BJ57,BH57)</f>
        <v>740578.69</v>
      </c>
      <c r="CH57" s="19" t="n">
        <f aca="false">CG57+BF57</f>
        <v>8342891.57</v>
      </c>
      <c r="CI57" s="19" t="n">
        <f aca="false">SUM(CE57,CC57,CA57,BY57,BW57,BU57,BS57,BQ57,BO57,BM57,BK57,BI57,BG57,BD57,BB57,AZ57,AX57,AV57,AT57,AR57,AP57,AN57)</f>
        <v>8867229.22</v>
      </c>
      <c r="CJ57" s="19" t="n">
        <f aca="false">CI57-CH57</f>
        <v>524337.65</v>
      </c>
      <c r="CK57" s="19" t="str">
        <f aca="false">IF(CE57-CF57+CC57-CD57+CA57-CB57+BU57-BV57+BK57-BL57+BI57-BJ57 &gt; 0, CE57-CF57+CC57-CD57+CA57-CB57+BU57-BV57+BK57-BL57+BI57-BJ57, "-")</f>
        <v>-</v>
      </c>
      <c r="CL57" s="19" t="str">
        <f aca="false">IF(CJ57&lt;0,"⚠ Over Budget","✓ Within Budget")</f>
        <v>✓ Within Budget</v>
      </c>
      <c r="CM57" s="21"/>
    </row>
    <row r="58" customFormat="false" ht="14.25" hidden="false" customHeight="false" outlineLevel="0" collapsed="false">
      <c r="A58" s="22" t="s">
        <v>101</v>
      </c>
      <c r="B58" s="22" t="n">
        <v>2026</v>
      </c>
      <c r="C58" s="22" t="n">
        <v>23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23</v>
      </c>
      <c r="T58" s="22" t="n">
        <v>5</v>
      </c>
      <c r="U58" s="22" t="n">
        <v>18</v>
      </c>
      <c r="V58" s="22" t="n">
        <v>23</v>
      </c>
      <c r="W58" s="22" t="n">
        <v>0</v>
      </c>
      <c r="X58" s="22" t="n">
        <v>1</v>
      </c>
      <c r="Y58" s="22" t="n">
        <v>4</v>
      </c>
      <c r="Z58" s="22" t="n">
        <v>8</v>
      </c>
      <c r="AA58" s="22" t="n">
        <v>6</v>
      </c>
      <c r="AB58" s="22" t="n">
        <v>3</v>
      </c>
      <c r="AC58" s="22" t="n">
        <v>1</v>
      </c>
      <c r="AD58" s="23" t="n">
        <v>0</v>
      </c>
      <c r="AE58" s="23" t="n">
        <v>0</v>
      </c>
      <c r="AF58" s="24" t="n">
        <v>62.5</v>
      </c>
      <c r="AG58" s="25" t="n">
        <v>1150949</v>
      </c>
      <c r="AH58" s="25" t="n">
        <v>1757914</v>
      </c>
      <c r="AI58" s="25" t="n">
        <v>2660848</v>
      </c>
      <c r="AJ58" s="25" t="n">
        <v>4162431</v>
      </c>
      <c r="AK58" s="25" t="n">
        <v>6090132</v>
      </c>
      <c r="AL58" s="25" t="n">
        <v>10332493</v>
      </c>
      <c r="AM58" s="25" t="n">
        <v>4387584.87</v>
      </c>
      <c r="AN58" s="25" t="n">
        <v>7042073.72</v>
      </c>
      <c r="AO58" s="25" t="n">
        <v>6581377.31</v>
      </c>
      <c r="AP58" s="25" t="n">
        <v>704207.37</v>
      </c>
      <c r="AQ58" s="25" t="n">
        <v>658137.73</v>
      </c>
      <c r="AR58" s="25" t="n">
        <v>25607.54</v>
      </c>
      <c r="AS58" s="25" t="n">
        <v>0</v>
      </c>
      <c r="AT58" s="25" t="n">
        <v>352103.69</v>
      </c>
      <c r="AU58" s="25" t="n">
        <v>329068.87</v>
      </c>
      <c r="AV58" s="25" t="n">
        <v>21125.85</v>
      </c>
      <c r="AW58" s="25" t="n">
        <v>20237.38</v>
      </c>
      <c r="AX58" s="25" t="n">
        <v>14436</v>
      </c>
      <c r="AY58" s="25" t="n">
        <v>13491.59</v>
      </c>
      <c r="AZ58" s="25" t="n">
        <v>17175.79</v>
      </c>
      <c r="BA58" s="25" t="n">
        <v>0</v>
      </c>
      <c r="BB58" s="25" t="n">
        <v>6344.21</v>
      </c>
      <c r="BC58" s="25" t="n">
        <v>0</v>
      </c>
      <c r="BD58" s="25" t="n">
        <v>1257.51</v>
      </c>
      <c r="BE58" s="25" t="n">
        <v>0</v>
      </c>
      <c r="BF58" s="25" t="n">
        <f aca="false">SUM(BE58,BC58,BA58,AY58,AW58,AU58,AS58,AQ58,AO58)</f>
        <v>7602312.88</v>
      </c>
      <c r="BG58" s="25" t="n">
        <v>23097.6</v>
      </c>
      <c r="BH58" s="25" t="n">
        <v>16189.91</v>
      </c>
      <c r="BI58" s="25" t="n">
        <v>13233</v>
      </c>
      <c r="BJ58" s="25" t="n">
        <v>12367.29</v>
      </c>
      <c r="BK58" s="25" t="n">
        <v>9624</v>
      </c>
      <c r="BL58" s="25" t="n">
        <v>8994.39</v>
      </c>
      <c r="BM58" s="25" t="n">
        <v>40420.8</v>
      </c>
      <c r="BN58" s="25" t="n">
        <v>37776.45</v>
      </c>
      <c r="BO58" s="25" t="n">
        <v>7290.91</v>
      </c>
      <c r="BP58" s="25" t="n">
        <v>0</v>
      </c>
      <c r="BQ58" s="25" t="n">
        <v>187133.33</v>
      </c>
      <c r="BR58" s="25" t="n">
        <v>174890.97</v>
      </c>
      <c r="BS58" s="25" t="n">
        <v>8109.11</v>
      </c>
      <c r="BT58" s="25" t="n">
        <v>6121.18</v>
      </c>
      <c r="BU58" s="25" t="n">
        <v>176051.84</v>
      </c>
      <c r="BV58" s="25" t="n">
        <v>164534.43</v>
      </c>
      <c r="BW58" s="25" t="n">
        <v>8084.16</v>
      </c>
      <c r="BX58" s="25" t="n">
        <v>7870.09</v>
      </c>
      <c r="BY58" s="25" t="n">
        <v>9131.7</v>
      </c>
      <c r="BZ58" s="25" t="n">
        <v>16001.81</v>
      </c>
      <c r="CA58" s="25" t="n">
        <v>26947.2</v>
      </c>
      <c r="CB58" s="25" t="n">
        <v>25184.3</v>
      </c>
      <c r="CC58" s="25" t="n">
        <v>144042.42</v>
      </c>
      <c r="CD58" s="25" t="n">
        <v>246801.65</v>
      </c>
      <c r="CE58" s="25" t="n">
        <v>42252.44</v>
      </c>
      <c r="CF58" s="25" t="n">
        <v>39488.26</v>
      </c>
      <c r="CG58" s="25" t="n">
        <f aca="false">SUM(CF58,CD58,CB58,BZ58,BX58,BV58,BT58,BR58,BP58,BN58,BL58,BJ58,BH58)</f>
        <v>756220.73</v>
      </c>
      <c r="CH58" s="25" t="n">
        <f aca="false">CG58+BF58</f>
        <v>8358533.61</v>
      </c>
      <c r="CI58" s="25" t="n">
        <f aca="false">SUM(CE58,CC58,CA58,BY58,BW58,BU58,BS58,BQ58,BO58,BM58,BK58,BI58,BG58,BD58,BB58,AZ58,AX58,AV58,AT58,AR58,AP58,AN58)</f>
        <v>8879750.19</v>
      </c>
      <c r="CJ58" s="25" t="n">
        <f aca="false">CI58-CH58</f>
        <v>521216.58</v>
      </c>
      <c r="CK58" s="25" t="str">
        <f aca="false">IF(CE58-CF58+CC58-CD58+CA58-CB58+BU58-BV58+BK58-BL58+BI58-BJ58 &gt; 0, CE58-CF58+CC58-CD58+CA58-CB58+BU58-BV58+BK58-BL58+BI58-BJ58, "-")</f>
        <v>-</v>
      </c>
      <c r="CL58" s="25" t="str">
        <f aca="false">IF(CJ58&lt;0,"⚠ Over Budget","✓ Within Budget")</f>
        <v>✓ Within Budget</v>
      </c>
      <c r="CM58" s="27"/>
    </row>
    <row r="59" customFormat="false" ht="14.25" hidden="false" customHeight="false" outlineLevel="0" collapsed="false">
      <c r="A59" s="16" t="s">
        <v>102</v>
      </c>
      <c r="B59" s="16" t="n">
        <v>2026</v>
      </c>
      <c r="C59" s="16" t="n">
        <v>23</v>
      </c>
      <c r="D59" s="16" t="n">
        <v>1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1</v>
      </c>
      <c r="J59" s="16" t="n">
        <v>1</v>
      </c>
      <c r="K59" s="16" t="n">
        <v>1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1</v>
      </c>
      <c r="Q59" s="16" t="n">
        <v>1</v>
      </c>
      <c r="R59" s="16" t="n">
        <v>1</v>
      </c>
      <c r="S59" s="16" t="n">
        <v>22</v>
      </c>
      <c r="T59" s="16" t="n">
        <v>5</v>
      </c>
      <c r="U59" s="16" t="n">
        <v>17</v>
      </c>
      <c r="V59" s="16" t="n">
        <v>22</v>
      </c>
      <c r="W59" s="16" t="n">
        <v>0</v>
      </c>
      <c r="X59" s="16" t="n">
        <v>1</v>
      </c>
      <c r="Y59" s="16" t="n">
        <v>4</v>
      </c>
      <c r="Z59" s="16" t="n">
        <v>7</v>
      </c>
      <c r="AA59" s="16" t="n">
        <v>6</v>
      </c>
      <c r="AB59" s="16" t="n">
        <v>2</v>
      </c>
      <c r="AC59" s="16" t="n">
        <v>2</v>
      </c>
      <c r="AD59" s="17" t="n">
        <v>0.521739</v>
      </c>
      <c r="AE59" s="17" t="n">
        <v>0</v>
      </c>
      <c r="AF59" s="18" t="n">
        <v>62.7</v>
      </c>
      <c r="AG59" s="19" t="n">
        <v>1150949</v>
      </c>
      <c r="AH59" s="19" t="n">
        <v>1757914</v>
      </c>
      <c r="AI59" s="19" t="n">
        <v>2660848</v>
      </c>
      <c r="AJ59" s="19" t="n">
        <v>4162431</v>
      </c>
      <c r="AK59" s="19" t="n">
        <v>6090132</v>
      </c>
      <c r="AL59" s="19" t="n">
        <v>10332493</v>
      </c>
      <c r="AM59" s="19" t="n">
        <v>4387584.87</v>
      </c>
      <c r="AN59" s="19" t="n">
        <v>8215752.67</v>
      </c>
      <c r="AO59" s="19" t="n">
        <v>7678273.53</v>
      </c>
      <c r="AP59" s="19" t="n">
        <v>821575.27</v>
      </c>
      <c r="AQ59" s="19" t="n">
        <v>767827.35</v>
      </c>
      <c r="AR59" s="19" t="n">
        <v>29875.46</v>
      </c>
      <c r="AS59" s="19" t="n">
        <v>0</v>
      </c>
      <c r="AT59" s="19" t="n">
        <v>410787.63</v>
      </c>
      <c r="AU59" s="19" t="n">
        <v>383913.68</v>
      </c>
      <c r="AV59" s="19" t="n">
        <v>27111.51</v>
      </c>
      <c r="AW59" s="19" t="n">
        <v>23610.28</v>
      </c>
      <c r="AX59" s="19" t="n">
        <v>16842</v>
      </c>
      <c r="AY59" s="19" t="n">
        <v>15740.19</v>
      </c>
      <c r="AZ59" s="19" t="n">
        <v>40076.84</v>
      </c>
      <c r="BA59" s="19" t="n">
        <v>0</v>
      </c>
      <c r="BB59" s="19" t="n">
        <v>114195.79</v>
      </c>
      <c r="BC59" s="19" t="n">
        <v>109689.62</v>
      </c>
      <c r="BD59" s="19" t="n">
        <v>419.17</v>
      </c>
      <c r="BE59" s="19" t="n">
        <v>0</v>
      </c>
      <c r="BF59" s="19" t="n">
        <f aca="false">SUM(BE59,BC59,BA59,AY59,AW59,AU59,AS59,AQ59,AO59)</f>
        <v>8979054.65</v>
      </c>
      <c r="BG59" s="19" t="n">
        <v>38803.97</v>
      </c>
      <c r="BH59" s="19" t="n">
        <v>22665.87</v>
      </c>
      <c r="BI59" s="19" t="n">
        <v>15438.5</v>
      </c>
      <c r="BJ59" s="19" t="n">
        <v>14428.5</v>
      </c>
      <c r="BK59" s="19" t="n">
        <v>11228</v>
      </c>
      <c r="BL59" s="19" t="n">
        <v>10493.46</v>
      </c>
      <c r="BM59" s="19" t="n">
        <v>47157.6</v>
      </c>
      <c r="BN59" s="19" t="n">
        <v>44072.52</v>
      </c>
      <c r="BO59" s="19" t="n">
        <v>76554.55</v>
      </c>
      <c r="BP59" s="19" t="n">
        <v>131168.22</v>
      </c>
      <c r="BQ59" s="19" t="n">
        <v>213866.67</v>
      </c>
      <c r="BR59" s="19" t="n">
        <v>199875.39</v>
      </c>
      <c r="BS59" s="19" t="n">
        <v>7841.78</v>
      </c>
      <c r="BT59" s="19" t="n">
        <v>6995.64</v>
      </c>
      <c r="BU59" s="19" t="n">
        <v>205393.82</v>
      </c>
      <c r="BV59" s="19" t="n">
        <v>191956.84</v>
      </c>
      <c r="BW59" s="19" t="n">
        <v>18863.04</v>
      </c>
      <c r="BX59" s="19" t="n">
        <v>9181.78</v>
      </c>
      <c r="BY59" s="19" t="n">
        <v>4990.22</v>
      </c>
      <c r="BZ59" s="19" t="n">
        <v>10493.46</v>
      </c>
      <c r="CA59" s="19" t="n">
        <v>31438.4</v>
      </c>
      <c r="CB59" s="19" t="n">
        <v>29381.68</v>
      </c>
      <c r="CC59" s="19" t="n">
        <v>201659.38</v>
      </c>
      <c r="CD59" s="19" t="n">
        <v>287935.26</v>
      </c>
      <c r="CE59" s="19" t="n">
        <v>49294.52</v>
      </c>
      <c r="CF59" s="19" t="n">
        <v>46069.64</v>
      </c>
      <c r="CG59" s="19" t="n">
        <f aca="false">SUM(CF59,CD59,CB59,BZ59,BX59,BV59,BT59,BR59,BP59,BN59,BL59,BJ59,BH59)</f>
        <v>1004718.26</v>
      </c>
      <c r="CH59" s="19" t="n">
        <f aca="false">CG59+BF59</f>
        <v>9983772.91</v>
      </c>
      <c r="CI59" s="19" t="n">
        <f aca="false">SUM(CE59,CC59,CA59,BY59,BW59,BU59,BS59,BQ59,BO59,BM59,BK59,BI59,BG59,BD59,BB59,AZ59,AX59,AV59,AT59,AR59,AP59,AN59)</f>
        <v>10599166.79</v>
      </c>
      <c r="CJ59" s="19" t="n">
        <f aca="false">CI59-CH59</f>
        <v>615393.879999999</v>
      </c>
      <c r="CK59" s="19" t="str">
        <f aca="false">IF(CE59-CF59+CC59-CD59+CA59-CB59+BU59-BV59+BK59-BL59+BI59-BJ59 &gt; 0, CE59-CF59+CC59-CD59+CA59-CB59+BU59-BV59+BK59-BL59+BI59-BJ59, "-")</f>
        <v>-</v>
      </c>
      <c r="CL59" s="19" t="str">
        <f aca="false">IF(CJ59&lt;0,"⚠ Over Budget","✓ Within Budget")</f>
        <v>✓ Within Budget</v>
      </c>
      <c r="CM59" s="21"/>
    </row>
    <row r="60" customFormat="false" ht="14.25" hidden="false" customHeight="false" outlineLevel="0" collapsed="false">
      <c r="A60" s="22" t="s">
        <v>103</v>
      </c>
      <c r="B60" s="22" t="n">
        <v>2026</v>
      </c>
      <c r="C60" s="22" t="n">
        <v>22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22</v>
      </c>
      <c r="T60" s="22" t="n">
        <v>5</v>
      </c>
      <c r="U60" s="22" t="n">
        <v>17</v>
      </c>
      <c r="V60" s="22" t="n">
        <v>22</v>
      </c>
      <c r="W60" s="22" t="n">
        <v>0</v>
      </c>
      <c r="X60" s="22" t="n">
        <v>1</v>
      </c>
      <c r="Y60" s="22" t="n">
        <v>4</v>
      </c>
      <c r="Z60" s="22" t="n">
        <v>7</v>
      </c>
      <c r="AA60" s="22" t="n">
        <v>6</v>
      </c>
      <c r="AB60" s="22" t="n">
        <v>2</v>
      </c>
      <c r="AC60" s="22" t="n">
        <v>2</v>
      </c>
      <c r="AD60" s="23" t="n">
        <v>0</v>
      </c>
      <c r="AE60" s="23" t="n">
        <v>0.0134600714218855</v>
      </c>
      <c r="AF60" s="24" t="n">
        <v>62.9</v>
      </c>
      <c r="AG60" s="25" t="n">
        <v>1171042</v>
      </c>
      <c r="AH60" s="25" t="n">
        <v>1790401</v>
      </c>
      <c r="AI60" s="25" t="n">
        <v>2688763</v>
      </c>
      <c r="AJ60" s="25" t="n">
        <v>4222138</v>
      </c>
      <c r="AK60" s="25" t="n">
        <v>6152670</v>
      </c>
      <c r="AL60" s="25" t="n">
        <v>10455950</v>
      </c>
      <c r="AM60" s="25" t="n">
        <v>4443550.74</v>
      </c>
      <c r="AN60" s="25" t="n">
        <v>8320548.77</v>
      </c>
      <c r="AO60" s="25" t="n">
        <v>7776213.8</v>
      </c>
      <c r="AP60" s="25" t="n">
        <v>832054.88</v>
      </c>
      <c r="AQ60" s="25" t="n">
        <v>777621.38</v>
      </c>
      <c r="AR60" s="25" t="n">
        <v>968209.31</v>
      </c>
      <c r="AS60" s="25" t="n">
        <v>311048.55</v>
      </c>
      <c r="AT60" s="25" t="n">
        <v>416027.44</v>
      </c>
      <c r="AU60" s="25" t="n">
        <v>388810.69</v>
      </c>
      <c r="AV60" s="25" t="n">
        <v>22182.15</v>
      </c>
      <c r="AW60" s="25" t="n">
        <v>23610.28</v>
      </c>
      <c r="AX60" s="25" t="n">
        <v>16842</v>
      </c>
      <c r="AY60" s="25" t="n">
        <v>15740.19</v>
      </c>
      <c r="AZ60" s="25" t="n">
        <v>81176.09</v>
      </c>
      <c r="BA60" s="25" t="n">
        <v>0</v>
      </c>
      <c r="BB60" s="25" t="n">
        <v>3855.08</v>
      </c>
      <c r="BC60" s="25" t="n">
        <v>0</v>
      </c>
      <c r="BD60" s="25" t="n">
        <v>424.52</v>
      </c>
      <c r="BE60" s="25" t="n">
        <v>0</v>
      </c>
      <c r="BF60" s="25" t="n">
        <f aca="false">SUM(BE60,BC60,BA60,AY60,AW60,AU60,AS60,AQ60,AO60)</f>
        <v>9293044.89</v>
      </c>
      <c r="BG60" s="25" t="n">
        <v>23474.01</v>
      </c>
      <c r="BH60" s="25" t="n">
        <v>17629.01</v>
      </c>
      <c r="BI60" s="25" t="n">
        <v>15438.5</v>
      </c>
      <c r="BJ60" s="25" t="n">
        <v>14428.5</v>
      </c>
      <c r="BK60" s="25" t="n">
        <v>11228</v>
      </c>
      <c r="BL60" s="25" t="n">
        <v>10493.46</v>
      </c>
      <c r="BM60" s="25" t="n">
        <v>47157.6</v>
      </c>
      <c r="BN60" s="25" t="n">
        <v>44072.52</v>
      </c>
      <c r="BO60" s="25" t="n">
        <v>3645.45</v>
      </c>
      <c r="BP60" s="25" t="n">
        <v>0</v>
      </c>
      <c r="BQ60" s="25" t="n">
        <v>213866.67</v>
      </c>
      <c r="BR60" s="25" t="n">
        <v>199875.39</v>
      </c>
      <c r="BS60" s="25" t="n">
        <v>7128.89</v>
      </c>
      <c r="BT60" s="25" t="n">
        <v>6995.64</v>
      </c>
      <c r="BU60" s="25" t="n">
        <v>208013.72</v>
      </c>
      <c r="BV60" s="25" t="n">
        <v>194405.35</v>
      </c>
      <c r="BW60" s="25" t="n">
        <v>14147.28</v>
      </c>
      <c r="BX60" s="25" t="n">
        <v>9181.78</v>
      </c>
      <c r="BY60" s="25" t="n">
        <v>241592.49</v>
      </c>
      <c r="BZ60" s="25" t="n">
        <v>79378.37</v>
      </c>
      <c r="CA60" s="25" t="n">
        <v>31438.4</v>
      </c>
      <c r="CB60" s="25" t="n">
        <v>29381.68</v>
      </c>
      <c r="CC60" s="25" t="n">
        <v>272308.87</v>
      </c>
      <c r="CD60" s="25" t="n">
        <v>291608.02</v>
      </c>
      <c r="CE60" s="25" t="n">
        <v>49923.29</v>
      </c>
      <c r="CF60" s="25" t="n">
        <v>46657.28</v>
      </c>
      <c r="CG60" s="25" t="n">
        <f aca="false">SUM(CF60,CD60,CB60,BZ60,BX60,BV60,BT60,BR60,BP60,BN60,BL60,BJ60,BH60)</f>
        <v>944107</v>
      </c>
      <c r="CH60" s="25" t="n">
        <f aca="false">CG60+BF60</f>
        <v>10237151.89</v>
      </c>
      <c r="CI60" s="25" t="n">
        <f aca="false">SUM(CE60,CC60,CA60,BY60,BW60,BU60,BS60,BQ60,BO60,BM60,BK60,BI60,BG60,BD60,BB60,AZ60,AX60,AV60,AT60,AR60,AP60,AN60)</f>
        <v>11800683.41</v>
      </c>
      <c r="CJ60" s="25" t="n">
        <f aca="false">CI60-CH60</f>
        <v>1563531.52</v>
      </c>
      <c r="CK60" s="25" t="n">
        <f aca="false">IF(CE60-CF60+CC60-CD60+CA60-CB60+BU60-BV60+BK60-BL60+BI60-BJ60 &gt; 0, CE60-CF60+CC60-CD60+CA60-CB60+BU60-BV60+BK60-BL60+BI60-BJ60, "-")</f>
        <v>1376.48999999998</v>
      </c>
      <c r="CL60" s="25" t="str">
        <f aca="false">IF(CJ60&lt;0,"⚠ Over Budget","✓ Within Budget")</f>
        <v>✓ Within Budget</v>
      </c>
      <c r="CM60" s="27"/>
    </row>
    <row r="61" customFormat="false" ht="18.75" hidden="false" customHeight="true" outlineLevel="0" collapsed="false">
      <c r="A61" s="28" t="s">
        <v>104</v>
      </c>
      <c r="B61" s="28" t="n">
        <v>2026</v>
      </c>
      <c r="C61" s="28" t="n">
        <v>22</v>
      </c>
      <c r="D61" s="28" t="n">
        <v>0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8" t="n">
        <v>0</v>
      </c>
      <c r="P61" s="28" t="n">
        <v>0</v>
      </c>
      <c r="Q61" s="28" t="n">
        <v>0</v>
      </c>
      <c r="R61" s="28" t="n">
        <v>0</v>
      </c>
      <c r="S61" s="28" t="n">
        <v>22</v>
      </c>
      <c r="T61" s="28" t="n">
        <v>5</v>
      </c>
      <c r="U61" s="28" t="n">
        <v>17</v>
      </c>
      <c r="V61" s="28" t="n">
        <v>22</v>
      </c>
      <c r="W61" s="28" t="n">
        <v>0</v>
      </c>
      <c r="X61" s="28" t="n">
        <v>1</v>
      </c>
      <c r="Y61" s="28" t="n">
        <v>4</v>
      </c>
      <c r="Z61" s="28" t="n">
        <v>7</v>
      </c>
      <c r="AA61" s="28" t="n">
        <v>6</v>
      </c>
      <c r="AB61" s="28" t="n">
        <v>2</v>
      </c>
      <c r="AC61" s="28" t="n">
        <v>2</v>
      </c>
      <c r="AD61" s="29" t="n">
        <v>0</v>
      </c>
      <c r="AE61" s="29" t="n">
        <v>0</v>
      </c>
      <c r="AF61" s="30" t="n">
        <v>63.1</v>
      </c>
      <c r="AG61" s="31" t="n">
        <v>1171042</v>
      </c>
      <c r="AH61" s="31" t="n">
        <v>1790401</v>
      </c>
      <c r="AI61" s="31" t="n">
        <v>2688763</v>
      </c>
      <c r="AJ61" s="31" t="n">
        <v>4222138</v>
      </c>
      <c r="AK61" s="31" t="n">
        <v>6152670</v>
      </c>
      <c r="AL61" s="31" t="n">
        <v>10455950</v>
      </c>
      <c r="AM61" s="31" t="n">
        <v>4443550.74</v>
      </c>
      <c r="AN61" s="31" t="n">
        <v>8320548.77</v>
      </c>
      <c r="AO61" s="31" t="n">
        <v>7776213.8</v>
      </c>
      <c r="AP61" s="31" t="n">
        <v>832054.88</v>
      </c>
      <c r="AQ61" s="31" t="n">
        <v>777621.38</v>
      </c>
      <c r="AR61" s="31" t="n">
        <v>98333.76</v>
      </c>
      <c r="AS61" s="31" t="n">
        <v>0</v>
      </c>
      <c r="AT61" s="31" t="n">
        <v>416027.44</v>
      </c>
      <c r="AU61" s="31" t="n">
        <v>388810.69</v>
      </c>
      <c r="AV61" s="31" t="n">
        <v>26289.95</v>
      </c>
      <c r="AW61" s="31" t="n">
        <v>31480.37</v>
      </c>
      <c r="AX61" s="31" t="n">
        <v>16842</v>
      </c>
      <c r="AY61" s="31" t="n">
        <v>15740.19</v>
      </c>
      <c r="AZ61" s="31" t="n">
        <v>40588.04</v>
      </c>
      <c r="BA61" s="31" t="n">
        <v>0</v>
      </c>
      <c r="BB61" s="31" t="n">
        <v>1285.03</v>
      </c>
      <c r="BC61" s="31" t="n">
        <v>0</v>
      </c>
      <c r="BD61" s="31" t="n">
        <v>424.52</v>
      </c>
      <c r="BE61" s="31" t="n">
        <v>0</v>
      </c>
      <c r="BF61" s="31" t="n">
        <f aca="false">SUM(BE61,BC61,BA61,AY61,AW61,AU61,AS61,AQ61,AO61)</f>
        <v>8989866.43</v>
      </c>
      <c r="BG61" s="31" t="n">
        <v>30659.93</v>
      </c>
      <c r="BH61" s="31" t="n">
        <v>20147.44</v>
      </c>
      <c r="BI61" s="31" t="n">
        <v>15438.5</v>
      </c>
      <c r="BJ61" s="31" t="n">
        <v>14428.5</v>
      </c>
      <c r="BK61" s="31" t="n">
        <v>11228</v>
      </c>
      <c r="BL61" s="31" t="n">
        <v>10493.46</v>
      </c>
      <c r="BM61" s="31" t="n">
        <v>47157.6</v>
      </c>
      <c r="BN61" s="31" t="n">
        <v>44072.52</v>
      </c>
      <c r="BO61" s="31" t="n">
        <v>3645.45</v>
      </c>
      <c r="BP61" s="31" t="n">
        <v>0</v>
      </c>
      <c r="BQ61" s="31" t="n">
        <v>213866.67</v>
      </c>
      <c r="BR61" s="31" t="n">
        <v>199875.39</v>
      </c>
      <c r="BS61" s="31" t="n">
        <v>6416</v>
      </c>
      <c r="BT61" s="31" t="n">
        <v>6995.64</v>
      </c>
      <c r="BU61" s="31" t="n">
        <v>208013.72</v>
      </c>
      <c r="BV61" s="31" t="n">
        <v>194405.35</v>
      </c>
      <c r="BW61" s="31" t="n">
        <v>9431.52</v>
      </c>
      <c r="BX61" s="31" t="n">
        <v>9181.78</v>
      </c>
      <c r="BY61" s="31" t="n">
        <v>42106.19</v>
      </c>
      <c r="BZ61" s="31" t="n">
        <v>1984724.99</v>
      </c>
      <c r="CA61" s="31" t="n">
        <v>31438.4</v>
      </c>
      <c r="CB61" s="31" t="n">
        <v>29381.68</v>
      </c>
      <c r="CC61" s="31" t="n">
        <v>272308.87</v>
      </c>
      <c r="CD61" s="31" t="n">
        <v>291608.02</v>
      </c>
      <c r="CE61" s="31" t="n">
        <v>49923.29</v>
      </c>
      <c r="CF61" s="31" t="n">
        <v>46657.28</v>
      </c>
      <c r="CG61" s="31" t="n">
        <f aca="false">SUM(CF61,CD61,CB61,BZ61,BX61,BV61,BT61,BR61,BP61,BN61,BL61,BJ61,BH61)</f>
        <v>2851972.05</v>
      </c>
      <c r="CH61" s="31" t="n">
        <f aca="false">CG61+BF61</f>
        <v>11841838.48</v>
      </c>
      <c r="CI61" s="31" t="n">
        <f aca="false">SUM(CE61,CC61,CA61,BY61,BW61,BU61,BS61,BQ61,BO61,BM61,BK61,BI61,BG61,BD61,BB61,AZ61,AX61,AV61,AT61,AR61,AP61,AN61)</f>
        <v>10694028.53</v>
      </c>
      <c r="CJ61" s="31" t="n">
        <f aca="false">CI61-CH61</f>
        <v>-1147809.95</v>
      </c>
      <c r="CK61" s="31" t="n">
        <f aca="false">IF(CE61-CF61+CC61-CD61+CA61-CB61+BU61-BV61+BK61-BL61+BI61-BJ61 &gt; 0, CE61-CF61+CC61-CD61+CA61-CB61+BU61-BV61+BK61-BL61+BI61-BJ61, "-")</f>
        <v>1376.48999999998</v>
      </c>
      <c r="CL61" s="31" t="str">
        <f aca="false">IF(CJ61&lt;0,"⚠ Over Budget","✓ Within Budget")</f>
        <v>⚠ Over Budget</v>
      </c>
      <c r="CM61" s="33" t="s">
        <v>109</v>
      </c>
    </row>
    <row r="62" customFormat="false" ht="18.75" hidden="false" customHeight="true" outlineLevel="0" collapsed="false">
      <c r="A62" s="28" t="s">
        <v>105</v>
      </c>
      <c r="B62" s="28" t="n">
        <v>2026</v>
      </c>
      <c r="C62" s="28" t="n">
        <v>22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22</v>
      </c>
      <c r="T62" s="28" t="n">
        <v>5</v>
      </c>
      <c r="U62" s="28" t="n">
        <v>17</v>
      </c>
      <c r="V62" s="28" t="n">
        <v>22</v>
      </c>
      <c r="W62" s="28" t="n">
        <v>0</v>
      </c>
      <c r="X62" s="28" t="n">
        <v>1</v>
      </c>
      <c r="Y62" s="28" t="n">
        <v>4</v>
      </c>
      <c r="Z62" s="28" t="n">
        <v>7</v>
      </c>
      <c r="AA62" s="28" t="n">
        <v>6</v>
      </c>
      <c r="AB62" s="28" t="n">
        <v>2</v>
      </c>
      <c r="AC62" s="28" t="n">
        <v>2</v>
      </c>
      <c r="AD62" s="29" t="n">
        <v>0</v>
      </c>
      <c r="AE62" s="29" t="n">
        <v>0</v>
      </c>
      <c r="AF62" s="30" t="n">
        <v>63.3</v>
      </c>
      <c r="AG62" s="31" t="n">
        <v>1171042</v>
      </c>
      <c r="AH62" s="31" t="n">
        <v>1790401</v>
      </c>
      <c r="AI62" s="31" t="n">
        <v>2688763</v>
      </c>
      <c r="AJ62" s="31" t="n">
        <v>4222138</v>
      </c>
      <c r="AK62" s="31" t="n">
        <v>6152670</v>
      </c>
      <c r="AL62" s="31" t="n">
        <v>10455950</v>
      </c>
      <c r="AM62" s="31" t="n">
        <v>4443550.74</v>
      </c>
      <c r="AN62" s="31" t="n">
        <v>8320548.77</v>
      </c>
      <c r="AO62" s="31" t="n">
        <v>7776213.8</v>
      </c>
      <c r="AP62" s="31" t="n">
        <v>832054.88</v>
      </c>
      <c r="AQ62" s="31" t="n">
        <v>777621.38</v>
      </c>
      <c r="AR62" s="31" t="n">
        <v>3630784.92</v>
      </c>
      <c r="AS62" s="31" t="n">
        <v>2041544.33</v>
      </c>
      <c r="AT62" s="31" t="n">
        <v>416027.44</v>
      </c>
      <c r="AU62" s="31" t="n">
        <v>388810.69</v>
      </c>
      <c r="AV62" s="31" t="n">
        <v>23003.71</v>
      </c>
      <c r="AW62" s="31" t="n">
        <v>31480.37</v>
      </c>
      <c r="AX62" s="31" t="n">
        <v>16842</v>
      </c>
      <c r="AY62" s="31" t="n">
        <v>15740.19</v>
      </c>
      <c r="AZ62" s="31" t="n">
        <v>60882.06</v>
      </c>
      <c r="BA62" s="31" t="n">
        <v>0</v>
      </c>
      <c r="BB62" s="31" t="n">
        <v>1285.03</v>
      </c>
      <c r="BC62" s="31" t="n">
        <v>0</v>
      </c>
      <c r="BD62" s="31" t="n">
        <v>424.52</v>
      </c>
      <c r="BE62" s="31" t="n">
        <v>0</v>
      </c>
      <c r="BF62" s="31" t="n">
        <f aca="false">SUM(BE62,BC62,BA62,AY62,AW62,AU62,AS62,AQ62,AO62)</f>
        <v>11031410.76</v>
      </c>
      <c r="BG62" s="31" t="n">
        <v>5030.14</v>
      </c>
      <c r="BH62" s="31" t="n">
        <v>8814.5</v>
      </c>
      <c r="BI62" s="31" t="n">
        <v>15438.5</v>
      </c>
      <c r="BJ62" s="31" t="n">
        <v>14428.5</v>
      </c>
      <c r="BK62" s="31" t="n">
        <v>11228</v>
      </c>
      <c r="BL62" s="31" t="n">
        <v>10493.46</v>
      </c>
      <c r="BM62" s="31" t="n">
        <v>47157.6</v>
      </c>
      <c r="BN62" s="31" t="n">
        <v>44072.52</v>
      </c>
      <c r="BO62" s="31" t="n">
        <v>3645.45</v>
      </c>
      <c r="BP62" s="31" t="n">
        <v>0</v>
      </c>
      <c r="BQ62" s="31" t="n">
        <v>213866.67</v>
      </c>
      <c r="BR62" s="31" t="n">
        <v>199875.39</v>
      </c>
      <c r="BS62" s="31" t="n">
        <v>5703.11</v>
      </c>
      <c r="BT62" s="31" t="n">
        <v>6995.64</v>
      </c>
      <c r="BU62" s="31" t="n">
        <v>208013.72</v>
      </c>
      <c r="BV62" s="31" t="n">
        <v>194405.35</v>
      </c>
      <c r="BW62" s="31" t="n">
        <v>4715.76</v>
      </c>
      <c r="BX62" s="31" t="n">
        <v>9181.78</v>
      </c>
      <c r="BY62" s="31" t="n">
        <v>47725.52</v>
      </c>
      <c r="BZ62" s="31" t="n">
        <v>1297375.42</v>
      </c>
      <c r="CA62" s="31" t="n">
        <v>31438.4</v>
      </c>
      <c r="CB62" s="31" t="n">
        <v>29381.68</v>
      </c>
      <c r="CC62" s="31" t="n">
        <v>170193.04</v>
      </c>
      <c r="CD62" s="31" t="n">
        <v>1374970.54</v>
      </c>
      <c r="CE62" s="31" t="n">
        <v>49923.29</v>
      </c>
      <c r="CF62" s="31" t="n">
        <v>46657.28</v>
      </c>
      <c r="CG62" s="31" t="n">
        <f aca="false">SUM(CF62,CD62,CB62,BZ62,BX62,BV62,BT62,BR62,BP62,BN62,BL62,BJ62,BH62)</f>
        <v>3236652.06</v>
      </c>
      <c r="CH62" s="31" t="n">
        <f aca="false">CG62+BF62</f>
        <v>14268062.82</v>
      </c>
      <c r="CI62" s="31" t="n">
        <f aca="false">SUM(CE62,CC62,CA62,BY62,BW62,BU62,BS62,BQ62,BO62,BM62,BK62,BI62,BG62,BD62,BB62,AZ62,AX62,AV62,AT62,AR62,AP62,AN62)</f>
        <v>14115932.53</v>
      </c>
      <c r="CJ62" s="31" t="n">
        <f aca="false">CI62-CH62</f>
        <v>-152130.290000001</v>
      </c>
      <c r="CK62" s="31" t="str">
        <f aca="false">IF(CE62-CF62+CC62-CD62+CA62-CB62+BU62-BV62+BK62-BL62+BI62-BJ62 &gt; 0, CE62-CF62+CC62-CD62+CA62-CB62+BU62-BV62+BK62-BL62+BI62-BJ62, "-")</f>
        <v>-</v>
      </c>
      <c r="CL62" s="31" t="str">
        <f aca="false">IF(CJ62&lt;0,"⚠ Over Budget","✓ Within Budget")</f>
        <v>⚠ Over Budget</v>
      </c>
      <c r="CM62" s="33" t="s">
        <v>118</v>
      </c>
    </row>
    <row r="63" customFormat="false" ht="14.25" hidden="false" customHeight="false" outlineLevel="0" collapsed="false">
      <c r="A63" s="34" t="s">
        <v>113</v>
      </c>
      <c r="AN63" s="35" t="n">
        <f aca="false">SUM(AN3:AN62)</f>
        <v>366203785.27</v>
      </c>
      <c r="AO63" s="35" t="n">
        <f aca="false">SUM(AO3:AO62)</f>
        <v>347635459.32</v>
      </c>
      <c r="AP63" s="35" t="n">
        <f aca="false">SUM(AP3:AP62)</f>
        <v>36620378.59</v>
      </c>
      <c r="AQ63" s="35" t="n">
        <f aca="false">SUM(AQ3:AQ62)</f>
        <v>34224652.88</v>
      </c>
      <c r="AR63" s="35" t="n">
        <f aca="false">SUM(AR3:AR62)</f>
        <v>20654305.27</v>
      </c>
      <c r="AS63" s="35" t="n">
        <f aca="false">SUM(AS3:AS62)</f>
        <v>16377611.71</v>
      </c>
      <c r="AT63" s="35" t="n">
        <f aca="false">SUM(AT3:AT62)</f>
        <v>18310189.26</v>
      </c>
      <c r="AU63" s="35" t="n">
        <f aca="false">SUM(AU3:AU62)</f>
        <v>17112326.45</v>
      </c>
      <c r="AV63" s="35" t="n">
        <f aca="false">SUM(AV3:AV62)</f>
        <v>1495380.66</v>
      </c>
      <c r="AW63" s="35" t="n">
        <f aca="false">SUM(AW3:AW62)</f>
        <v>1435236.88</v>
      </c>
      <c r="AX63" s="35" t="n">
        <f aca="false">SUM(AX3:AX62)</f>
        <v>921787.68</v>
      </c>
      <c r="AY63" s="35" t="n">
        <f aca="false">SUM(AY3:AY62)</f>
        <v>861483.76</v>
      </c>
      <c r="AZ63" s="35" t="n">
        <f aca="false">SUM(AZ3:AZ62)</f>
        <v>1845091.17</v>
      </c>
      <c r="BA63" s="35" t="n">
        <f aca="false">SUM(BA3:BA62)</f>
        <v>1426442.71</v>
      </c>
      <c r="BB63" s="35" t="n">
        <f aca="false">SUM(BB3:BB62)</f>
        <v>971060.55</v>
      </c>
      <c r="BC63" s="35" t="n">
        <f aca="false">SUM(BC3:BC62)</f>
        <v>4845022.85</v>
      </c>
      <c r="BD63" s="35" t="n">
        <f aca="false">SUM(BD3:BD62)</f>
        <v>1991839.86</v>
      </c>
      <c r="BE63" s="35" t="n">
        <f aca="false">SUM(BE3:BE62)</f>
        <v>1890921.95</v>
      </c>
      <c r="BF63" s="35" t="n">
        <f aca="false">SUM(BF3:BF62)</f>
        <v>425809158.51</v>
      </c>
      <c r="BG63" s="35" t="n">
        <f aca="false">SUM(BG3:BG62)</f>
        <v>1115683.96</v>
      </c>
      <c r="BH63" s="35" t="n">
        <f aca="false">SUM(BH3:BH62)</f>
        <v>835649.69</v>
      </c>
      <c r="BI63" s="35" t="n">
        <f aca="false">SUM(BI3:BI62)</f>
        <v>844972.01</v>
      </c>
      <c r="BJ63" s="35" t="n">
        <f aca="false">SUM(BJ3:BJ62)</f>
        <v>789693.48</v>
      </c>
      <c r="BK63" s="35" t="n">
        <f aca="false">SUM(BK3:BK62)</f>
        <v>614525.11</v>
      </c>
      <c r="BL63" s="35" t="n">
        <f aca="false">SUM(BL3:BL62)</f>
        <v>981554.03</v>
      </c>
      <c r="BM63" s="35" t="n">
        <f aca="false">SUM(BM3:BM62)</f>
        <v>2581005.41</v>
      </c>
      <c r="BN63" s="35" t="n">
        <f aca="false">SUM(BN3:BN62)</f>
        <v>3391100.27</v>
      </c>
      <c r="BO63" s="35" t="n">
        <f aca="false">SUM(BO3:BO62)</f>
        <v>1762411.91</v>
      </c>
      <c r="BP63" s="35" t="n">
        <f aca="false">SUM(BP3:BP62)</f>
        <v>5457201.37</v>
      </c>
      <c r="BQ63" s="35" t="n">
        <f aca="false">SUM(BQ3:BQ62)</f>
        <v>11754906.75</v>
      </c>
      <c r="BR63" s="35" t="n">
        <f aca="false">SUM(BR3:BR62)</f>
        <v>12422193.45</v>
      </c>
      <c r="BS63" s="35" t="n">
        <f aca="false">SUM(BS3:BS62)</f>
        <v>411146.37</v>
      </c>
      <c r="BT63" s="35" t="n">
        <f aca="false">SUM(BT3:BT62)</f>
        <v>1000063.13</v>
      </c>
      <c r="BU63" s="35" t="n">
        <f aca="false">SUM(BU3:BU62)</f>
        <v>9155094.6</v>
      </c>
      <c r="BV63" s="35" t="n">
        <f aca="false">SUM(BV3:BV62)</f>
        <v>8556163.17</v>
      </c>
      <c r="BW63" s="35" t="n">
        <f aca="false">SUM(BW3:BW62)</f>
        <v>540117.66</v>
      </c>
      <c r="BX63" s="35" t="n">
        <f aca="false">SUM(BX3:BX62)</f>
        <v>502532.25</v>
      </c>
      <c r="BY63" s="35" t="n">
        <f aca="false">SUM(BY3:BY62)</f>
        <v>2518397.99</v>
      </c>
      <c r="BZ63" s="35" t="n">
        <f aca="false">SUM(BZ3:BZ62)</f>
        <v>8932661.32</v>
      </c>
      <c r="CA63" s="35" t="n">
        <f aca="false">SUM(CA3:CA62)</f>
        <v>1720670.32</v>
      </c>
      <c r="CB63" s="35" t="n">
        <f aca="false">SUM(CB3:CB62)</f>
        <v>1608103.02</v>
      </c>
      <c r="CC63" s="35" t="n">
        <f aca="false">SUM(CC3:CC62)</f>
        <v>25625509.82</v>
      </c>
      <c r="CD63" s="35" t="n">
        <f aca="false">SUM(CD3:CD62)</f>
        <v>22886237.68</v>
      </c>
      <c r="CE63" s="35" t="n">
        <f aca="false">SUM(CE3:CE62)</f>
        <v>2197222.69</v>
      </c>
      <c r="CF63" s="35" t="n">
        <f aca="false">SUM(CF3:CF62)</f>
        <v>2053479.11</v>
      </c>
      <c r="CG63" s="35" t="n">
        <f aca="false">SUM(CG3:CG62)</f>
        <v>69416631.97</v>
      </c>
      <c r="CH63" s="35" t="n">
        <f aca="false">SUM(CH3:CH62)</f>
        <v>495225790.48</v>
      </c>
      <c r="CI63" s="35" t="n">
        <f aca="false">SUM(CI3:CI62)</f>
        <v>509855482.91</v>
      </c>
      <c r="CJ63" s="35" t="n">
        <f aca="false">SUM(CJ3:CJ62)</f>
        <v>14629692.43</v>
      </c>
      <c r="CK63" s="35"/>
      <c r="CL63" s="35"/>
    </row>
    <row r="64" customFormat="false" ht="14.25" hidden="false" customHeight="false" outlineLevel="0" collapsed="false">
      <c r="CG64" s="19"/>
      <c r="CH64" s="19"/>
      <c r="CI64" s="19"/>
      <c r="CJ64" s="19"/>
      <c r="CK64" s="19"/>
      <c r="CL64" s="19"/>
    </row>
    <row r="65" customFormat="false" ht="14.25" hidden="false" customHeight="false" outlineLevel="0" collapsed="false">
      <c r="CG65" s="19"/>
      <c r="CH65" s="19"/>
      <c r="CI65" s="19"/>
      <c r="CJ65" s="19"/>
      <c r="CK65" s="19"/>
      <c r="CL65" s="19"/>
    </row>
    <row r="66" customFormat="false" ht="14.25" hidden="false" customHeight="false" outlineLevel="0" collapsed="false">
      <c r="CG66" s="19"/>
      <c r="CH66" s="19"/>
      <c r="CI66" s="19"/>
      <c r="CJ66" s="19"/>
      <c r="CK66" s="19"/>
      <c r="CL66" s="19"/>
    </row>
  </sheetData>
  <mergeCells count="1">
    <mergeCell ref="A1:C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2026-03-10T13:29:04Z</dcterms:created>
  <dc:creator>openpyxl</dc:creator>
  <dc:description/>
  <dc:language>en-US</dc:language>
  <cp:lastModifiedBy>Admin</cp:lastModifiedBy>
  <dcterms:modified xsi:type="dcterms:W3CDTF">2026-03-12T06:33:13Z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