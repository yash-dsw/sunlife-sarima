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31040BC-C846-40B9-9BAB-DA01AAAED5EB}" xr6:coauthVersionLast="47" xr6:coauthVersionMax="47" xr10:uidLastSave="{00000000-0000-0000-0000-000000000000}"/>
  <bookViews>
    <workbookView xWindow="-102" yWindow="-102" windowWidth="19813" windowHeight="10509" tabRatio="500" xr2:uid="{00000000-000D-0000-FFFF-FFFF00000000}"/>
  </bookViews>
  <sheets>
    <sheet name="Summary" sheetId="1" r:id="rId1"/>
    <sheet name="Technology" sheetId="2" r:id="rId2"/>
    <sheet name="Operations" sheetId="3" r:id="rId3"/>
    <sheet name="Finance" sheetId="4" r:id="rId4"/>
    <sheet name="HR" sheetId="5" r:id="rId5"/>
    <sheet name="Sales &amp; Marketing" sheetId="6" r:id="rId6"/>
    <sheet name="Risk &amp; Complianc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Q38" i="7" l="1"/>
  <c r="AN38" i="7"/>
  <c r="X38" i="7"/>
  <c r="W38" i="7"/>
  <c r="V38" i="7"/>
  <c r="AM38" i="7" s="1"/>
  <c r="T38" i="7"/>
  <c r="O38" i="7"/>
  <c r="G38" i="7"/>
  <c r="AQ37" i="7"/>
  <c r="AN37" i="7"/>
  <c r="X37" i="7"/>
  <c r="W37" i="7"/>
  <c r="V37" i="7"/>
  <c r="AM37" i="7" s="1"/>
  <c r="O37" i="7"/>
  <c r="G37" i="7"/>
  <c r="T37" i="7" s="1"/>
  <c r="AQ36" i="7"/>
  <c r="AN36" i="7"/>
  <c r="X36" i="7"/>
  <c r="W36" i="7"/>
  <c r="V36" i="7"/>
  <c r="AM36" i="7" s="1"/>
  <c r="T36" i="7"/>
  <c r="O36" i="7"/>
  <c r="G36" i="7"/>
  <c r="AQ35" i="7"/>
  <c r="AN35" i="7"/>
  <c r="X35" i="7"/>
  <c r="W35" i="7"/>
  <c r="V35" i="7"/>
  <c r="AM35" i="7" s="1"/>
  <c r="O35" i="7"/>
  <c r="G35" i="7"/>
  <c r="T35" i="7" s="1"/>
  <c r="AQ34" i="7"/>
  <c r="AN34" i="7"/>
  <c r="AM34" i="7"/>
  <c r="X34" i="7"/>
  <c r="W34" i="7"/>
  <c r="V34" i="7"/>
  <c r="T34" i="7"/>
  <c r="O34" i="7"/>
  <c r="G34" i="7"/>
  <c r="AQ33" i="7"/>
  <c r="AN33" i="7"/>
  <c r="X33" i="7"/>
  <c r="W33" i="7"/>
  <c r="V33" i="7"/>
  <c r="AM33" i="7" s="1"/>
  <c r="T33" i="7"/>
  <c r="O33" i="7"/>
  <c r="G33" i="7"/>
  <c r="AQ32" i="7"/>
  <c r="AN32" i="7"/>
  <c r="X32" i="7"/>
  <c r="W32" i="7"/>
  <c r="V32" i="7"/>
  <c r="AM32" i="7" s="1"/>
  <c r="O32" i="7"/>
  <c r="G32" i="7"/>
  <c r="T32" i="7" s="1"/>
  <c r="AQ31" i="7"/>
  <c r="AN31" i="7"/>
  <c r="X31" i="7"/>
  <c r="W31" i="7"/>
  <c r="AM31" i="7" s="1"/>
  <c r="V31" i="7"/>
  <c r="T31" i="7"/>
  <c r="O31" i="7"/>
  <c r="G31" i="7"/>
  <c r="AQ30" i="7"/>
  <c r="AN30" i="7"/>
  <c r="X30" i="7"/>
  <c r="W30" i="7"/>
  <c r="V30" i="7"/>
  <c r="AM30" i="7" s="1"/>
  <c r="T30" i="7"/>
  <c r="O30" i="7"/>
  <c r="G30" i="7"/>
  <c r="AQ29" i="7"/>
  <c r="AN29" i="7"/>
  <c r="X29" i="7"/>
  <c r="W29" i="7"/>
  <c r="V29" i="7"/>
  <c r="AM29" i="7" s="1"/>
  <c r="O29" i="7"/>
  <c r="G29" i="7"/>
  <c r="T29" i="7" s="1"/>
  <c r="AQ28" i="7"/>
  <c r="AN28" i="7"/>
  <c r="X28" i="7"/>
  <c r="W28" i="7"/>
  <c r="V28" i="7"/>
  <c r="AM28" i="7" s="1"/>
  <c r="T28" i="7"/>
  <c r="O28" i="7"/>
  <c r="G28" i="7"/>
  <c r="AQ27" i="7"/>
  <c r="AN27" i="7"/>
  <c r="X27" i="7"/>
  <c r="W27" i="7"/>
  <c r="V27" i="7"/>
  <c r="AM27" i="7" s="1"/>
  <c r="O27" i="7"/>
  <c r="G27" i="7"/>
  <c r="T27" i="7" s="1"/>
  <c r="AQ26" i="7"/>
  <c r="AN26" i="7"/>
  <c r="AM26" i="7"/>
  <c r="X26" i="7"/>
  <c r="W26" i="7"/>
  <c r="V26" i="7"/>
  <c r="T26" i="7"/>
  <c r="O26" i="7"/>
  <c r="G26" i="7"/>
  <c r="AQ25" i="7"/>
  <c r="AN25" i="7"/>
  <c r="X25" i="7"/>
  <c r="W25" i="7"/>
  <c r="V25" i="7"/>
  <c r="AM25" i="7" s="1"/>
  <c r="T25" i="7"/>
  <c r="O25" i="7"/>
  <c r="G25" i="7"/>
  <c r="AQ24" i="7"/>
  <c r="AN24" i="7"/>
  <c r="X24" i="7"/>
  <c r="W24" i="7"/>
  <c r="V24" i="7"/>
  <c r="AM24" i="7" s="1"/>
  <c r="O24" i="7"/>
  <c r="G24" i="7"/>
  <c r="T24" i="7" s="1"/>
  <c r="AQ23" i="7"/>
  <c r="AN23" i="7"/>
  <c r="X23" i="7"/>
  <c r="W23" i="7"/>
  <c r="AM23" i="7" s="1"/>
  <c r="V23" i="7"/>
  <c r="T23" i="7"/>
  <c r="O23" i="7"/>
  <c r="G23" i="7"/>
  <c r="AQ22" i="7"/>
  <c r="AN22" i="7"/>
  <c r="X22" i="7"/>
  <c r="W22" i="7"/>
  <c r="V22" i="7"/>
  <c r="AM22" i="7" s="1"/>
  <c r="T22" i="7"/>
  <c r="O22" i="7"/>
  <c r="G22" i="7"/>
  <c r="AQ21" i="7"/>
  <c r="AN21" i="7"/>
  <c r="X21" i="7"/>
  <c r="W21" i="7"/>
  <c r="V21" i="7"/>
  <c r="AM21" i="7" s="1"/>
  <c r="O21" i="7"/>
  <c r="G21" i="7"/>
  <c r="T21" i="7" s="1"/>
  <c r="AQ20" i="7"/>
  <c r="AN20" i="7"/>
  <c r="X20" i="7"/>
  <c r="W20" i="7"/>
  <c r="V20" i="7"/>
  <c r="AM20" i="7" s="1"/>
  <c r="T20" i="7"/>
  <c r="O20" i="7"/>
  <c r="G20" i="7"/>
  <c r="AQ19" i="7"/>
  <c r="AN19" i="7"/>
  <c r="X19" i="7"/>
  <c r="W19" i="7"/>
  <c r="V19" i="7"/>
  <c r="AM19" i="7" s="1"/>
  <c r="O19" i="7"/>
  <c r="G19" i="7"/>
  <c r="T19" i="7" s="1"/>
  <c r="AQ18" i="7"/>
  <c r="AN18" i="7"/>
  <c r="AM18" i="7"/>
  <c r="X18" i="7"/>
  <c r="W18" i="7"/>
  <c r="V18" i="7"/>
  <c r="T18" i="7"/>
  <c r="O18" i="7"/>
  <c r="G18" i="7"/>
  <c r="AQ17" i="7"/>
  <c r="AN17" i="7"/>
  <c r="X17" i="7"/>
  <c r="W17" i="7"/>
  <c r="V17" i="7"/>
  <c r="AM17" i="7" s="1"/>
  <c r="T17" i="7"/>
  <c r="O17" i="7"/>
  <c r="G17" i="7"/>
  <c r="AQ16" i="7"/>
  <c r="AN16" i="7"/>
  <c r="X16" i="7"/>
  <c r="W16" i="7"/>
  <c r="V16" i="7"/>
  <c r="AM16" i="7" s="1"/>
  <c r="O16" i="7"/>
  <c r="G16" i="7"/>
  <c r="T16" i="7" s="1"/>
  <c r="AQ15" i="7"/>
  <c r="AN15" i="7"/>
  <c r="X15" i="7"/>
  <c r="W15" i="7"/>
  <c r="AM15" i="7" s="1"/>
  <c r="V15" i="7"/>
  <c r="T15" i="7"/>
  <c r="O15" i="7"/>
  <c r="G15" i="7"/>
  <c r="AQ14" i="7"/>
  <c r="AN14" i="7"/>
  <c r="X14" i="7"/>
  <c r="W14" i="7"/>
  <c r="V14" i="7"/>
  <c r="AM14" i="7" s="1"/>
  <c r="T14" i="7"/>
  <c r="O14" i="7"/>
  <c r="G14" i="7"/>
  <c r="AQ13" i="7"/>
  <c r="AN13" i="7"/>
  <c r="X13" i="7"/>
  <c r="W13" i="7"/>
  <c r="V13" i="7"/>
  <c r="AM13" i="7" s="1"/>
  <c r="O13" i="7"/>
  <c r="G13" i="7"/>
  <c r="T13" i="7" s="1"/>
  <c r="AQ12" i="7"/>
  <c r="AN12" i="7"/>
  <c r="X12" i="7"/>
  <c r="W12" i="7"/>
  <c r="V12" i="7"/>
  <c r="AM12" i="7" s="1"/>
  <c r="T12" i="7"/>
  <c r="O12" i="7"/>
  <c r="G12" i="7"/>
  <c r="AQ11" i="7"/>
  <c r="AN11" i="7"/>
  <c r="X11" i="7"/>
  <c r="W11" i="7"/>
  <c r="V11" i="7"/>
  <c r="AM11" i="7" s="1"/>
  <c r="O11" i="7"/>
  <c r="G11" i="7"/>
  <c r="T11" i="7" s="1"/>
  <c r="AQ10" i="7"/>
  <c r="AN10" i="7"/>
  <c r="AM10" i="7"/>
  <c r="X10" i="7"/>
  <c r="W10" i="7"/>
  <c r="V10" i="7"/>
  <c r="T10" i="7"/>
  <c r="O10" i="7"/>
  <c r="G10" i="7"/>
  <c r="AQ9" i="7"/>
  <c r="AN9" i="7"/>
  <c r="X9" i="7"/>
  <c r="W9" i="7"/>
  <c r="V9" i="7"/>
  <c r="AM9" i="7" s="1"/>
  <c r="T9" i="7"/>
  <c r="O9" i="7"/>
  <c r="G9" i="7"/>
  <c r="AQ8" i="7"/>
  <c r="AN8" i="7"/>
  <c r="X8" i="7"/>
  <c r="W8" i="7"/>
  <c r="V8" i="7"/>
  <c r="AM8" i="7" s="1"/>
  <c r="O8" i="7"/>
  <c r="G8" i="7"/>
  <c r="T8" i="7" s="1"/>
  <c r="AQ7" i="7"/>
  <c r="AN7" i="7"/>
  <c r="X7" i="7"/>
  <c r="W7" i="7"/>
  <c r="AM7" i="7" s="1"/>
  <c r="V7" i="7"/>
  <c r="T7" i="7"/>
  <c r="O7" i="7"/>
  <c r="G7" i="7"/>
  <c r="AQ6" i="7"/>
  <c r="AN6" i="7"/>
  <c r="X6" i="7"/>
  <c r="W6" i="7"/>
  <c r="V6" i="7"/>
  <c r="AM6" i="7" s="1"/>
  <c r="T6" i="7"/>
  <c r="O6" i="7"/>
  <c r="G6" i="7"/>
  <c r="AQ5" i="7"/>
  <c r="AN5" i="7"/>
  <c r="X5" i="7"/>
  <c r="W5" i="7"/>
  <c r="V5" i="7"/>
  <c r="AM5" i="7" s="1"/>
  <c r="O5" i="7"/>
  <c r="G5" i="7"/>
  <c r="T5" i="7" s="1"/>
  <c r="AQ4" i="7"/>
  <c r="AN4" i="7"/>
  <c r="X4" i="7"/>
  <c r="W4" i="7"/>
  <c r="V4" i="7"/>
  <c r="AM4" i="7" s="1"/>
  <c r="T4" i="7"/>
  <c r="O4" i="7"/>
  <c r="G4" i="7"/>
  <c r="AQ3" i="7"/>
  <c r="AN3" i="7"/>
  <c r="X3" i="7"/>
  <c r="W3" i="7"/>
  <c r="V3" i="7"/>
  <c r="AM3" i="7" s="1"/>
  <c r="O3" i="7"/>
  <c r="G3" i="7"/>
  <c r="T3" i="7" s="1"/>
  <c r="AQ38" i="6"/>
  <c r="AN38" i="6"/>
  <c r="X38" i="6"/>
  <c r="W38" i="6"/>
  <c r="V38" i="6"/>
  <c r="AM38" i="6" s="1"/>
  <c r="O38" i="6"/>
  <c r="G38" i="6"/>
  <c r="T38" i="6" s="1"/>
  <c r="AQ37" i="6"/>
  <c r="AN37" i="6"/>
  <c r="AM37" i="6"/>
  <c r="X37" i="6"/>
  <c r="W37" i="6"/>
  <c r="V37" i="6"/>
  <c r="T37" i="6"/>
  <c r="O37" i="6"/>
  <c r="G37" i="6"/>
  <c r="AQ36" i="6"/>
  <c r="AN36" i="6"/>
  <c r="X36" i="6"/>
  <c r="W36" i="6"/>
  <c r="V36" i="6"/>
  <c r="AM36" i="6" s="1"/>
  <c r="O36" i="6"/>
  <c r="G36" i="6"/>
  <c r="T36" i="6" s="1"/>
  <c r="AQ35" i="6"/>
  <c r="AN35" i="6"/>
  <c r="AM35" i="6"/>
  <c r="X35" i="6"/>
  <c r="W35" i="6"/>
  <c r="V35" i="6"/>
  <c r="O35" i="6"/>
  <c r="G35" i="6"/>
  <c r="T35" i="6" s="1"/>
  <c r="AQ34" i="6"/>
  <c r="AN34" i="6"/>
  <c r="X34" i="6"/>
  <c r="W34" i="6"/>
  <c r="V34" i="6"/>
  <c r="AM34" i="6" s="1"/>
  <c r="O34" i="6"/>
  <c r="G34" i="6"/>
  <c r="T34" i="6" s="1"/>
  <c r="AQ33" i="6"/>
  <c r="AN33" i="6"/>
  <c r="X33" i="6"/>
  <c r="W33" i="6"/>
  <c r="AM33" i="6" s="1"/>
  <c r="V33" i="6"/>
  <c r="T33" i="6"/>
  <c r="O33" i="6"/>
  <c r="G33" i="6"/>
  <c r="AQ32" i="6"/>
  <c r="AN32" i="6"/>
  <c r="X32" i="6"/>
  <c r="W32" i="6"/>
  <c r="V32" i="6"/>
  <c r="AM32" i="6" s="1"/>
  <c r="T32" i="6"/>
  <c r="O32" i="6"/>
  <c r="G32" i="6"/>
  <c r="AQ31" i="6"/>
  <c r="AN31" i="6"/>
  <c r="X31" i="6"/>
  <c r="W31" i="6"/>
  <c r="V31" i="6"/>
  <c r="AM31" i="6" s="1"/>
  <c r="O31" i="6"/>
  <c r="G31" i="6"/>
  <c r="T31" i="6" s="1"/>
  <c r="AQ30" i="6"/>
  <c r="AN30" i="6"/>
  <c r="X30" i="6"/>
  <c r="W30" i="6"/>
  <c r="V30" i="6"/>
  <c r="AM30" i="6" s="1"/>
  <c r="O30" i="6"/>
  <c r="G30" i="6"/>
  <c r="T30" i="6" s="1"/>
  <c r="AQ29" i="6"/>
  <c r="AN29" i="6"/>
  <c r="AM29" i="6"/>
  <c r="X29" i="6"/>
  <c r="W29" i="6"/>
  <c r="V29" i="6"/>
  <c r="T29" i="6"/>
  <c r="O29" i="6"/>
  <c r="G29" i="6"/>
  <c r="AQ28" i="6"/>
  <c r="AN28" i="6"/>
  <c r="X28" i="6"/>
  <c r="W28" i="6"/>
  <c r="V28" i="6"/>
  <c r="AM28" i="6" s="1"/>
  <c r="T28" i="6"/>
  <c r="O28" i="6"/>
  <c r="G28" i="6"/>
  <c r="AQ27" i="6"/>
  <c r="AN27" i="6"/>
  <c r="X27" i="6"/>
  <c r="W27" i="6"/>
  <c r="V27" i="6"/>
  <c r="AM27" i="6" s="1"/>
  <c r="O27" i="6"/>
  <c r="G27" i="6"/>
  <c r="T27" i="6" s="1"/>
  <c r="AQ26" i="6"/>
  <c r="AN26" i="6"/>
  <c r="X26" i="6"/>
  <c r="W26" i="6"/>
  <c r="V26" i="6"/>
  <c r="AM26" i="6" s="1"/>
  <c r="O26" i="6"/>
  <c r="G26" i="6"/>
  <c r="T26" i="6" s="1"/>
  <c r="AQ25" i="6"/>
  <c r="AN25" i="6"/>
  <c r="X25" i="6"/>
  <c r="AM25" i="6" s="1"/>
  <c r="W25" i="6"/>
  <c r="V25" i="6"/>
  <c r="T25" i="6"/>
  <c r="O25" i="6"/>
  <c r="G25" i="6"/>
  <c r="AQ24" i="6"/>
  <c r="AN24" i="6"/>
  <c r="X24" i="6"/>
  <c r="W24" i="6"/>
  <c r="V24" i="6"/>
  <c r="AM24" i="6" s="1"/>
  <c r="T24" i="6"/>
  <c r="O24" i="6"/>
  <c r="G24" i="6"/>
  <c r="AQ23" i="6"/>
  <c r="AN23" i="6"/>
  <c r="X23" i="6"/>
  <c r="W23" i="6"/>
  <c r="V23" i="6"/>
  <c r="AM23" i="6" s="1"/>
  <c r="O23" i="6"/>
  <c r="G23" i="6"/>
  <c r="T23" i="6" s="1"/>
  <c r="AQ22" i="6"/>
  <c r="AN22" i="6"/>
  <c r="X22" i="6"/>
  <c r="W22" i="6"/>
  <c r="V22" i="6"/>
  <c r="AM22" i="6" s="1"/>
  <c r="O22" i="6"/>
  <c r="G22" i="6"/>
  <c r="T22" i="6" s="1"/>
  <c r="AQ21" i="6"/>
  <c r="AN21" i="6"/>
  <c r="AM21" i="6"/>
  <c r="X21" i="6"/>
  <c r="W21" i="6"/>
  <c r="V21" i="6"/>
  <c r="T21" i="6"/>
  <c r="O21" i="6"/>
  <c r="G21" i="6"/>
  <c r="AQ20" i="6"/>
  <c r="AN20" i="6"/>
  <c r="X20" i="6"/>
  <c r="W20" i="6"/>
  <c r="V20" i="6"/>
  <c r="AM20" i="6" s="1"/>
  <c r="T20" i="6"/>
  <c r="O20" i="6"/>
  <c r="G20" i="6"/>
  <c r="AQ19" i="6"/>
  <c r="AN19" i="6"/>
  <c r="X19" i="6"/>
  <c r="W19" i="6"/>
  <c r="V19" i="6"/>
  <c r="AM19" i="6" s="1"/>
  <c r="O19" i="6"/>
  <c r="G19" i="6"/>
  <c r="T19" i="6" s="1"/>
  <c r="AQ18" i="6"/>
  <c r="AN18" i="6"/>
  <c r="X18" i="6"/>
  <c r="W18" i="6"/>
  <c r="V18" i="6"/>
  <c r="AM18" i="6" s="1"/>
  <c r="O18" i="6"/>
  <c r="G18" i="6"/>
  <c r="T18" i="6" s="1"/>
  <c r="AQ17" i="6"/>
  <c r="AN17" i="6"/>
  <c r="X17" i="6"/>
  <c r="AM17" i="6" s="1"/>
  <c r="W17" i="6"/>
  <c r="V17" i="6"/>
  <c r="T17" i="6"/>
  <c r="O17" i="6"/>
  <c r="G17" i="6"/>
  <c r="AQ16" i="6"/>
  <c r="AN16" i="6"/>
  <c r="X16" i="6"/>
  <c r="W16" i="6"/>
  <c r="V16" i="6"/>
  <c r="AM16" i="6" s="1"/>
  <c r="O16" i="6"/>
  <c r="G16" i="6"/>
  <c r="T16" i="6" s="1"/>
  <c r="AQ15" i="6"/>
  <c r="AN15" i="6"/>
  <c r="X15" i="6"/>
  <c r="W15" i="6"/>
  <c r="V15" i="6"/>
  <c r="AM15" i="6" s="1"/>
  <c r="O15" i="6"/>
  <c r="G15" i="6"/>
  <c r="T15" i="6" s="1"/>
  <c r="AQ14" i="6"/>
  <c r="AN14" i="6"/>
  <c r="X14" i="6"/>
  <c r="W14" i="6"/>
  <c r="V14" i="6"/>
  <c r="AM14" i="6" s="1"/>
  <c r="O14" i="6"/>
  <c r="G14" i="6"/>
  <c r="T14" i="6" s="1"/>
  <c r="AQ13" i="6"/>
  <c r="AN13" i="6"/>
  <c r="AM13" i="6"/>
  <c r="X13" i="6"/>
  <c r="W13" i="6"/>
  <c r="V13" i="6"/>
  <c r="T13" i="6"/>
  <c r="O13" i="6"/>
  <c r="G13" i="6"/>
  <c r="AQ12" i="6"/>
  <c r="AN12" i="6"/>
  <c r="X12" i="6"/>
  <c r="W12" i="6"/>
  <c r="V12" i="6"/>
  <c r="AM12" i="6" s="1"/>
  <c r="T12" i="6"/>
  <c r="O12" i="6"/>
  <c r="G12" i="6"/>
  <c r="AQ11" i="6"/>
  <c r="AN11" i="6"/>
  <c r="X11" i="6"/>
  <c r="W11" i="6"/>
  <c r="V11" i="6"/>
  <c r="AM11" i="6" s="1"/>
  <c r="O11" i="6"/>
  <c r="G11" i="6"/>
  <c r="T11" i="6" s="1"/>
  <c r="AQ10" i="6"/>
  <c r="AN10" i="6"/>
  <c r="X10" i="6"/>
  <c r="W10" i="6"/>
  <c r="V10" i="6"/>
  <c r="AM10" i="6" s="1"/>
  <c r="O10" i="6"/>
  <c r="G10" i="6"/>
  <c r="T10" i="6" s="1"/>
  <c r="AQ9" i="6"/>
  <c r="AN9" i="6"/>
  <c r="X9" i="6"/>
  <c r="AM9" i="6" s="1"/>
  <c r="W9" i="6"/>
  <c r="V9" i="6"/>
  <c r="T9" i="6"/>
  <c r="O9" i="6"/>
  <c r="G9" i="6"/>
  <c r="AQ8" i="6"/>
  <c r="AN8" i="6"/>
  <c r="X8" i="6"/>
  <c r="W8" i="6"/>
  <c r="V8" i="6"/>
  <c r="AM8" i="6" s="1"/>
  <c r="O8" i="6"/>
  <c r="G8" i="6"/>
  <c r="T8" i="6" s="1"/>
  <c r="AQ7" i="6"/>
  <c r="AN7" i="6"/>
  <c r="X7" i="6"/>
  <c r="W7" i="6"/>
  <c r="V7" i="6"/>
  <c r="AM7" i="6" s="1"/>
  <c r="O7" i="6"/>
  <c r="G7" i="6"/>
  <c r="T7" i="6" s="1"/>
  <c r="AQ6" i="6"/>
  <c r="AN6" i="6"/>
  <c r="X6" i="6"/>
  <c r="W6" i="6"/>
  <c r="V6" i="6"/>
  <c r="AM6" i="6" s="1"/>
  <c r="O6" i="6"/>
  <c r="G6" i="6"/>
  <c r="T6" i="6" s="1"/>
  <c r="AQ5" i="6"/>
  <c r="AN5" i="6"/>
  <c r="AM5" i="6"/>
  <c r="X5" i="6"/>
  <c r="W5" i="6"/>
  <c r="V5" i="6"/>
  <c r="T5" i="6"/>
  <c r="O5" i="6"/>
  <c r="G5" i="6"/>
  <c r="AQ4" i="6"/>
  <c r="AN4" i="6"/>
  <c r="X4" i="6"/>
  <c r="W4" i="6"/>
  <c r="V4" i="6"/>
  <c r="AM4" i="6" s="1"/>
  <c r="T4" i="6"/>
  <c r="O4" i="6"/>
  <c r="G4" i="6"/>
  <c r="AQ3" i="6"/>
  <c r="AN3" i="6"/>
  <c r="X3" i="6"/>
  <c r="W3" i="6"/>
  <c r="V3" i="6"/>
  <c r="AM3" i="6" s="1"/>
  <c r="O3" i="6"/>
  <c r="G3" i="6"/>
  <c r="T3" i="6" s="1"/>
  <c r="AQ38" i="5"/>
  <c r="AN38" i="5"/>
  <c r="X38" i="5"/>
  <c r="W38" i="5"/>
  <c r="AM38" i="5" s="1"/>
  <c r="V38" i="5"/>
  <c r="T38" i="5"/>
  <c r="O38" i="5"/>
  <c r="G38" i="5"/>
  <c r="AQ37" i="5"/>
  <c r="AN37" i="5"/>
  <c r="X37" i="5"/>
  <c r="W37" i="5"/>
  <c r="V37" i="5"/>
  <c r="AM37" i="5" s="1"/>
  <c r="T37" i="5"/>
  <c r="O37" i="5"/>
  <c r="G37" i="5"/>
  <c r="AQ36" i="5"/>
  <c r="AN36" i="5"/>
  <c r="X36" i="5"/>
  <c r="W36" i="5"/>
  <c r="V36" i="5"/>
  <c r="AM36" i="5" s="1"/>
  <c r="O36" i="5"/>
  <c r="G36" i="5"/>
  <c r="T36" i="5" s="1"/>
  <c r="AQ35" i="5"/>
  <c r="AN35" i="5"/>
  <c r="X35" i="5"/>
  <c r="W35" i="5"/>
  <c r="AM35" i="5" s="1"/>
  <c r="V35" i="5"/>
  <c r="O35" i="5"/>
  <c r="G35" i="5"/>
  <c r="T35" i="5" s="1"/>
  <c r="AQ34" i="5"/>
  <c r="AN34" i="5"/>
  <c r="X34" i="5"/>
  <c r="AM34" i="5" s="1"/>
  <c r="W34" i="5"/>
  <c r="V34" i="5"/>
  <c r="O34" i="5"/>
  <c r="G34" i="5"/>
  <c r="T34" i="5" s="1"/>
  <c r="AQ33" i="5"/>
  <c r="AN33" i="5"/>
  <c r="AM33" i="5"/>
  <c r="X33" i="5"/>
  <c r="W33" i="5"/>
  <c r="V33" i="5"/>
  <c r="O33" i="5"/>
  <c r="G33" i="5"/>
  <c r="T33" i="5" s="1"/>
  <c r="AQ32" i="5"/>
  <c r="AN32" i="5"/>
  <c r="X32" i="5"/>
  <c r="W32" i="5"/>
  <c r="AM32" i="5" s="1"/>
  <c r="V32" i="5"/>
  <c r="O32" i="5"/>
  <c r="G32" i="5"/>
  <c r="T32" i="5" s="1"/>
  <c r="AQ31" i="5"/>
  <c r="AN31" i="5"/>
  <c r="X31" i="5"/>
  <c r="W31" i="5"/>
  <c r="V31" i="5"/>
  <c r="AM31" i="5" s="1"/>
  <c r="O31" i="5"/>
  <c r="G31" i="5"/>
  <c r="T31" i="5" s="1"/>
  <c r="AQ30" i="5"/>
  <c r="AN30" i="5"/>
  <c r="X30" i="5"/>
  <c r="W30" i="5"/>
  <c r="AM30" i="5" s="1"/>
  <c r="V30" i="5"/>
  <c r="T30" i="5"/>
  <c r="O30" i="5"/>
  <c r="G30" i="5"/>
  <c r="AQ29" i="5"/>
  <c r="AN29" i="5"/>
  <c r="X29" i="5"/>
  <c r="W29" i="5"/>
  <c r="AM29" i="5" s="1"/>
  <c r="V29" i="5"/>
  <c r="T29" i="5"/>
  <c r="O29" i="5"/>
  <c r="G29" i="5"/>
  <c r="AQ28" i="5"/>
  <c r="AN28" i="5"/>
  <c r="X28" i="5"/>
  <c r="W28" i="5"/>
  <c r="V28" i="5"/>
  <c r="AM28" i="5" s="1"/>
  <c r="T28" i="5"/>
  <c r="O28" i="5"/>
  <c r="G28" i="5"/>
  <c r="AQ27" i="5"/>
  <c r="AR27" i="5" s="1"/>
  <c r="AN27" i="5"/>
  <c r="X27" i="5"/>
  <c r="W27" i="5"/>
  <c r="V27" i="5"/>
  <c r="T27" i="5"/>
  <c r="O27" i="5"/>
  <c r="G27" i="5"/>
  <c r="AQ26" i="5"/>
  <c r="AN26" i="5"/>
  <c r="X26" i="5"/>
  <c r="W26" i="5"/>
  <c r="V26" i="5"/>
  <c r="T26" i="5"/>
  <c r="O26" i="5"/>
  <c r="G26" i="5"/>
  <c r="AQ25" i="5"/>
  <c r="AN25" i="5"/>
  <c r="X25" i="5"/>
  <c r="W25" i="5"/>
  <c r="V25" i="5"/>
  <c r="AM25" i="5" s="1"/>
  <c r="T25" i="5"/>
  <c r="O25" i="5"/>
  <c r="G25" i="5"/>
  <c r="AQ24" i="5"/>
  <c r="AN24" i="5"/>
  <c r="X24" i="5"/>
  <c r="W24" i="5"/>
  <c r="V24" i="5"/>
  <c r="T24" i="5"/>
  <c r="O24" i="5"/>
  <c r="G24" i="5"/>
  <c r="AQ23" i="5"/>
  <c r="AN23" i="5"/>
  <c r="X23" i="5"/>
  <c r="W23" i="5"/>
  <c r="V23" i="5"/>
  <c r="AM23" i="5" s="1"/>
  <c r="AO23" i="5" s="1"/>
  <c r="T23" i="5"/>
  <c r="O23" i="5"/>
  <c r="G23" i="5"/>
  <c r="AQ22" i="5"/>
  <c r="AN22" i="5"/>
  <c r="X22" i="5"/>
  <c r="W22" i="5"/>
  <c r="V22" i="5"/>
  <c r="T22" i="5"/>
  <c r="O22" i="5"/>
  <c r="G22" i="5"/>
  <c r="AQ21" i="5"/>
  <c r="AN21" i="5"/>
  <c r="X21" i="5"/>
  <c r="W21" i="5"/>
  <c r="V21" i="5"/>
  <c r="AM21" i="5" s="1"/>
  <c r="AO21" i="5" s="1"/>
  <c r="T21" i="5"/>
  <c r="O21" i="5"/>
  <c r="G21" i="5"/>
  <c r="AQ20" i="5"/>
  <c r="AN20" i="5"/>
  <c r="X20" i="5"/>
  <c r="W20" i="5"/>
  <c r="V20" i="5"/>
  <c r="T20" i="5"/>
  <c r="O20" i="5"/>
  <c r="G20" i="5"/>
  <c r="AQ19" i="5"/>
  <c r="AN19" i="5"/>
  <c r="X19" i="5"/>
  <c r="W19" i="5"/>
  <c r="V19" i="5"/>
  <c r="AM19" i="5" s="1"/>
  <c r="T19" i="5"/>
  <c r="O19" i="5"/>
  <c r="G19" i="5"/>
  <c r="AQ18" i="5"/>
  <c r="AN18" i="5"/>
  <c r="X18" i="5"/>
  <c r="W18" i="5"/>
  <c r="V18" i="5"/>
  <c r="T18" i="5"/>
  <c r="O18" i="5"/>
  <c r="G18" i="5"/>
  <c r="AQ17" i="5"/>
  <c r="AN17" i="5"/>
  <c r="X17" i="5"/>
  <c r="W17" i="5"/>
  <c r="V17" i="5"/>
  <c r="AM17" i="5" s="1"/>
  <c r="AO17" i="5" s="1"/>
  <c r="T17" i="5"/>
  <c r="O17" i="5"/>
  <c r="G17" i="5"/>
  <c r="AQ16" i="5"/>
  <c r="AN16" i="5"/>
  <c r="X16" i="5"/>
  <c r="W16" i="5"/>
  <c r="V16" i="5"/>
  <c r="T16" i="5"/>
  <c r="O16" i="5"/>
  <c r="G16" i="5"/>
  <c r="AQ15" i="5"/>
  <c r="AR15" i="5" s="1"/>
  <c r="AN15" i="5"/>
  <c r="X15" i="5"/>
  <c r="W15" i="5"/>
  <c r="V15" i="5"/>
  <c r="O15" i="5"/>
  <c r="G15" i="5"/>
  <c r="T15" i="5" s="1"/>
  <c r="AQ14" i="5"/>
  <c r="AN14" i="5"/>
  <c r="X14" i="5"/>
  <c r="W14" i="5"/>
  <c r="V14" i="5"/>
  <c r="O14" i="5"/>
  <c r="G14" i="5"/>
  <c r="T14" i="5" s="1"/>
  <c r="AQ13" i="5"/>
  <c r="AN13" i="5"/>
  <c r="X13" i="5"/>
  <c r="W13" i="5"/>
  <c r="V13" i="5"/>
  <c r="O13" i="5"/>
  <c r="G13" i="5"/>
  <c r="T13" i="5" s="1"/>
  <c r="AQ12" i="5"/>
  <c r="AN12" i="5"/>
  <c r="X12" i="5"/>
  <c r="W12" i="5"/>
  <c r="V12" i="5"/>
  <c r="O12" i="5"/>
  <c r="G12" i="5"/>
  <c r="T12" i="5" s="1"/>
  <c r="AQ11" i="5"/>
  <c r="AN11" i="5"/>
  <c r="X11" i="5"/>
  <c r="W11" i="5"/>
  <c r="V11" i="5"/>
  <c r="O11" i="5"/>
  <c r="G11" i="5"/>
  <c r="T11" i="5" s="1"/>
  <c r="AQ10" i="5"/>
  <c r="AN10" i="5"/>
  <c r="X10" i="5"/>
  <c r="W10" i="5"/>
  <c r="V10" i="5"/>
  <c r="O10" i="5"/>
  <c r="G10" i="5"/>
  <c r="T10" i="5" s="1"/>
  <c r="AQ9" i="5"/>
  <c r="AN9" i="5"/>
  <c r="X9" i="5"/>
  <c r="W9" i="5"/>
  <c r="V9" i="5"/>
  <c r="O9" i="5"/>
  <c r="G9" i="5"/>
  <c r="T9" i="5" s="1"/>
  <c r="AQ8" i="5"/>
  <c r="AN8" i="5"/>
  <c r="X8" i="5"/>
  <c r="W8" i="5"/>
  <c r="V8" i="5"/>
  <c r="O8" i="5"/>
  <c r="G8" i="5"/>
  <c r="T8" i="5" s="1"/>
  <c r="AQ7" i="5"/>
  <c r="AN7" i="5"/>
  <c r="X7" i="5"/>
  <c r="W7" i="5"/>
  <c r="V7" i="5"/>
  <c r="O7" i="5"/>
  <c r="G7" i="5"/>
  <c r="T7" i="5" s="1"/>
  <c r="AQ6" i="5"/>
  <c r="AN6" i="5"/>
  <c r="X6" i="5"/>
  <c r="W6" i="5"/>
  <c r="V6" i="5"/>
  <c r="O6" i="5"/>
  <c r="G6" i="5"/>
  <c r="T6" i="5" s="1"/>
  <c r="AQ5" i="5"/>
  <c r="AN5" i="5"/>
  <c r="X5" i="5"/>
  <c r="W5" i="5"/>
  <c r="V5" i="5"/>
  <c r="O5" i="5"/>
  <c r="G5" i="5"/>
  <c r="T5" i="5" s="1"/>
  <c r="AQ4" i="5"/>
  <c r="AN4" i="5"/>
  <c r="X4" i="5"/>
  <c r="W4" i="5"/>
  <c r="V4" i="5"/>
  <c r="O4" i="5"/>
  <c r="G4" i="5"/>
  <c r="T4" i="5" s="1"/>
  <c r="AQ3" i="5"/>
  <c r="AR3" i="5" s="1"/>
  <c r="AN3" i="5"/>
  <c r="AM3" i="5"/>
  <c r="X3" i="5"/>
  <c r="W3" i="5"/>
  <c r="V3" i="5"/>
  <c r="O3" i="5"/>
  <c r="G3" i="5"/>
  <c r="T3" i="5" s="1"/>
  <c r="AQ38" i="4"/>
  <c r="AN38" i="4"/>
  <c r="X38" i="4"/>
  <c r="W38" i="4"/>
  <c r="V38" i="4"/>
  <c r="AM38" i="4" s="1"/>
  <c r="T38" i="4"/>
  <c r="O38" i="4"/>
  <c r="G38" i="4"/>
  <c r="AQ37" i="4"/>
  <c r="AN37" i="4"/>
  <c r="X37" i="4"/>
  <c r="W37" i="4"/>
  <c r="V37" i="4"/>
  <c r="AM37" i="4" s="1"/>
  <c r="T37" i="4"/>
  <c r="O37" i="4"/>
  <c r="G37" i="4"/>
  <c r="AQ36" i="4"/>
  <c r="AN36" i="4"/>
  <c r="X36" i="4"/>
  <c r="W36" i="4"/>
  <c r="V36" i="4"/>
  <c r="AM36" i="4" s="1"/>
  <c r="T36" i="4"/>
  <c r="O36" i="4"/>
  <c r="G36" i="4"/>
  <c r="AQ35" i="4"/>
  <c r="AN35" i="4"/>
  <c r="X35" i="4"/>
  <c r="W35" i="4"/>
  <c r="V35" i="4"/>
  <c r="T35" i="4"/>
  <c r="O35" i="4"/>
  <c r="G35" i="4"/>
  <c r="AQ34" i="4"/>
  <c r="AN34" i="4"/>
  <c r="X34" i="4"/>
  <c r="W34" i="4"/>
  <c r="V34" i="4"/>
  <c r="T34" i="4"/>
  <c r="O34" i="4"/>
  <c r="G34" i="4"/>
  <c r="AQ33" i="4"/>
  <c r="AN33" i="4"/>
  <c r="X33" i="4"/>
  <c r="W33" i="4"/>
  <c r="V33" i="4"/>
  <c r="AM33" i="4" s="1"/>
  <c r="T33" i="4"/>
  <c r="O33" i="4"/>
  <c r="G33" i="4"/>
  <c r="AQ32" i="4"/>
  <c r="AN32" i="4"/>
  <c r="X32" i="4"/>
  <c r="W32" i="4"/>
  <c r="V32" i="4"/>
  <c r="AM32" i="4" s="1"/>
  <c r="T32" i="4"/>
  <c r="O32" i="4"/>
  <c r="G32" i="4"/>
  <c r="AQ31" i="4"/>
  <c r="AN31" i="4"/>
  <c r="X31" i="4"/>
  <c r="W31" i="4"/>
  <c r="V31" i="4"/>
  <c r="AM31" i="4" s="1"/>
  <c r="O31" i="4"/>
  <c r="G31" i="4"/>
  <c r="T31" i="4" s="1"/>
  <c r="AQ30" i="4"/>
  <c r="AN30" i="4"/>
  <c r="X30" i="4"/>
  <c r="W30" i="4"/>
  <c r="V30" i="4"/>
  <c r="AM30" i="4" s="1"/>
  <c r="O30" i="4"/>
  <c r="G30" i="4"/>
  <c r="T30" i="4" s="1"/>
  <c r="AQ29" i="4"/>
  <c r="AN29" i="4"/>
  <c r="X29" i="4"/>
  <c r="W29" i="4"/>
  <c r="V29" i="4"/>
  <c r="O29" i="4"/>
  <c r="G29" i="4"/>
  <c r="T29" i="4" s="1"/>
  <c r="AQ28" i="4"/>
  <c r="AN28" i="4"/>
  <c r="X28" i="4"/>
  <c r="W28" i="4"/>
  <c r="V28" i="4"/>
  <c r="AM28" i="4" s="1"/>
  <c r="AO28" i="4" s="1"/>
  <c r="O28" i="4"/>
  <c r="G28" i="4"/>
  <c r="T28" i="4" s="1"/>
  <c r="AR27" i="4"/>
  <c r="AQ27" i="4"/>
  <c r="AN27" i="4"/>
  <c r="X27" i="4"/>
  <c r="W27" i="4"/>
  <c r="AM27" i="4" s="1"/>
  <c r="V27" i="4"/>
  <c r="O27" i="4"/>
  <c r="G27" i="4"/>
  <c r="T27" i="4" s="1"/>
  <c r="AQ26" i="4"/>
  <c r="AN26" i="4"/>
  <c r="X26" i="4"/>
  <c r="W26" i="4"/>
  <c r="V26" i="4"/>
  <c r="AM26" i="4" s="1"/>
  <c r="O26" i="4"/>
  <c r="G26" i="4"/>
  <c r="T26" i="4" s="1"/>
  <c r="AQ25" i="4"/>
  <c r="AN25" i="4"/>
  <c r="X25" i="4"/>
  <c r="W25" i="4"/>
  <c r="V25" i="4"/>
  <c r="AM25" i="4" s="1"/>
  <c r="AO25" i="4" s="1"/>
  <c r="O25" i="4"/>
  <c r="G25" i="4"/>
  <c r="T25" i="4" s="1"/>
  <c r="AQ24" i="4"/>
  <c r="AN24" i="4"/>
  <c r="X24" i="4"/>
  <c r="W24" i="4"/>
  <c r="V24" i="4"/>
  <c r="O24" i="4"/>
  <c r="G24" i="4"/>
  <c r="T24" i="4" s="1"/>
  <c r="AQ23" i="4"/>
  <c r="AN23" i="4"/>
  <c r="X23" i="4"/>
  <c r="W23" i="4"/>
  <c r="V23" i="4"/>
  <c r="O23" i="4"/>
  <c r="G23" i="4"/>
  <c r="T23" i="4" s="1"/>
  <c r="AQ22" i="4"/>
  <c r="AN22" i="4"/>
  <c r="X22" i="4"/>
  <c r="W22" i="4"/>
  <c r="V22" i="4"/>
  <c r="O22" i="4"/>
  <c r="G22" i="4"/>
  <c r="T22" i="4" s="1"/>
  <c r="AQ21" i="4"/>
  <c r="AN21" i="4"/>
  <c r="X21" i="4"/>
  <c r="W21" i="4"/>
  <c r="V21" i="4"/>
  <c r="AM21" i="4" s="1"/>
  <c r="O21" i="4"/>
  <c r="G21" i="4"/>
  <c r="T21" i="4" s="1"/>
  <c r="AQ20" i="4"/>
  <c r="AN20" i="4"/>
  <c r="X20" i="4"/>
  <c r="W20" i="4"/>
  <c r="V20" i="4"/>
  <c r="AM20" i="4" s="1"/>
  <c r="O20" i="4"/>
  <c r="G20" i="4"/>
  <c r="T20" i="4" s="1"/>
  <c r="AQ19" i="4"/>
  <c r="AO19" i="4"/>
  <c r="AN19" i="4"/>
  <c r="X19" i="4"/>
  <c r="W19" i="4"/>
  <c r="AM19" i="4" s="1"/>
  <c r="V19" i="4"/>
  <c r="T19" i="4"/>
  <c r="O19" i="4"/>
  <c r="G19" i="4"/>
  <c r="AQ18" i="4"/>
  <c r="AN18" i="4"/>
  <c r="X18" i="4"/>
  <c r="W18" i="4"/>
  <c r="V18" i="4"/>
  <c r="O18" i="4"/>
  <c r="G18" i="4"/>
  <c r="T18" i="4" s="1"/>
  <c r="AQ17" i="4"/>
  <c r="AN17" i="4"/>
  <c r="X17" i="4"/>
  <c r="W17" i="4"/>
  <c r="AM17" i="4" s="1"/>
  <c r="V17" i="4"/>
  <c r="O17" i="4"/>
  <c r="G17" i="4"/>
  <c r="T17" i="4" s="1"/>
  <c r="AQ16" i="4"/>
  <c r="AN16" i="4"/>
  <c r="X16" i="4"/>
  <c r="W16" i="4"/>
  <c r="AM16" i="4" s="1"/>
  <c r="V16" i="4"/>
  <c r="T16" i="4"/>
  <c r="O16" i="4"/>
  <c r="G16" i="4"/>
  <c r="AR15" i="4"/>
  <c r="AQ15" i="4"/>
  <c r="AN15" i="4"/>
  <c r="X15" i="4"/>
  <c r="W15" i="4"/>
  <c r="V15" i="4"/>
  <c r="O15" i="4"/>
  <c r="G15" i="4"/>
  <c r="T15" i="4" s="1"/>
  <c r="AQ14" i="4"/>
  <c r="AN14" i="4"/>
  <c r="X14" i="4"/>
  <c r="W14" i="4"/>
  <c r="V14" i="4"/>
  <c r="O14" i="4"/>
  <c r="G14" i="4"/>
  <c r="T14" i="4" s="1"/>
  <c r="AQ13" i="4"/>
  <c r="AN13" i="4"/>
  <c r="X13" i="4"/>
  <c r="W13" i="4"/>
  <c r="V13" i="4"/>
  <c r="AM13" i="4" s="1"/>
  <c r="O13" i="4"/>
  <c r="G13" i="4"/>
  <c r="T13" i="4" s="1"/>
  <c r="AQ12" i="4"/>
  <c r="AN12" i="4"/>
  <c r="X12" i="4"/>
  <c r="W12" i="4"/>
  <c r="V12" i="4"/>
  <c r="AM12" i="4" s="1"/>
  <c r="O12" i="4"/>
  <c r="G12" i="4"/>
  <c r="T12" i="4" s="1"/>
  <c r="AQ11" i="4"/>
  <c r="AN11" i="4"/>
  <c r="X11" i="4"/>
  <c r="W11" i="4"/>
  <c r="V11" i="4"/>
  <c r="O11" i="4"/>
  <c r="G11" i="4"/>
  <c r="T11" i="4" s="1"/>
  <c r="AQ10" i="4"/>
  <c r="AN10" i="4"/>
  <c r="X10" i="4"/>
  <c r="W10" i="4"/>
  <c r="V10" i="4"/>
  <c r="O10" i="4"/>
  <c r="G10" i="4"/>
  <c r="T10" i="4" s="1"/>
  <c r="AQ9" i="4"/>
  <c r="AN9" i="4"/>
  <c r="X9" i="4"/>
  <c r="W9" i="4"/>
  <c r="V9" i="4"/>
  <c r="AM9" i="4" s="1"/>
  <c r="AO9" i="4" s="1"/>
  <c r="O9" i="4"/>
  <c r="G9" i="4"/>
  <c r="T9" i="4" s="1"/>
  <c r="AQ8" i="4"/>
  <c r="AN8" i="4"/>
  <c r="X8" i="4"/>
  <c r="W8" i="4"/>
  <c r="AM8" i="4" s="1"/>
  <c r="V8" i="4"/>
  <c r="O8" i="4"/>
  <c r="G8" i="4"/>
  <c r="T8" i="4" s="1"/>
  <c r="AQ7" i="4"/>
  <c r="AN7" i="4"/>
  <c r="X7" i="4"/>
  <c r="W7" i="4"/>
  <c r="AM7" i="4" s="1"/>
  <c r="V7" i="4"/>
  <c r="O7" i="4"/>
  <c r="G7" i="4"/>
  <c r="T7" i="4" s="1"/>
  <c r="AQ6" i="4"/>
  <c r="AN6" i="4"/>
  <c r="AM6" i="4"/>
  <c r="AO6" i="4" s="1"/>
  <c r="X6" i="4"/>
  <c r="W6" i="4"/>
  <c r="V6" i="4"/>
  <c r="O6" i="4"/>
  <c r="G6" i="4"/>
  <c r="T6" i="4" s="1"/>
  <c r="AQ5" i="4"/>
  <c r="AN5" i="4"/>
  <c r="AM5" i="4"/>
  <c r="X5" i="4"/>
  <c r="W5" i="4"/>
  <c r="V5" i="4"/>
  <c r="O5" i="4"/>
  <c r="G5" i="4"/>
  <c r="T5" i="4" s="1"/>
  <c r="AQ4" i="4"/>
  <c r="AN4" i="4"/>
  <c r="AM4" i="4"/>
  <c r="X4" i="4"/>
  <c r="W4" i="4"/>
  <c r="V4" i="4"/>
  <c r="O4" i="4"/>
  <c r="G4" i="4"/>
  <c r="T4" i="4" s="1"/>
  <c r="AQ3" i="4"/>
  <c r="AR3" i="4" s="1"/>
  <c r="AN3" i="4"/>
  <c r="X3" i="4"/>
  <c r="W3" i="4"/>
  <c r="V3" i="4"/>
  <c r="AM3" i="4" s="1"/>
  <c r="AT3" i="4" s="1"/>
  <c r="O3" i="4"/>
  <c r="G3" i="4"/>
  <c r="T3" i="4" s="1"/>
  <c r="AQ38" i="3"/>
  <c r="AN38" i="3"/>
  <c r="X38" i="3"/>
  <c r="W38" i="3"/>
  <c r="AM38" i="3" s="1"/>
  <c r="V38" i="3"/>
  <c r="O38" i="3"/>
  <c r="G38" i="3"/>
  <c r="T38" i="3" s="1"/>
  <c r="AQ37" i="3"/>
  <c r="AN37" i="3"/>
  <c r="AO37" i="3" s="1"/>
  <c r="AM37" i="3"/>
  <c r="X37" i="3"/>
  <c r="W37" i="3"/>
  <c r="V37" i="3"/>
  <c r="O37" i="3"/>
  <c r="G37" i="3"/>
  <c r="T37" i="3" s="1"/>
  <c r="AQ36" i="3"/>
  <c r="AN36" i="3"/>
  <c r="AM36" i="3"/>
  <c r="X36" i="3"/>
  <c r="W36" i="3"/>
  <c r="V36" i="3"/>
  <c r="O36" i="3"/>
  <c r="G36" i="3"/>
  <c r="T36" i="3" s="1"/>
  <c r="AQ35" i="3"/>
  <c r="AN35" i="3"/>
  <c r="AM35" i="3"/>
  <c r="X35" i="3"/>
  <c r="W35" i="3"/>
  <c r="V35" i="3"/>
  <c r="O35" i="3"/>
  <c r="G35" i="3"/>
  <c r="T35" i="3" s="1"/>
  <c r="AQ34" i="3"/>
  <c r="AN34" i="3"/>
  <c r="X34" i="3"/>
  <c r="W34" i="3"/>
  <c r="V34" i="3"/>
  <c r="AM34" i="3" s="1"/>
  <c r="O34" i="3"/>
  <c r="G34" i="3"/>
  <c r="T34" i="3" s="1"/>
  <c r="AQ33" i="3"/>
  <c r="AN33" i="3"/>
  <c r="X33" i="3"/>
  <c r="W33" i="3"/>
  <c r="V33" i="3"/>
  <c r="O33" i="3"/>
  <c r="G33" i="3"/>
  <c r="T33" i="3" s="1"/>
  <c r="AQ32" i="3"/>
  <c r="AN32" i="3"/>
  <c r="X32" i="3"/>
  <c r="W32" i="3"/>
  <c r="V32" i="3"/>
  <c r="O32" i="3"/>
  <c r="G32" i="3"/>
  <c r="T32" i="3" s="1"/>
  <c r="AQ31" i="3"/>
  <c r="AN31" i="3"/>
  <c r="X31" i="3"/>
  <c r="W31" i="3"/>
  <c r="V31" i="3"/>
  <c r="O31" i="3"/>
  <c r="G31" i="3"/>
  <c r="T31" i="3" s="1"/>
  <c r="AQ30" i="3"/>
  <c r="AN30" i="3"/>
  <c r="X30" i="3"/>
  <c r="W30" i="3"/>
  <c r="V30" i="3"/>
  <c r="AM30" i="3" s="1"/>
  <c r="O30" i="3"/>
  <c r="G30" i="3"/>
  <c r="T30" i="3" s="1"/>
  <c r="AQ29" i="3"/>
  <c r="AN29" i="3"/>
  <c r="X29" i="3"/>
  <c r="W29" i="3"/>
  <c r="V29" i="3"/>
  <c r="AM29" i="3" s="1"/>
  <c r="AO29" i="3" s="1"/>
  <c r="O29" i="3"/>
  <c r="G29" i="3"/>
  <c r="T29" i="3" s="1"/>
  <c r="AQ28" i="3"/>
  <c r="AN28" i="3"/>
  <c r="X28" i="3"/>
  <c r="W28" i="3"/>
  <c r="V28" i="3"/>
  <c r="O28" i="3"/>
  <c r="G28" i="3"/>
  <c r="T28" i="3" s="1"/>
  <c r="AR27" i="3"/>
  <c r="AQ27" i="3"/>
  <c r="AN27" i="3"/>
  <c r="AM27" i="3"/>
  <c r="X27" i="3"/>
  <c r="W27" i="3"/>
  <c r="V27" i="3"/>
  <c r="O27" i="3"/>
  <c r="G27" i="3"/>
  <c r="T27" i="3" s="1"/>
  <c r="AQ26" i="3"/>
  <c r="AN26" i="3"/>
  <c r="AM26" i="3"/>
  <c r="X26" i="3"/>
  <c r="W26" i="3"/>
  <c r="V26" i="3"/>
  <c r="O26" i="3"/>
  <c r="G26" i="3"/>
  <c r="T26" i="3" s="1"/>
  <c r="AQ25" i="3"/>
  <c r="AN25" i="3"/>
  <c r="X25" i="3"/>
  <c r="W25" i="3"/>
  <c r="V25" i="3"/>
  <c r="O25" i="3"/>
  <c r="G25" i="3"/>
  <c r="T25" i="3" s="1"/>
  <c r="AQ24" i="3"/>
  <c r="AN24" i="3"/>
  <c r="X24" i="3"/>
  <c r="W24" i="3"/>
  <c r="V24" i="3"/>
  <c r="AM24" i="3" s="1"/>
  <c r="O24" i="3"/>
  <c r="G24" i="3"/>
  <c r="T24" i="3" s="1"/>
  <c r="AQ23" i="3"/>
  <c r="AN23" i="3"/>
  <c r="X23" i="3"/>
  <c r="W23" i="3"/>
  <c r="V23" i="3"/>
  <c r="O23" i="3"/>
  <c r="G23" i="3"/>
  <c r="T23" i="3" s="1"/>
  <c r="AQ22" i="3"/>
  <c r="AN22" i="3"/>
  <c r="X22" i="3"/>
  <c r="W22" i="3"/>
  <c r="V22" i="3"/>
  <c r="O22" i="3"/>
  <c r="G22" i="3"/>
  <c r="T22" i="3" s="1"/>
  <c r="AQ21" i="3"/>
  <c r="AN21" i="3"/>
  <c r="X21" i="3"/>
  <c r="W21" i="3"/>
  <c r="V21" i="3"/>
  <c r="AM21" i="3" s="1"/>
  <c r="AO21" i="3" s="1"/>
  <c r="T21" i="3"/>
  <c r="O21" i="3"/>
  <c r="G21" i="3"/>
  <c r="AQ20" i="3"/>
  <c r="AN20" i="3"/>
  <c r="X20" i="3"/>
  <c r="W20" i="3"/>
  <c r="V20" i="3"/>
  <c r="AM20" i="3" s="1"/>
  <c r="O20" i="3"/>
  <c r="G20" i="3"/>
  <c r="T20" i="3" s="1"/>
  <c r="AQ19" i="3"/>
  <c r="AN19" i="3"/>
  <c r="X19" i="3"/>
  <c r="W19" i="3"/>
  <c r="V19" i="3"/>
  <c r="AM19" i="3" s="1"/>
  <c r="AO19" i="3" s="1"/>
  <c r="O19" i="3"/>
  <c r="G19" i="3"/>
  <c r="T19" i="3" s="1"/>
  <c r="AQ18" i="3"/>
  <c r="AN18" i="3"/>
  <c r="X18" i="3"/>
  <c r="W18" i="3"/>
  <c r="V18" i="3"/>
  <c r="AM18" i="3" s="1"/>
  <c r="O18" i="3"/>
  <c r="G18" i="3"/>
  <c r="T18" i="3" s="1"/>
  <c r="AQ17" i="3"/>
  <c r="AN17" i="3"/>
  <c r="X17" i="3"/>
  <c r="W17" i="3"/>
  <c r="V17" i="3"/>
  <c r="O17" i="3"/>
  <c r="G17" i="3"/>
  <c r="T17" i="3" s="1"/>
  <c r="AQ16" i="3"/>
  <c r="AN16" i="3"/>
  <c r="X16" i="3"/>
  <c r="W16" i="3"/>
  <c r="V16" i="3"/>
  <c r="AM16" i="3" s="1"/>
  <c r="T16" i="3"/>
  <c r="O16" i="3"/>
  <c r="G16" i="3"/>
  <c r="AR15" i="3"/>
  <c r="AQ15" i="3"/>
  <c r="AN15" i="3"/>
  <c r="X15" i="3"/>
  <c r="W15" i="3"/>
  <c r="V15" i="3"/>
  <c r="O15" i="3"/>
  <c r="G15" i="3"/>
  <c r="T15" i="3" s="1"/>
  <c r="AQ14" i="3"/>
  <c r="AN14" i="3"/>
  <c r="X14" i="3"/>
  <c r="W14" i="3"/>
  <c r="V14" i="3"/>
  <c r="O14" i="3"/>
  <c r="G14" i="3"/>
  <c r="T14" i="3" s="1"/>
  <c r="AQ13" i="3"/>
  <c r="AN13" i="3"/>
  <c r="X13" i="3"/>
  <c r="W13" i="3"/>
  <c r="V13" i="3"/>
  <c r="O13" i="3"/>
  <c r="G13" i="3"/>
  <c r="T13" i="3" s="1"/>
  <c r="AQ12" i="3"/>
  <c r="AN12" i="3"/>
  <c r="X12" i="3"/>
  <c r="W12" i="3"/>
  <c r="V12" i="3"/>
  <c r="O12" i="3"/>
  <c r="G12" i="3"/>
  <c r="T12" i="3" s="1"/>
  <c r="AQ11" i="3"/>
  <c r="AN11" i="3"/>
  <c r="X11" i="3"/>
  <c r="W11" i="3"/>
  <c r="V11" i="3"/>
  <c r="O11" i="3"/>
  <c r="G11" i="3"/>
  <c r="T11" i="3" s="1"/>
  <c r="AQ10" i="3"/>
  <c r="AN10" i="3"/>
  <c r="X10" i="3"/>
  <c r="W10" i="3"/>
  <c r="V10" i="3"/>
  <c r="O10" i="3"/>
  <c r="G10" i="3"/>
  <c r="T10" i="3" s="1"/>
  <c r="AQ9" i="3"/>
  <c r="AN9" i="3"/>
  <c r="X9" i="3"/>
  <c r="W9" i="3"/>
  <c r="V9" i="3"/>
  <c r="O9" i="3"/>
  <c r="G9" i="3"/>
  <c r="T9" i="3" s="1"/>
  <c r="AQ8" i="3"/>
  <c r="AN8" i="3"/>
  <c r="X8" i="3"/>
  <c r="W8" i="3"/>
  <c r="V8" i="3"/>
  <c r="AM8" i="3" s="1"/>
  <c r="O8" i="3"/>
  <c r="G8" i="3"/>
  <c r="T8" i="3" s="1"/>
  <c r="AQ7" i="3"/>
  <c r="AN7" i="3"/>
  <c r="X7" i="3"/>
  <c r="W7" i="3"/>
  <c r="AM7" i="3" s="1"/>
  <c r="V7" i="3"/>
  <c r="O7" i="3"/>
  <c r="G7" i="3"/>
  <c r="T7" i="3" s="1"/>
  <c r="AQ6" i="3"/>
  <c r="AN6" i="3"/>
  <c r="X6" i="3"/>
  <c r="W6" i="3"/>
  <c r="AM6" i="3" s="1"/>
  <c r="V6" i="3"/>
  <c r="O6" i="3"/>
  <c r="G6" i="3"/>
  <c r="T6" i="3" s="1"/>
  <c r="AQ5" i="3"/>
  <c r="AN5" i="3"/>
  <c r="X5" i="3"/>
  <c r="W5" i="3"/>
  <c r="V5" i="3"/>
  <c r="O5" i="3"/>
  <c r="G5" i="3"/>
  <c r="T5" i="3" s="1"/>
  <c r="AQ4" i="3"/>
  <c r="AN4" i="3"/>
  <c r="X4" i="3"/>
  <c r="W4" i="3"/>
  <c r="AM4" i="3" s="1"/>
  <c r="V4" i="3"/>
  <c r="O4" i="3"/>
  <c r="G4" i="3"/>
  <c r="T4" i="3" s="1"/>
  <c r="AQ3" i="3"/>
  <c r="AR3" i="3" s="1"/>
  <c r="AN3" i="3"/>
  <c r="X3" i="3"/>
  <c r="W3" i="3"/>
  <c r="V3" i="3"/>
  <c r="T3" i="3"/>
  <c r="O3" i="3"/>
  <c r="G3" i="3"/>
  <c r="AQ38" i="2"/>
  <c r="AN38" i="2"/>
  <c r="X38" i="2"/>
  <c r="W38" i="2"/>
  <c r="V38" i="2"/>
  <c r="O38" i="2"/>
  <c r="G38" i="2"/>
  <c r="T38" i="2" s="1"/>
  <c r="AQ37" i="2"/>
  <c r="AN37" i="2"/>
  <c r="X37" i="2"/>
  <c r="W37" i="2"/>
  <c r="AM37" i="2" s="1"/>
  <c r="V37" i="2"/>
  <c r="O37" i="2"/>
  <c r="G37" i="2"/>
  <c r="T37" i="2" s="1"/>
  <c r="AQ36" i="2"/>
  <c r="AN36" i="2"/>
  <c r="X36" i="2"/>
  <c r="W36" i="2"/>
  <c r="AM36" i="2" s="1"/>
  <c r="V36" i="2"/>
  <c r="O36" i="2"/>
  <c r="G36" i="2"/>
  <c r="T36" i="2" s="1"/>
  <c r="AQ35" i="2"/>
  <c r="AN35" i="2"/>
  <c r="X35" i="2"/>
  <c r="W35" i="2"/>
  <c r="V35" i="2"/>
  <c r="AM35" i="2" s="1"/>
  <c r="O35" i="2"/>
  <c r="G35" i="2"/>
  <c r="T35" i="2" s="1"/>
  <c r="AQ34" i="2"/>
  <c r="AN34" i="2"/>
  <c r="X34" i="2"/>
  <c r="W34" i="2"/>
  <c r="V34" i="2"/>
  <c r="O34" i="2"/>
  <c r="G34" i="2"/>
  <c r="T34" i="2" s="1"/>
  <c r="AQ33" i="2"/>
  <c r="AN33" i="2"/>
  <c r="X33" i="2"/>
  <c r="W33" i="2"/>
  <c r="V33" i="2"/>
  <c r="T33" i="2"/>
  <c r="O33" i="2"/>
  <c r="G33" i="2"/>
  <c r="AQ32" i="2"/>
  <c r="AN32" i="2"/>
  <c r="X32" i="2"/>
  <c r="W32" i="2"/>
  <c r="V32" i="2"/>
  <c r="O32" i="2"/>
  <c r="G32" i="2"/>
  <c r="T32" i="2" s="1"/>
  <c r="AQ31" i="2"/>
  <c r="AN31" i="2"/>
  <c r="AM31" i="2"/>
  <c r="X31" i="2"/>
  <c r="W31" i="2"/>
  <c r="V31" i="2"/>
  <c r="O31" i="2"/>
  <c r="G31" i="2"/>
  <c r="T31" i="2" s="1"/>
  <c r="AQ30" i="2"/>
  <c r="AN30" i="2"/>
  <c r="X30" i="2"/>
  <c r="W30" i="2"/>
  <c r="V30" i="2"/>
  <c r="O30" i="2"/>
  <c r="G30" i="2"/>
  <c r="T30" i="2" s="1"/>
  <c r="AQ29" i="2"/>
  <c r="AN29" i="2"/>
  <c r="X29" i="2"/>
  <c r="W29" i="2"/>
  <c r="AM29" i="2" s="1"/>
  <c r="V29" i="2"/>
  <c r="O29" i="2"/>
  <c r="G29" i="2"/>
  <c r="T29" i="2" s="1"/>
  <c r="AQ28" i="2"/>
  <c r="AN28" i="2"/>
  <c r="X28" i="2"/>
  <c r="W28" i="2"/>
  <c r="AM28" i="2" s="1"/>
  <c r="V28" i="2"/>
  <c r="O28" i="2"/>
  <c r="G28" i="2"/>
  <c r="T28" i="2" s="1"/>
  <c r="AQ27" i="2"/>
  <c r="AN27" i="2"/>
  <c r="X27" i="2"/>
  <c r="W27" i="2"/>
  <c r="V27" i="2"/>
  <c r="O27" i="2"/>
  <c r="G27" i="2"/>
  <c r="T27" i="2" s="1"/>
  <c r="AQ26" i="2"/>
  <c r="AN26" i="2"/>
  <c r="X26" i="2"/>
  <c r="W26" i="2"/>
  <c r="V26" i="2"/>
  <c r="AM26" i="2" s="1"/>
  <c r="AO26" i="2" s="1"/>
  <c r="O26" i="2"/>
  <c r="G26" i="2"/>
  <c r="T26" i="2" s="1"/>
  <c r="AQ25" i="2"/>
  <c r="AN25" i="2"/>
  <c r="X25" i="2"/>
  <c r="W25" i="2"/>
  <c r="V25" i="2"/>
  <c r="T25" i="2"/>
  <c r="O25" i="2"/>
  <c r="G25" i="2"/>
  <c r="AQ24" i="2"/>
  <c r="AN24" i="2"/>
  <c r="X24" i="2"/>
  <c r="W24" i="2"/>
  <c r="AM24" i="2" s="1"/>
  <c r="V24" i="2"/>
  <c r="O24" i="2"/>
  <c r="G24" i="2"/>
  <c r="T24" i="2" s="1"/>
  <c r="AQ23" i="2"/>
  <c r="AN23" i="2"/>
  <c r="X23" i="2"/>
  <c r="W23" i="2"/>
  <c r="V23" i="2"/>
  <c r="O23" i="2"/>
  <c r="G23" i="2"/>
  <c r="T23" i="2" s="1"/>
  <c r="AQ22" i="2"/>
  <c r="AN22" i="2"/>
  <c r="X22" i="2"/>
  <c r="W22" i="2"/>
  <c r="AM22" i="2" s="1"/>
  <c r="V22" i="2"/>
  <c r="O22" i="2"/>
  <c r="G22" i="2"/>
  <c r="T22" i="2" s="1"/>
  <c r="AQ21" i="2"/>
  <c r="AN21" i="2"/>
  <c r="X21" i="2"/>
  <c r="W21" i="2"/>
  <c r="V21" i="2"/>
  <c r="O21" i="2"/>
  <c r="G21" i="2"/>
  <c r="T21" i="2" s="1"/>
  <c r="AQ20" i="2"/>
  <c r="AN20" i="2"/>
  <c r="X20" i="2"/>
  <c r="W20" i="2"/>
  <c r="AM20" i="2" s="1"/>
  <c r="V20" i="2"/>
  <c r="O20" i="2"/>
  <c r="G20" i="2"/>
  <c r="T20" i="2" s="1"/>
  <c r="AQ19" i="2"/>
  <c r="AN19" i="2"/>
  <c r="X19" i="2"/>
  <c r="W19" i="2"/>
  <c r="V19" i="2"/>
  <c r="O19" i="2"/>
  <c r="G19" i="2"/>
  <c r="T19" i="2" s="1"/>
  <c r="AQ18" i="2"/>
  <c r="AN18" i="2"/>
  <c r="X18" i="2"/>
  <c r="W18" i="2"/>
  <c r="V18" i="2"/>
  <c r="AM18" i="2" s="1"/>
  <c r="O18" i="2"/>
  <c r="G18" i="2"/>
  <c r="T18" i="2" s="1"/>
  <c r="AQ17" i="2"/>
  <c r="AN17" i="2"/>
  <c r="X17" i="2"/>
  <c r="W17" i="2"/>
  <c r="V17" i="2"/>
  <c r="T17" i="2"/>
  <c r="O17" i="2"/>
  <c r="G17" i="2"/>
  <c r="AQ16" i="2"/>
  <c r="AN16" i="2"/>
  <c r="X16" i="2"/>
  <c r="W16" i="2"/>
  <c r="AM16" i="2" s="1"/>
  <c r="V16" i="2"/>
  <c r="O16" i="2"/>
  <c r="G16" i="2"/>
  <c r="T16" i="2" s="1"/>
  <c r="AQ15" i="2"/>
  <c r="AR15" i="2" s="1"/>
  <c r="AN15" i="2"/>
  <c r="X15" i="2"/>
  <c r="W15" i="2"/>
  <c r="V15" i="2"/>
  <c r="O15" i="2"/>
  <c r="G15" i="2"/>
  <c r="T15" i="2" s="1"/>
  <c r="AQ14" i="2"/>
  <c r="AN14" i="2"/>
  <c r="X14" i="2"/>
  <c r="W14" i="2"/>
  <c r="V14" i="2"/>
  <c r="O14" i="2"/>
  <c r="G14" i="2"/>
  <c r="T14" i="2" s="1"/>
  <c r="AQ13" i="2"/>
  <c r="AN13" i="2"/>
  <c r="X13" i="2"/>
  <c r="W13" i="2"/>
  <c r="V13" i="2"/>
  <c r="AM13" i="2" s="1"/>
  <c r="O13" i="2"/>
  <c r="G13" i="2"/>
  <c r="T13" i="2" s="1"/>
  <c r="AQ12" i="2"/>
  <c r="AN12" i="2"/>
  <c r="X12" i="2"/>
  <c r="W12" i="2"/>
  <c r="V12" i="2"/>
  <c r="AM12" i="2" s="1"/>
  <c r="O12" i="2"/>
  <c r="G12" i="2"/>
  <c r="T12" i="2" s="1"/>
  <c r="AQ11" i="2"/>
  <c r="AN11" i="2"/>
  <c r="X11" i="2"/>
  <c r="W11" i="2"/>
  <c r="V11" i="2"/>
  <c r="O11" i="2"/>
  <c r="G11" i="2"/>
  <c r="T11" i="2" s="1"/>
  <c r="AQ10" i="2"/>
  <c r="AN10" i="2"/>
  <c r="X10" i="2"/>
  <c r="W10" i="2"/>
  <c r="V10" i="2"/>
  <c r="O10" i="2"/>
  <c r="G10" i="2"/>
  <c r="T10" i="2" s="1"/>
  <c r="AQ9" i="2"/>
  <c r="AN9" i="2"/>
  <c r="X9" i="2"/>
  <c r="W9" i="2"/>
  <c r="V9" i="2"/>
  <c r="AM9" i="2" s="1"/>
  <c r="O9" i="2"/>
  <c r="G9" i="2"/>
  <c r="T9" i="2" s="1"/>
  <c r="AQ8" i="2"/>
  <c r="AN8" i="2"/>
  <c r="X8" i="2"/>
  <c r="W8" i="2"/>
  <c r="V8" i="2"/>
  <c r="O8" i="2"/>
  <c r="G8" i="2"/>
  <c r="T8" i="2" s="1"/>
  <c r="AQ7" i="2"/>
  <c r="AN7" i="2"/>
  <c r="X7" i="2"/>
  <c r="W7" i="2"/>
  <c r="V7" i="2"/>
  <c r="O7" i="2"/>
  <c r="G7" i="2"/>
  <c r="T7" i="2" s="1"/>
  <c r="AQ6" i="2"/>
  <c r="AN6" i="2"/>
  <c r="X6" i="2"/>
  <c r="W6" i="2"/>
  <c r="V6" i="2"/>
  <c r="O6" i="2"/>
  <c r="G6" i="2"/>
  <c r="T6" i="2" s="1"/>
  <c r="AQ5" i="2"/>
  <c r="AN5" i="2"/>
  <c r="X5" i="2"/>
  <c r="W5" i="2"/>
  <c r="V5" i="2"/>
  <c r="AM5" i="2" s="1"/>
  <c r="O5" i="2"/>
  <c r="G5" i="2"/>
  <c r="T5" i="2" s="1"/>
  <c r="AQ4" i="2"/>
  <c r="AN4" i="2"/>
  <c r="X4" i="2"/>
  <c r="W4" i="2"/>
  <c r="V4" i="2"/>
  <c r="AM4" i="2" s="1"/>
  <c r="O4" i="2"/>
  <c r="G4" i="2"/>
  <c r="T4" i="2" s="1"/>
  <c r="AQ3" i="2"/>
  <c r="AR3" i="2" s="1"/>
  <c r="AN3" i="2"/>
  <c r="X3" i="2"/>
  <c r="W3" i="2"/>
  <c r="V3" i="2"/>
  <c r="O3" i="2"/>
  <c r="G3" i="2"/>
  <c r="T3" i="2" s="1"/>
  <c r="AM27" i="5" l="1"/>
  <c r="AM4" i="5"/>
  <c r="AM5" i="5"/>
  <c r="AO5" i="5" s="1"/>
  <c r="AM7" i="5"/>
  <c r="AO7" i="5" s="1"/>
  <c r="AM9" i="5"/>
  <c r="AM11" i="5"/>
  <c r="AO11" i="5" s="1"/>
  <c r="AM13" i="5"/>
  <c r="AO13" i="5" s="1"/>
  <c r="AM15" i="5"/>
  <c r="AM15" i="4"/>
  <c r="AM18" i="4"/>
  <c r="AM22" i="4"/>
  <c r="AO12" i="4"/>
  <c r="AO13" i="4"/>
  <c r="AO20" i="4"/>
  <c r="AO21" i="4"/>
  <c r="AM23" i="4"/>
  <c r="AO23" i="4" s="1"/>
  <c r="AM24" i="4"/>
  <c r="AM10" i="4"/>
  <c r="AO10" i="4" s="1"/>
  <c r="AM11" i="4"/>
  <c r="AM35" i="4"/>
  <c r="AO35" i="4" s="1"/>
  <c r="AM3" i="3"/>
  <c r="AT3" i="3" s="1"/>
  <c r="AM5" i="3"/>
  <c r="AM10" i="3"/>
  <c r="AO10" i="3" s="1"/>
  <c r="AM11" i="3"/>
  <c r="AM12" i="3"/>
  <c r="AM14" i="3"/>
  <c r="AO14" i="3" s="1"/>
  <c r="AM15" i="3"/>
  <c r="AO15" i="3" s="1"/>
  <c r="AR18" i="3" s="1"/>
  <c r="AV18" i="3" s="1"/>
  <c r="AW18" i="3" s="1"/>
  <c r="AM9" i="3"/>
  <c r="AM13" i="3"/>
  <c r="AO13" i="3" s="1"/>
  <c r="AO24" i="3"/>
  <c r="AM17" i="3"/>
  <c r="AM22" i="3"/>
  <c r="AO22" i="3" s="1"/>
  <c r="AM23" i="3"/>
  <c r="AO23" i="3" s="1"/>
  <c r="AM25" i="3"/>
  <c r="AO25" i="3" s="1"/>
  <c r="AM28" i="3"/>
  <c r="AO28" i="3" s="1"/>
  <c r="AM32" i="3"/>
  <c r="AO32" i="3" s="1"/>
  <c r="AT27" i="3"/>
  <c r="AO30" i="3"/>
  <c r="AM31" i="3"/>
  <c r="AO31" i="3" s="1"/>
  <c r="AM33" i="3"/>
  <c r="AM10" i="2"/>
  <c r="AO10" i="2" s="1"/>
  <c r="AM23" i="2"/>
  <c r="AM25" i="2"/>
  <c r="AM38" i="2"/>
  <c r="AM8" i="2"/>
  <c r="AM19" i="2"/>
  <c r="AM21" i="2"/>
  <c r="AM34" i="2"/>
  <c r="AO34" i="2" s="1"/>
  <c r="AM7" i="2"/>
  <c r="AO7" i="2" s="1"/>
  <c r="AM15" i="2"/>
  <c r="AM32" i="2"/>
  <c r="AM33" i="2"/>
  <c r="AM6" i="2"/>
  <c r="AM14" i="2"/>
  <c r="AO14" i="2" s="1"/>
  <c r="AM17" i="2"/>
  <c r="AO17" i="2" s="1"/>
  <c r="AR19" i="2" s="1"/>
  <c r="AV19" i="2" s="1"/>
  <c r="AW19" i="2" s="1"/>
  <c r="AM30" i="2"/>
  <c r="AO30" i="2" s="1"/>
  <c r="AM27" i="2"/>
  <c r="AO27" i="2" s="1"/>
  <c r="AM3" i="2"/>
  <c r="AM11" i="2"/>
  <c r="AO38" i="2"/>
  <c r="AO6" i="3"/>
  <c r="AR4" i="2"/>
  <c r="AO8" i="2"/>
  <c r="AO19" i="2"/>
  <c r="AO21" i="2"/>
  <c r="AO5" i="3"/>
  <c r="AO11" i="3"/>
  <c r="AO12" i="3"/>
  <c r="AT15" i="3"/>
  <c r="AO23" i="2"/>
  <c r="AO22" i="2"/>
  <c r="AO36" i="2"/>
  <c r="AO7" i="3"/>
  <c r="AT15" i="2"/>
  <c r="AO15" i="2"/>
  <c r="AR24" i="2" s="1"/>
  <c r="AV24" i="2" s="1"/>
  <c r="AW24" i="2" s="1"/>
  <c r="AO16" i="2"/>
  <c r="AO32" i="2"/>
  <c r="AO33" i="2"/>
  <c r="AO9" i="3"/>
  <c r="AO25" i="2"/>
  <c r="AO6" i="2"/>
  <c r="AO17" i="3"/>
  <c r="AO9" i="2"/>
  <c r="AO37" i="2"/>
  <c r="AO20" i="2"/>
  <c r="AO29" i="2"/>
  <c r="AO33" i="3"/>
  <c r="AO24" i="4"/>
  <c r="AO4" i="3"/>
  <c r="AO5" i="2"/>
  <c r="AO13" i="2"/>
  <c r="AO28" i="2"/>
  <c r="AO4" i="2"/>
  <c r="AO12" i="2"/>
  <c r="AT3" i="2"/>
  <c r="AO3" i="2"/>
  <c r="AV3" i="2" s="1"/>
  <c r="AW3" i="2" s="1"/>
  <c r="AO11" i="2"/>
  <c r="AV15" i="2"/>
  <c r="AW15" i="2" s="1"/>
  <c r="AO24" i="2"/>
  <c r="AO8" i="3"/>
  <c r="AO16" i="3"/>
  <c r="AO36" i="3"/>
  <c r="AO36" i="4"/>
  <c r="AO9" i="5"/>
  <c r="AO28" i="5"/>
  <c r="AO30" i="4"/>
  <c r="AR27" i="2"/>
  <c r="AO25" i="5"/>
  <c r="AO20" i="3"/>
  <c r="AO4" i="4"/>
  <c r="AR3" i="7"/>
  <c r="AT3" i="7" s="1"/>
  <c r="AU3" i="7" s="1"/>
  <c r="AX3" i="7" s="1"/>
  <c r="AO16" i="4"/>
  <c r="AO17" i="4"/>
  <c r="AO22" i="4"/>
  <c r="AO33" i="4"/>
  <c r="AO27" i="3"/>
  <c r="AO34" i="3"/>
  <c r="AO4" i="5"/>
  <c r="AT15" i="4"/>
  <c r="AO15" i="4"/>
  <c r="AO26" i="4"/>
  <c r="AO19" i="5"/>
  <c r="AO37" i="4"/>
  <c r="AO18" i="2"/>
  <c r="AO31" i="2"/>
  <c r="AO35" i="2"/>
  <c r="AO26" i="3"/>
  <c r="AO38" i="3"/>
  <c r="AO18" i="4"/>
  <c r="AO18" i="3"/>
  <c r="AO7" i="4"/>
  <c r="AO11" i="4"/>
  <c r="AO31" i="4"/>
  <c r="AO3" i="5"/>
  <c r="AT3" i="5"/>
  <c r="AR27" i="6"/>
  <c r="AT27" i="6" s="1"/>
  <c r="AM34" i="4"/>
  <c r="AV27" i="3"/>
  <c r="AW27" i="3" s="1"/>
  <c r="AT27" i="4"/>
  <c r="AU27" i="4" s="1"/>
  <c r="AX27" i="4" s="1"/>
  <c r="AO38" i="4"/>
  <c r="AR28" i="5"/>
  <c r="AT28" i="5" s="1"/>
  <c r="AU28" i="5" s="1"/>
  <c r="AX28" i="5" s="1"/>
  <c r="AO5" i="4"/>
  <c r="AM14" i="4"/>
  <c r="AO35" i="3"/>
  <c r="AO3" i="4"/>
  <c r="AO8" i="4"/>
  <c r="AO27" i="4"/>
  <c r="AV27" i="4" s="1"/>
  <c r="AW27" i="4" s="1"/>
  <c r="AM29" i="4"/>
  <c r="AO32" i="4"/>
  <c r="AT27" i="5"/>
  <c r="AU27" i="5" s="1"/>
  <c r="AX27" i="5" s="1"/>
  <c r="AO27" i="5"/>
  <c r="AR3" i="6"/>
  <c r="AT3" i="6" s="1"/>
  <c r="AR15" i="7"/>
  <c r="AT15" i="7" s="1"/>
  <c r="AU15" i="7" s="1"/>
  <c r="AX15" i="7" s="1"/>
  <c r="AM6" i="5"/>
  <c r="AM8" i="5"/>
  <c r="AM10" i="5"/>
  <c r="AM12" i="5"/>
  <c r="AM14" i="5"/>
  <c r="AM16" i="5"/>
  <c r="AM18" i="5"/>
  <c r="AM20" i="5"/>
  <c r="AM22" i="5"/>
  <c r="AM24" i="5"/>
  <c r="AM26" i="5"/>
  <c r="AV27" i="5"/>
  <c r="AW27" i="5" s="1"/>
  <c r="AR15" i="6"/>
  <c r="AR27" i="7"/>
  <c r="AT27" i="7" s="1"/>
  <c r="AO29" i="5"/>
  <c r="AR5" i="7"/>
  <c r="AV5" i="7" s="1"/>
  <c r="AW5" i="7" s="1"/>
  <c r="AT15" i="6"/>
  <c r="AO30" i="5"/>
  <c r="AO31" i="5"/>
  <c r="AO32" i="5"/>
  <c r="AO33" i="5"/>
  <c r="AO34" i="5"/>
  <c r="AO35" i="5"/>
  <c r="AO36" i="5"/>
  <c r="AO37" i="5"/>
  <c r="AO38" i="5"/>
  <c r="AO3" i="6"/>
  <c r="AO4" i="6"/>
  <c r="AO5" i="6"/>
  <c r="AO6" i="6"/>
  <c r="AO7" i="6"/>
  <c r="AO8" i="6"/>
  <c r="AO9" i="6"/>
  <c r="AO10" i="6"/>
  <c r="AO11" i="6"/>
  <c r="AO12" i="6"/>
  <c r="AO13" i="6"/>
  <c r="AO14" i="6"/>
  <c r="AO15" i="6"/>
  <c r="AR16" i="6" s="1"/>
  <c r="AV16" i="6" s="1"/>
  <c r="AW16" i="6" s="1"/>
  <c r="AO16" i="6"/>
  <c r="AO17" i="6"/>
  <c r="AR18" i="6" s="1"/>
  <c r="AV18" i="6" s="1"/>
  <c r="AW18" i="6" s="1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" i="7"/>
  <c r="AO4" i="7"/>
  <c r="AO5" i="7"/>
  <c r="AO6" i="7"/>
  <c r="AR7" i="7" s="1"/>
  <c r="AO7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R28" i="7" s="1"/>
  <c r="AO28" i="7"/>
  <c r="AO29" i="7"/>
  <c r="AO30" i="7"/>
  <c r="AO31" i="7"/>
  <c r="AO32" i="7"/>
  <c r="AO33" i="7"/>
  <c r="AO34" i="7"/>
  <c r="AO35" i="7"/>
  <c r="AO36" i="7"/>
  <c r="AO37" i="7"/>
  <c r="AO38" i="7"/>
  <c r="AR33" i="7" l="1"/>
  <c r="AT33" i="7" s="1"/>
  <c r="AU33" i="7" s="1"/>
  <c r="AX33" i="7" s="1"/>
  <c r="AR23" i="7"/>
  <c r="AR14" i="7"/>
  <c r="AR37" i="7"/>
  <c r="AT37" i="7" s="1"/>
  <c r="AU37" i="7" s="1"/>
  <c r="AX37" i="7" s="1"/>
  <c r="AR11" i="7"/>
  <c r="AV11" i="7" s="1"/>
  <c r="AW11" i="7" s="1"/>
  <c r="AR29" i="7"/>
  <c r="AV29" i="7" s="1"/>
  <c r="AW29" i="7" s="1"/>
  <c r="AR11" i="6"/>
  <c r="AV11" i="6" s="1"/>
  <c r="AW11" i="6" s="1"/>
  <c r="AR32" i="6"/>
  <c r="AV32" i="6" s="1"/>
  <c r="AW32" i="6" s="1"/>
  <c r="AR22" i="6"/>
  <c r="AT22" i="6" s="1"/>
  <c r="AU22" i="6" s="1"/>
  <c r="AX22" i="6" s="1"/>
  <c r="AR19" i="6"/>
  <c r="AT19" i="6" s="1"/>
  <c r="AU19" i="6" s="1"/>
  <c r="AX19" i="6" s="1"/>
  <c r="AO15" i="5"/>
  <c r="AT15" i="5"/>
  <c r="AU15" i="5" s="1"/>
  <c r="AX15" i="5" s="1"/>
  <c r="AR34" i="5"/>
  <c r="AV34" i="5" s="1"/>
  <c r="AW34" i="5" s="1"/>
  <c r="AU3" i="5"/>
  <c r="AX3" i="5" s="1"/>
  <c r="AR33" i="5"/>
  <c r="AT33" i="5" s="1"/>
  <c r="AU33" i="5" s="1"/>
  <c r="AX33" i="5" s="1"/>
  <c r="AU15" i="4"/>
  <c r="AX15" i="4" s="1"/>
  <c r="AR10" i="4"/>
  <c r="AO3" i="3"/>
  <c r="AV3" i="3" s="1"/>
  <c r="AW3" i="3" s="1"/>
  <c r="AR9" i="2"/>
  <c r="AR10" i="2"/>
  <c r="AV4" i="2"/>
  <c r="AW4" i="2" s="1"/>
  <c r="AV27" i="2"/>
  <c r="AW27" i="2" s="1"/>
  <c r="AR14" i="2"/>
  <c r="AR30" i="2"/>
  <c r="AT30" i="2" s="1"/>
  <c r="AU30" i="2" s="1"/>
  <c r="AX30" i="2" s="1"/>
  <c r="AV22" i="6"/>
  <c r="AW22" i="6" s="1"/>
  <c r="AT34" i="5"/>
  <c r="AU34" i="5" s="1"/>
  <c r="AX34" i="5" s="1"/>
  <c r="AV10" i="4"/>
  <c r="AW10" i="4" s="1"/>
  <c r="AT10" i="4"/>
  <c r="AU10" i="4" s="1"/>
  <c r="AX10" i="4" s="1"/>
  <c r="AV14" i="2"/>
  <c r="AW14" i="2" s="1"/>
  <c r="AT14" i="2"/>
  <c r="AU14" i="2" s="1"/>
  <c r="AX14" i="2" s="1"/>
  <c r="AV37" i="7"/>
  <c r="AW37" i="7" s="1"/>
  <c r="AV10" i="2"/>
  <c r="AW10" i="2" s="1"/>
  <c r="AT10" i="2"/>
  <c r="AU10" i="2" s="1"/>
  <c r="AX10" i="2" s="1"/>
  <c r="AV14" i="7"/>
  <c r="AW14" i="7" s="1"/>
  <c r="AT14" i="7"/>
  <c r="AU14" i="7" s="1"/>
  <c r="AX14" i="7" s="1"/>
  <c r="AV30" i="2"/>
  <c r="AW30" i="2" s="1"/>
  <c r="AV7" i="7"/>
  <c r="AW7" i="7" s="1"/>
  <c r="AT7" i="7"/>
  <c r="AU7" i="7" s="1"/>
  <c r="AX7" i="7" s="1"/>
  <c r="AV28" i="7"/>
  <c r="AW28" i="7" s="1"/>
  <c r="AT28" i="7"/>
  <c r="AU28" i="7" s="1"/>
  <c r="AX28" i="7" s="1"/>
  <c r="AV33" i="5"/>
  <c r="AW33" i="5" s="1"/>
  <c r="AR37" i="6"/>
  <c r="AO6" i="5"/>
  <c r="AR10" i="7"/>
  <c r="AR37" i="5"/>
  <c r="AV3" i="4"/>
  <c r="AW3" i="4" s="1"/>
  <c r="AT4" i="2"/>
  <c r="AU4" i="2" s="1"/>
  <c r="AX4" i="2" s="1"/>
  <c r="AR22" i="2"/>
  <c r="AR26" i="2"/>
  <c r="AR18" i="2"/>
  <c r="AR25" i="3"/>
  <c r="AR17" i="3"/>
  <c r="AR16" i="3"/>
  <c r="AR19" i="3"/>
  <c r="AV15" i="3"/>
  <c r="AW15" i="3" s="1"/>
  <c r="AR21" i="3"/>
  <c r="AR23" i="3"/>
  <c r="AR38" i="7"/>
  <c r="AR6" i="7"/>
  <c r="AR10" i="6"/>
  <c r="AU3" i="6"/>
  <c r="AX3" i="6" s="1"/>
  <c r="AR25" i="7"/>
  <c r="AR29" i="6"/>
  <c r="AR20" i="6"/>
  <c r="AO18" i="5"/>
  <c r="AR31" i="7"/>
  <c r="AV3" i="6"/>
  <c r="AW3" i="6" s="1"/>
  <c r="AO29" i="4"/>
  <c r="AR31" i="4" s="1"/>
  <c r="AT18" i="3"/>
  <c r="AU18" i="3" s="1"/>
  <c r="AX18" i="3" s="1"/>
  <c r="AV3" i="7"/>
  <c r="AW3" i="7" s="1"/>
  <c r="AR33" i="2"/>
  <c r="AR29" i="2"/>
  <c r="AR34" i="2"/>
  <c r="AR38" i="2"/>
  <c r="AR35" i="2"/>
  <c r="AR31" i="2"/>
  <c r="AR28" i="2"/>
  <c r="AR36" i="2"/>
  <c r="AR32" i="2"/>
  <c r="AR37" i="2"/>
  <c r="AR6" i="2"/>
  <c r="AU15" i="2"/>
  <c r="AX15" i="2" s="1"/>
  <c r="AU15" i="3"/>
  <c r="AX15" i="3" s="1"/>
  <c r="AO22" i="5"/>
  <c r="AR14" i="4"/>
  <c r="AR9" i="4"/>
  <c r="AR8" i="4"/>
  <c r="AR7" i="4"/>
  <c r="AR6" i="4"/>
  <c r="AR5" i="4"/>
  <c r="AR4" i="4"/>
  <c r="AR13" i="4"/>
  <c r="AR14" i="6"/>
  <c r="AR31" i="6"/>
  <c r="AR36" i="7"/>
  <c r="AR35" i="7"/>
  <c r="AR5" i="5"/>
  <c r="AR10" i="5"/>
  <c r="AR8" i="5"/>
  <c r="AV8" i="5" s="1"/>
  <c r="AW8" i="5" s="1"/>
  <c r="AR6" i="5"/>
  <c r="AT6" i="5" s="1"/>
  <c r="AU6" i="5" s="1"/>
  <c r="AX6" i="5" s="1"/>
  <c r="AR4" i="5"/>
  <c r="AR12" i="6"/>
  <c r="AR34" i="7"/>
  <c r="AR38" i="6"/>
  <c r="AR6" i="6"/>
  <c r="AR21" i="7"/>
  <c r="AR25" i="6"/>
  <c r="AV15" i="6"/>
  <c r="AW15" i="6" s="1"/>
  <c r="AO16" i="5"/>
  <c r="AR20" i="7"/>
  <c r="AT5" i="7"/>
  <c r="AU5" i="7" s="1"/>
  <c r="AX5" i="7" s="1"/>
  <c r="AR30" i="4"/>
  <c r="AR29" i="4"/>
  <c r="AR28" i="4"/>
  <c r="AO14" i="4"/>
  <c r="AT14" i="4"/>
  <c r="AU14" i="4" s="1"/>
  <c r="AX14" i="4" s="1"/>
  <c r="AR36" i="5"/>
  <c r="AR38" i="3"/>
  <c r="AR37" i="3"/>
  <c r="AR32" i="3"/>
  <c r="AR36" i="3"/>
  <c r="AR33" i="3"/>
  <c r="AR34" i="3"/>
  <c r="AR28" i="3"/>
  <c r="AR31" i="3"/>
  <c r="AR35" i="3"/>
  <c r="AR30" i="3"/>
  <c r="AR29" i="3"/>
  <c r="AR20" i="3"/>
  <c r="AR7" i="2"/>
  <c r="AT27" i="2"/>
  <c r="AU27" i="2" s="1"/>
  <c r="AX27" i="2" s="1"/>
  <c r="AR21" i="2"/>
  <c r="AR11" i="2"/>
  <c r="AR13" i="2"/>
  <c r="AR30" i="7"/>
  <c r="AR34" i="6"/>
  <c r="AR38" i="5"/>
  <c r="AU27" i="7"/>
  <c r="AX27" i="7" s="1"/>
  <c r="AU15" i="6"/>
  <c r="AX15" i="6" s="1"/>
  <c r="AR17" i="7"/>
  <c r="AR21" i="6"/>
  <c r="AR32" i="7"/>
  <c r="AR4" i="6"/>
  <c r="AO14" i="5"/>
  <c r="AV15" i="7"/>
  <c r="AW15" i="7" s="1"/>
  <c r="AR12" i="4"/>
  <c r="AV3" i="5"/>
  <c r="AW3" i="5" s="1"/>
  <c r="AR5" i="2"/>
  <c r="AR16" i="2"/>
  <c r="AR4" i="3"/>
  <c r="AR13" i="3"/>
  <c r="AR8" i="3"/>
  <c r="AR20" i="2"/>
  <c r="AT19" i="2"/>
  <c r="AU19" i="2" s="1"/>
  <c r="AX19" i="2" s="1"/>
  <c r="AR36" i="6"/>
  <c r="AR8" i="6"/>
  <c r="AR7" i="6"/>
  <c r="AR26" i="7"/>
  <c r="AR30" i="6"/>
  <c r="AR13" i="7"/>
  <c r="AR17" i="6"/>
  <c r="AV27" i="7"/>
  <c r="AW27" i="7" s="1"/>
  <c r="AR35" i="5"/>
  <c r="AO12" i="5"/>
  <c r="AR4" i="7"/>
  <c r="AR8" i="7"/>
  <c r="AR11" i="4"/>
  <c r="AV28" i="5"/>
  <c r="AW28" i="5" s="1"/>
  <c r="AV27" i="6"/>
  <c r="AW27" i="6" s="1"/>
  <c r="AR12" i="7"/>
  <c r="AU27" i="3"/>
  <c r="AX27" i="3" s="1"/>
  <c r="AU3" i="2"/>
  <c r="AX3" i="2" s="1"/>
  <c r="AR8" i="2"/>
  <c r="AR12" i="2"/>
  <c r="AV23" i="7"/>
  <c r="AW23" i="7" s="1"/>
  <c r="AR5" i="6"/>
  <c r="AV19" i="6"/>
  <c r="AW19" i="6" s="1"/>
  <c r="AR33" i="6"/>
  <c r="AO20" i="5"/>
  <c r="AO34" i="4"/>
  <c r="AR35" i="4" s="1"/>
  <c r="AR22" i="7"/>
  <c r="AR26" i="6"/>
  <c r="AT23" i="7"/>
  <c r="AU23" i="7" s="1"/>
  <c r="AX23" i="7" s="1"/>
  <c r="AU27" i="6"/>
  <c r="AX27" i="6" s="1"/>
  <c r="AR9" i="7"/>
  <c r="AR13" i="6"/>
  <c r="AR16" i="7"/>
  <c r="AR30" i="5"/>
  <c r="AT16" i="6"/>
  <c r="AU16" i="6" s="1"/>
  <c r="AX16" i="6" s="1"/>
  <c r="AO26" i="5"/>
  <c r="AO10" i="5"/>
  <c r="AR12" i="5" s="1"/>
  <c r="AV12" i="5" s="1"/>
  <c r="AW12" i="5" s="1"/>
  <c r="AR35" i="6"/>
  <c r="AR31" i="5"/>
  <c r="AR29" i="5"/>
  <c r="AR32" i="5"/>
  <c r="AR26" i="3"/>
  <c r="AR17" i="2"/>
  <c r="AR23" i="2"/>
  <c r="AR18" i="7"/>
  <c r="AR9" i="6"/>
  <c r="AT18" i="6"/>
  <c r="AU18" i="6" s="1"/>
  <c r="AX18" i="6" s="1"/>
  <c r="AO24" i="5"/>
  <c r="AO8" i="5"/>
  <c r="AR13" i="5" s="1"/>
  <c r="AR24" i="6"/>
  <c r="AR23" i="6"/>
  <c r="AU3" i="4"/>
  <c r="AX3" i="4" s="1"/>
  <c r="AR28" i="6"/>
  <c r="AR22" i="4"/>
  <c r="AR23" i="4"/>
  <c r="AR24" i="4"/>
  <c r="AR16" i="4"/>
  <c r="AR25" i="4"/>
  <c r="AR17" i="4"/>
  <c r="AR26" i="4"/>
  <c r="AR18" i="4"/>
  <c r="AR21" i="4"/>
  <c r="AV15" i="4"/>
  <c r="AW15" i="4" s="1"/>
  <c r="AR20" i="4"/>
  <c r="AR19" i="4"/>
  <c r="AR19" i="7"/>
  <c r="AR24" i="3"/>
  <c r="AR24" i="7"/>
  <c r="AR22" i="3"/>
  <c r="AT24" i="2"/>
  <c r="AU24" i="2" s="1"/>
  <c r="AX24" i="2" s="1"/>
  <c r="AR25" i="2"/>
  <c r="AV33" i="7" l="1"/>
  <c r="AW33" i="7" s="1"/>
  <c r="AT11" i="7"/>
  <c r="AU11" i="7" s="1"/>
  <c r="AX11" i="7" s="1"/>
  <c r="AT29" i="7"/>
  <c r="AU29" i="7" s="1"/>
  <c r="AX29" i="7" s="1"/>
  <c r="AT32" i="6"/>
  <c r="AU32" i="6" s="1"/>
  <c r="AX32" i="6" s="1"/>
  <c r="AT11" i="6"/>
  <c r="AU11" i="6" s="1"/>
  <c r="AX11" i="6" s="1"/>
  <c r="AR11" i="5"/>
  <c r="AT11" i="5" s="1"/>
  <c r="AU11" i="5" s="1"/>
  <c r="AX11" i="5" s="1"/>
  <c r="AV10" i="5"/>
  <c r="AW10" i="5" s="1"/>
  <c r="AV15" i="5"/>
  <c r="AW15" i="5" s="1"/>
  <c r="AR16" i="5"/>
  <c r="AR34" i="4"/>
  <c r="AT34" i="4" s="1"/>
  <c r="AU34" i="4" s="1"/>
  <c r="AX34" i="4" s="1"/>
  <c r="AV29" i="4"/>
  <c r="AW29" i="4" s="1"/>
  <c r="AR32" i="4"/>
  <c r="AR33" i="4"/>
  <c r="AV33" i="4" s="1"/>
  <c r="AW33" i="4" s="1"/>
  <c r="AV14" i="4"/>
  <c r="AW14" i="4" s="1"/>
  <c r="AU3" i="3"/>
  <c r="AX3" i="3" s="1"/>
  <c r="AR5" i="3"/>
  <c r="AR12" i="3"/>
  <c r="AR10" i="3"/>
  <c r="AT10" i="3" s="1"/>
  <c r="AU10" i="3" s="1"/>
  <c r="AX10" i="3" s="1"/>
  <c r="AR7" i="3"/>
  <c r="AR9" i="3"/>
  <c r="AR14" i="3"/>
  <c r="AV14" i="3" s="1"/>
  <c r="AW14" i="3" s="1"/>
  <c r="AR6" i="3"/>
  <c r="AV6" i="3" s="1"/>
  <c r="AW6" i="3" s="1"/>
  <c r="AR11" i="3"/>
  <c r="AV9" i="2"/>
  <c r="AW9" i="2" s="1"/>
  <c r="AT9" i="2"/>
  <c r="AU9" i="2" s="1"/>
  <c r="AX9" i="2" s="1"/>
  <c r="AV11" i="5"/>
  <c r="AW11" i="5" s="1"/>
  <c r="AV35" i="4"/>
  <c r="AW35" i="4" s="1"/>
  <c r="AT35" i="4"/>
  <c r="AU35" i="4" s="1"/>
  <c r="AX35" i="4" s="1"/>
  <c r="AV35" i="7"/>
  <c r="AW35" i="7" s="1"/>
  <c r="AT35" i="7"/>
  <c r="AU35" i="7" s="1"/>
  <c r="AX35" i="7" s="1"/>
  <c r="AV25" i="3"/>
  <c r="AW25" i="3" s="1"/>
  <c r="AT25" i="3"/>
  <c r="AU25" i="3" s="1"/>
  <c r="AX25" i="3" s="1"/>
  <c r="AV23" i="6"/>
  <c r="AW23" i="6" s="1"/>
  <c r="AT23" i="6"/>
  <c r="AU23" i="6" s="1"/>
  <c r="AX23" i="6" s="1"/>
  <c r="AV18" i="7"/>
  <c r="AW18" i="7" s="1"/>
  <c r="AT18" i="7"/>
  <c r="AU18" i="7" s="1"/>
  <c r="AX18" i="7" s="1"/>
  <c r="AV9" i="7"/>
  <c r="AW9" i="7" s="1"/>
  <c r="AT9" i="7"/>
  <c r="AU9" i="7" s="1"/>
  <c r="AX9" i="7" s="1"/>
  <c r="AV4" i="7"/>
  <c r="AW4" i="7" s="1"/>
  <c r="AT4" i="7"/>
  <c r="AU4" i="7" s="1"/>
  <c r="AX4" i="7" s="1"/>
  <c r="AV4" i="6"/>
  <c r="AW4" i="6" s="1"/>
  <c r="AT4" i="6"/>
  <c r="AU4" i="6" s="1"/>
  <c r="AX4" i="6" s="1"/>
  <c r="AV32" i="4"/>
  <c r="AW32" i="4" s="1"/>
  <c r="AT32" i="4"/>
  <c r="AU32" i="4" s="1"/>
  <c r="AX32" i="4" s="1"/>
  <c r="AV36" i="7"/>
  <c r="AW36" i="7" s="1"/>
  <c r="AT36" i="7"/>
  <c r="AU36" i="7" s="1"/>
  <c r="AX36" i="7" s="1"/>
  <c r="AV38" i="7"/>
  <c r="AW38" i="7" s="1"/>
  <c r="AT38" i="7"/>
  <c r="AU38" i="7" s="1"/>
  <c r="AX38" i="7" s="1"/>
  <c r="AV18" i="2"/>
  <c r="AW18" i="2" s="1"/>
  <c r="AT18" i="2"/>
  <c r="AU18" i="2" s="1"/>
  <c r="AX18" i="2" s="1"/>
  <c r="AT12" i="5"/>
  <c r="AU12" i="5" s="1"/>
  <c r="AX12" i="5" s="1"/>
  <c r="AV7" i="6"/>
  <c r="AW7" i="6" s="1"/>
  <c r="AT7" i="6"/>
  <c r="AU7" i="6" s="1"/>
  <c r="AX7" i="6" s="1"/>
  <c r="AV13" i="3"/>
  <c r="AW13" i="3" s="1"/>
  <c r="AT13" i="3"/>
  <c r="AU13" i="3" s="1"/>
  <c r="AX13" i="3" s="1"/>
  <c r="AV16" i="2"/>
  <c r="AW16" i="2" s="1"/>
  <c r="AT16" i="2"/>
  <c r="AU16" i="2" s="1"/>
  <c r="AX16" i="2" s="1"/>
  <c r="AV32" i="7"/>
  <c r="AW32" i="7" s="1"/>
  <c r="AT32" i="7"/>
  <c r="AU32" i="7" s="1"/>
  <c r="AX32" i="7" s="1"/>
  <c r="AV13" i="2"/>
  <c r="AW13" i="2" s="1"/>
  <c r="AT13" i="2"/>
  <c r="AU13" i="2" s="1"/>
  <c r="AX13" i="2" s="1"/>
  <c r="AV35" i="3"/>
  <c r="AW35" i="3" s="1"/>
  <c r="AT35" i="3"/>
  <c r="AU35" i="3" s="1"/>
  <c r="AX35" i="3" s="1"/>
  <c r="AV38" i="3"/>
  <c r="AW38" i="3" s="1"/>
  <c r="AT38" i="3"/>
  <c r="AU38" i="3" s="1"/>
  <c r="AX38" i="3" s="1"/>
  <c r="AV38" i="6"/>
  <c r="AW38" i="6" s="1"/>
  <c r="AT38" i="6"/>
  <c r="AU38" i="6" s="1"/>
  <c r="AX38" i="6" s="1"/>
  <c r="AR14" i="5"/>
  <c r="AV31" i="6"/>
  <c r="AW31" i="6" s="1"/>
  <c r="AT31" i="6"/>
  <c r="AU31" i="6" s="1"/>
  <c r="AX31" i="6" s="1"/>
  <c r="AV9" i="4"/>
  <c r="AW9" i="4" s="1"/>
  <c r="AT9" i="4"/>
  <c r="AU9" i="4" s="1"/>
  <c r="AX9" i="4" s="1"/>
  <c r="AV32" i="2"/>
  <c r="AW32" i="2" s="1"/>
  <c r="AT32" i="2"/>
  <c r="AU32" i="2" s="1"/>
  <c r="AX32" i="2" s="1"/>
  <c r="AV33" i="2"/>
  <c r="AW33" i="2" s="1"/>
  <c r="AT33" i="2"/>
  <c r="AU33" i="2" s="1"/>
  <c r="AX33" i="2" s="1"/>
  <c r="AV23" i="3"/>
  <c r="AW23" i="3" s="1"/>
  <c r="AT23" i="3"/>
  <c r="AU23" i="3" s="1"/>
  <c r="AX23" i="3" s="1"/>
  <c r="AV26" i="2"/>
  <c r="AW26" i="2" s="1"/>
  <c r="AT26" i="2"/>
  <c r="AU26" i="2" s="1"/>
  <c r="AX26" i="2" s="1"/>
  <c r="AV37" i="6"/>
  <c r="AW37" i="6" s="1"/>
  <c r="AT37" i="6"/>
  <c r="AU37" i="6" s="1"/>
  <c r="AX37" i="6" s="1"/>
  <c r="AV24" i="7"/>
  <c r="AW24" i="7" s="1"/>
  <c r="AT24" i="7"/>
  <c r="AU24" i="7" s="1"/>
  <c r="AX24" i="7" s="1"/>
  <c r="AV16" i="7"/>
  <c r="AW16" i="7" s="1"/>
  <c r="AT16" i="7"/>
  <c r="AU16" i="7" s="1"/>
  <c r="AX16" i="7" s="1"/>
  <c r="AV11" i="4"/>
  <c r="AW11" i="4" s="1"/>
  <c r="AT11" i="4"/>
  <c r="AU11" i="4" s="1"/>
  <c r="AX11" i="4" s="1"/>
  <c r="AV36" i="3"/>
  <c r="AW36" i="3" s="1"/>
  <c r="AT36" i="3"/>
  <c r="AU36" i="3" s="1"/>
  <c r="AX36" i="3" s="1"/>
  <c r="AV28" i="4"/>
  <c r="AW28" i="4" s="1"/>
  <c r="AT28" i="4"/>
  <c r="AU28" i="4" s="1"/>
  <c r="AX28" i="4" s="1"/>
  <c r="AV6" i="4"/>
  <c r="AW6" i="4" s="1"/>
  <c r="AT6" i="4"/>
  <c r="AU6" i="4" s="1"/>
  <c r="AX6" i="4" s="1"/>
  <c r="AV10" i="7"/>
  <c r="AW10" i="7" s="1"/>
  <c r="AT10" i="7"/>
  <c r="AU10" i="7" s="1"/>
  <c r="AX10" i="7" s="1"/>
  <c r="AV30" i="6"/>
  <c r="AW30" i="6" s="1"/>
  <c r="AT30" i="6"/>
  <c r="AU30" i="6" s="1"/>
  <c r="AX30" i="6" s="1"/>
  <c r="AV29" i="3"/>
  <c r="AW29" i="3" s="1"/>
  <c r="AT29" i="3"/>
  <c r="AU29" i="3" s="1"/>
  <c r="AX29" i="3" s="1"/>
  <c r="AV21" i="7"/>
  <c r="AW21" i="7" s="1"/>
  <c r="AT21" i="7"/>
  <c r="AU21" i="7" s="1"/>
  <c r="AX21" i="7" s="1"/>
  <c r="AV6" i="2"/>
  <c r="AW6" i="2" s="1"/>
  <c r="AT6" i="2"/>
  <c r="AU6" i="2" s="1"/>
  <c r="AX6" i="2" s="1"/>
  <c r="AV6" i="7"/>
  <c r="AW6" i="7" s="1"/>
  <c r="AT6" i="7"/>
  <c r="AU6" i="7" s="1"/>
  <c r="AX6" i="7" s="1"/>
  <c r="AT10" i="5"/>
  <c r="AU10" i="5" s="1"/>
  <c r="AX10" i="5" s="1"/>
  <c r="AV5" i="3"/>
  <c r="AW5" i="3" s="1"/>
  <c r="AT5" i="3"/>
  <c r="AU5" i="3" s="1"/>
  <c r="AX5" i="3" s="1"/>
  <c r="AV30" i="7"/>
  <c r="AW30" i="7" s="1"/>
  <c r="AT30" i="7"/>
  <c r="AU30" i="7" s="1"/>
  <c r="AX30" i="7" s="1"/>
  <c r="AV29" i="2"/>
  <c r="AW29" i="2" s="1"/>
  <c r="AT29" i="2"/>
  <c r="AU29" i="2" s="1"/>
  <c r="AX29" i="2" s="1"/>
  <c r="AV19" i="7"/>
  <c r="AW19" i="7" s="1"/>
  <c r="AT19" i="7"/>
  <c r="AU19" i="7" s="1"/>
  <c r="AX19" i="7" s="1"/>
  <c r="AV23" i="2"/>
  <c r="AW23" i="2" s="1"/>
  <c r="AT23" i="2"/>
  <c r="AU23" i="2" s="1"/>
  <c r="AX23" i="2" s="1"/>
  <c r="AT8" i="5"/>
  <c r="AU8" i="5" s="1"/>
  <c r="AX8" i="5" s="1"/>
  <c r="AV8" i="6"/>
  <c r="AW8" i="6" s="1"/>
  <c r="AT8" i="6"/>
  <c r="AU8" i="6" s="1"/>
  <c r="AX8" i="6" s="1"/>
  <c r="AV10" i="3"/>
  <c r="AW10" i="3" s="1"/>
  <c r="AV5" i="2"/>
  <c r="AW5" i="2" s="1"/>
  <c r="AT5" i="2"/>
  <c r="AU5" i="2" s="1"/>
  <c r="AX5" i="2" s="1"/>
  <c r="AV21" i="6"/>
  <c r="AW21" i="6" s="1"/>
  <c r="AT21" i="6"/>
  <c r="AU21" i="6" s="1"/>
  <c r="AX21" i="6" s="1"/>
  <c r="AV11" i="2"/>
  <c r="AW11" i="2" s="1"/>
  <c r="AT11" i="2"/>
  <c r="AU11" i="2" s="1"/>
  <c r="AX11" i="2" s="1"/>
  <c r="AV31" i="3"/>
  <c r="AW31" i="3" s="1"/>
  <c r="AT31" i="3"/>
  <c r="AU31" i="3" s="1"/>
  <c r="AX31" i="3" s="1"/>
  <c r="AR36" i="4"/>
  <c r="AV20" i="7"/>
  <c r="AW20" i="7" s="1"/>
  <c r="AT20" i="7"/>
  <c r="AU20" i="7" s="1"/>
  <c r="AX20" i="7" s="1"/>
  <c r="AV34" i="7"/>
  <c r="AW34" i="7" s="1"/>
  <c r="AT34" i="7"/>
  <c r="AU34" i="7" s="1"/>
  <c r="AX34" i="7" s="1"/>
  <c r="AV5" i="5"/>
  <c r="AW5" i="5" s="1"/>
  <c r="AT5" i="5"/>
  <c r="AU5" i="5" s="1"/>
  <c r="AX5" i="5" s="1"/>
  <c r="AV14" i="6"/>
  <c r="AW14" i="6" s="1"/>
  <c r="AT14" i="6"/>
  <c r="AU14" i="6" s="1"/>
  <c r="AX14" i="6" s="1"/>
  <c r="AV36" i="2"/>
  <c r="AW36" i="2" s="1"/>
  <c r="AT36" i="2"/>
  <c r="AU36" i="2" s="1"/>
  <c r="AX36" i="2" s="1"/>
  <c r="AV20" i="6"/>
  <c r="AW20" i="6" s="1"/>
  <c r="AT20" i="6"/>
  <c r="AU20" i="6" s="1"/>
  <c r="AX20" i="6" s="1"/>
  <c r="AV21" i="3"/>
  <c r="AW21" i="3" s="1"/>
  <c r="AT21" i="3"/>
  <c r="AU21" i="3" s="1"/>
  <c r="AX21" i="3" s="1"/>
  <c r="AV22" i="2"/>
  <c r="AW22" i="2" s="1"/>
  <c r="AT22" i="2"/>
  <c r="AU22" i="2" s="1"/>
  <c r="AX22" i="2" s="1"/>
  <c r="AV28" i="6"/>
  <c r="AW28" i="6" s="1"/>
  <c r="AT28" i="6"/>
  <c r="AU28" i="6" s="1"/>
  <c r="AX28" i="6" s="1"/>
  <c r="AV31" i="5"/>
  <c r="AW31" i="5" s="1"/>
  <c r="AT31" i="5"/>
  <c r="AU31" i="5" s="1"/>
  <c r="AX31" i="5" s="1"/>
  <c r="AV12" i="2"/>
  <c r="AW12" i="2" s="1"/>
  <c r="AT12" i="2"/>
  <c r="AU12" i="2" s="1"/>
  <c r="AX12" i="2" s="1"/>
  <c r="AV11" i="3"/>
  <c r="AW11" i="3" s="1"/>
  <c r="AT11" i="3"/>
  <c r="AU11" i="3" s="1"/>
  <c r="AX11" i="3" s="1"/>
  <c r="AV38" i="5"/>
  <c r="AW38" i="5" s="1"/>
  <c r="AT38" i="5"/>
  <c r="AU38" i="5" s="1"/>
  <c r="AX38" i="5" s="1"/>
  <c r="AV38" i="2"/>
  <c r="AW38" i="2" s="1"/>
  <c r="AT38" i="2"/>
  <c r="AU38" i="2" s="1"/>
  <c r="AX38" i="2" s="1"/>
  <c r="AV17" i="3"/>
  <c r="AW17" i="3" s="1"/>
  <c r="AT17" i="3"/>
  <c r="AU17" i="3" s="1"/>
  <c r="AX17" i="3" s="1"/>
  <c r="AV35" i="6"/>
  <c r="AW35" i="6" s="1"/>
  <c r="AT35" i="6"/>
  <c r="AU35" i="6" s="1"/>
  <c r="AX35" i="6" s="1"/>
  <c r="AV4" i="3"/>
  <c r="AW4" i="3" s="1"/>
  <c r="AT4" i="3"/>
  <c r="AU4" i="3" s="1"/>
  <c r="AX4" i="3" s="1"/>
  <c r="AV34" i="6"/>
  <c r="AW34" i="6" s="1"/>
  <c r="AT34" i="6"/>
  <c r="AU34" i="6" s="1"/>
  <c r="AX34" i="6" s="1"/>
  <c r="AV32" i="3"/>
  <c r="AW32" i="3" s="1"/>
  <c r="AT32" i="3"/>
  <c r="AU32" i="3" s="1"/>
  <c r="AX32" i="3" s="1"/>
  <c r="AV7" i="4"/>
  <c r="AW7" i="4" s="1"/>
  <c r="AT7" i="4"/>
  <c r="AU7" i="4" s="1"/>
  <c r="AX7" i="4" s="1"/>
  <c r="AV26" i="7"/>
  <c r="AW26" i="7" s="1"/>
  <c r="AT26" i="7"/>
  <c r="AU26" i="7" s="1"/>
  <c r="AX26" i="7" s="1"/>
  <c r="AV12" i="3"/>
  <c r="AW12" i="3" s="1"/>
  <c r="AT12" i="3"/>
  <c r="AU12" i="3" s="1"/>
  <c r="AX12" i="3" s="1"/>
  <c r="AV37" i="3"/>
  <c r="AW37" i="3" s="1"/>
  <c r="AT37" i="3"/>
  <c r="AU37" i="3" s="1"/>
  <c r="AX37" i="3" s="1"/>
  <c r="AV8" i="4"/>
  <c r="AW8" i="4" s="1"/>
  <c r="AT8" i="4"/>
  <c r="AU8" i="4" s="1"/>
  <c r="AX8" i="4" s="1"/>
  <c r="AV25" i="4"/>
  <c r="AW25" i="4" s="1"/>
  <c r="AT25" i="4"/>
  <c r="AU25" i="4" s="1"/>
  <c r="AX25" i="4" s="1"/>
  <c r="AV20" i="4"/>
  <c r="AW20" i="4" s="1"/>
  <c r="AT20" i="4"/>
  <c r="AU20" i="4" s="1"/>
  <c r="AX20" i="4" s="1"/>
  <c r="AV12" i="7"/>
  <c r="AW12" i="7" s="1"/>
  <c r="AT12" i="7"/>
  <c r="AU12" i="7" s="1"/>
  <c r="AX12" i="7" s="1"/>
  <c r="AV35" i="5"/>
  <c r="AW35" i="5" s="1"/>
  <c r="AT35" i="5"/>
  <c r="AU35" i="5" s="1"/>
  <c r="AX35" i="5" s="1"/>
  <c r="AV36" i="6"/>
  <c r="AW36" i="6" s="1"/>
  <c r="AT36" i="6"/>
  <c r="AU36" i="6" s="1"/>
  <c r="AX36" i="6" s="1"/>
  <c r="AV7" i="3"/>
  <c r="AW7" i="3" s="1"/>
  <c r="AT7" i="3"/>
  <c r="AU7" i="3" s="1"/>
  <c r="AX7" i="3" s="1"/>
  <c r="AV17" i="7"/>
  <c r="AW17" i="7" s="1"/>
  <c r="AT17" i="7"/>
  <c r="AU17" i="7" s="1"/>
  <c r="AX17" i="7" s="1"/>
  <c r="AV21" i="2"/>
  <c r="AW21" i="2" s="1"/>
  <c r="AT21" i="2"/>
  <c r="AU21" i="2" s="1"/>
  <c r="AX21" i="2" s="1"/>
  <c r="AV28" i="3"/>
  <c r="AW28" i="3" s="1"/>
  <c r="AT28" i="3"/>
  <c r="AU28" i="3" s="1"/>
  <c r="AX28" i="3" s="1"/>
  <c r="AV36" i="5"/>
  <c r="AW36" i="5" s="1"/>
  <c r="AT36" i="5"/>
  <c r="AU36" i="5" s="1"/>
  <c r="AX36" i="5" s="1"/>
  <c r="AR37" i="4"/>
  <c r="AV12" i="6"/>
  <c r="AW12" i="6" s="1"/>
  <c r="AT12" i="6"/>
  <c r="AU12" i="6" s="1"/>
  <c r="AX12" i="6" s="1"/>
  <c r="AR7" i="5"/>
  <c r="AV13" i="4"/>
  <c r="AW13" i="4" s="1"/>
  <c r="AT13" i="4"/>
  <c r="AU13" i="4" s="1"/>
  <c r="AX13" i="4" s="1"/>
  <c r="AV28" i="2"/>
  <c r="AW28" i="2" s="1"/>
  <c r="AT28" i="2"/>
  <c r="AU28" i="2" s="1"/>
  <c r="AX28" i="2" s="1"/>
  <c r="AV29" i="6"/>
  <c r="AW29" i="6" s="1"/>
  <c r="AT29" i="6"/>
  <c r="AU29" i="6" s="1"/>
  <c r="AX29" i="6" s="1"/>
  <c r="AV18" i="4"/>
  <c r="AW18" i="4" s="1"/>
  <c r="AT18" i="4"/>
  <c r="AU18" i="4" s="1"/>
  <c r="AX18" i="4" s="1"/>
  <c r="AV25" i="6"/>
  <c r="AW25" i="6" s="1"/>
  <c r="AT25" i="6"/>
  <c r="AU25" i="6" s="1"/>
  <c r="AX25" i="6" s="1"/>
  <c r="AV10" i="6"/>
  <c r="AW10" i="6" s="1"/>
  <c r="AT10" i="6"/>
  <c r="AU10" i="6" s="1"/>
  <c r="AX10" i="6" s="1"/>
  <c r="AV24" i="3"/>
  <c r="AW24" i="3" s="1"/>
  <c r="AT24" i="3"/>
  <c r="AU24" i="3" s="1"/>
  <c r="AX24" i="3" s="1"/>
  <c r="AV13" i="6"/>
  <c r="AW13" i="6" s="1"/>
  <c r="AT13" i="6"/>
  <c r="AU13" i="6" s="1"/>
  <c r="AX13" i="6" s="1"/>
  <c r="AV8" i="3"/>
  <c r="AW8" i="3" s="1"/>
  <c r="AT8" i="3"/>
  <c r="AU8" i="3" s="1"/>
  <c r="AX8" i="3" s="1"/>
  <c r="AV34" i="4"/>
  <c r="AW34" i="4" s="1"/>
  <c r="AV17" i="4"/>
  <c r="AW17" i="4" s="1"/>
  <c r="AT17" i="4"/>
  <c r="AU17" i="4" s="1"/>
  <c r="AX17" i="4" s="1"/>
  <c r="AV8" i="2"/>
  <c r="AW8" i="2" s="1"/>
  <c r="AT8" i="2"/>
  <c r="AU8" i="2" s="1"/>
  <c r="AX8" i="2" s="1"/>
  <c r="AR38" i="4"/>
  <c r="AV19" i="4"/>
  <c r="AW19" i="4" s="1"/>
  <c r="AT19" i="4"/>
  <c r="AU19" i="4" s="1"/>
  <c r="AX19" i="4" s="1"/>
  <c r="AV17" i="2"/>
  <c r="AW17" i="2" s="1"/>
  <c r="AT17" i="2"/>
  <c r="AU17" i="2" s="1"/>
  <c r="AX17" i="2" s="1"/>
  <c r="AV26" i="3"/>
  <c r="AW26" i="3" s="1"/>
  <c r="AT26" i="3"/>
  <c r="AU26" i="3" s="1"/>
  <c r="AX26" i="3" s="1"/>
  <c r="AV23" i="4"/>
  <c r="AW23" i="4" s="1"/>
  <c r="AT23" i="4"/>
  <c r="AU23" i="4" s="1"/>
  <c r="AX23" i="4" s="1"/>
  <c r="AV32" i="5"/>
  <c r="AW32" i="5" s="1"/>
  <c r="AT32" i="5"/>
  <c r="AU32" i="5" s="1"/>
  <c r="AX32" i="5" s="1"/>
  <c r="AV26" i="6"/>
  <c r="AW26" i="6" s="1"/>
  <c r="AT26" i="6"/>
  <c r="AU26" i="6" s="1"/>
  <c r="AX26" i="6" s="1"/>
  <c r="AV5" i="6"/>
  <c r="AW5" i="6" s="1"/>
  <c r="AT5" i="6"/>
  <c r="AU5" i="6" s="1"/>
  <c r="AX5" i="6" s="1"/>
  <c r="AV9" i="3"/>
  <c r="AW9" i="3" s="1"/>
  <c r="AT9" i="3"/>
  <c r="AU9" i="3" s="1"/>
  <c r="AX9" i="3" s="1"/>
  <c r="AV12" i="4"/>
  <c r="AW12" i="4" s="1"/>
  <c r="AT12" i="4"/>
  <c r="AU12" i="4" s="1"/>
  <c r="AX12" i="4" s="1"/>
  <c r="AV34" i="3"/>
  <c r="AW34" i="3" s="1"/>
  <c r="AT34" i="3"/>
  <c r="AU34" i="3" s="1"/>
  <c r="AX34" i="3" s="1"/>
  <c r="AV31" i="4"/>
  <c r="AW31" i="4" s="1"/>
  <c r="AT31" i="4"/>
  <c r="AU31" i="4" s="1"/>
  <c r="AX31" i="4" s="1"/>
  <c r="AR23" i="5"/>
  <c r="AR25" i="5"/>
  <c r="AR21" i="5"/>
  <c r="AR18" i="5"/>
  <c r="AR19" i="5"/>
  <c r="AR17" i="5"/>
  <c r="AR26" i="5"/>
  <c r="AR24" i="5"/>
  <c r="AR22" i="5"/>
  <c r="AR20" i="5"/>
  <c r="AV4" i="5"/>
  <c r="AW4" i="5" s="1"/>
  <c r="AT4" i="5"/>
  <c r="AU4" i="5" s="1"/>
  <c r="AX4" i="5" s="1"/>
  <c r="AR9" i="5"/>
  <c r="AV4" i="4"/>
  <c r="AW4" i="4" s="1"/>
  <c r="AT4" i="4"/>
  <c r="AU4" i="4" s="1"/>
  <c r="AX4" i="4" s="1"/>
  <c r="AV31" i="2"/>
  <c r="AW31" i="2" s="1"/>
  <c r="AT31" i="2"/>
  <c r="AU31" i="2" s="1"/>
  <c r="AX31" i="2" s="1"/>
  <c r="AT29" i="4"/>
  <c r="AU29" i="4" s="1"/>
  <c r="AX29" i="4" s="1"/>
  <c r="AV25" i="7"/>
  <c r="AW25" i="7" s="1"/>
  <c r="AT25" i="7"/>
  <c r="AU25" i="7" s="1"/>
  <c r="AX25" i="7" s="1"/>
  <c r="AV19" i="3"/>
  <c r="AW19" i="3" s="1"/>
  <c r="AT19" i="3"/>
  <c r="AU19" i="3" s="1"/>
  <c r="AX19" i="3" s="1"/>
  <c r="AV13" i="7"/>
  <c r="AW13" i="7" s="1"/>
  <c r="AT13" i="7"/>
  <c r="AU13" i="7" s="1"/>
  <c r="AX13" i="7" s="1"/>
  <c r="AV20" i="3"/>
  <c r="AW20" i="3" s="1"/>
  <c r="AT20" i="3"/>
  <c r="AU20" i="3" s="1"/>
  <c r="AX20" i="3" s="1"/>
  <c r="AV30" i="4"/>
  <c r="AW30" i="4" s="1"/>
  <c r="AT30" i="4"/>
  <c r="AU30" i="4" s="1"/>
  <c r="AX30" i="4" s="1"/>
  <c r="AV13" i="5"/>
  <c r="AW13" i="5" s="1"/>
  <c r="AT13" i="5"/>
  <c r="AU13" i="5" s="1"/>
  <c r="AX13" i="5" s="1"/>
  <c r="AV26" i="4"/>
  <c r="AW26" i="4" s="1"/>
  <c r="AT26" i="4"/>
  <c r="AU26" i="4" s="1"/>
  <c r="AX26" i="4" s="1"/>
  <c r="AV9" i="6"/>
  <c r="AW9" i="6" s="1"/>
  <c r="AT9" i="6"/>
  <c r="AU9" i="6" s="1"/>
  <c r="AX9" i="6" s="1"/>
  <c r="AV8" i="7"/>
  <c r="AW8" i="7" s="1"/>
  <c r="AT8" i="7"/>
  <c r="AU8" i="7" s="1"/>
  <c r="AX8" i="7" s="1"/>
  <c r="AV34" i="2"/>
  <c r="AW34" i="2" s="1"/>
  <c r="AT34" i="2"/>
  <c r="AU34" i="2" s="1"/>
  <c r="AX34" i="2" s="1"/>
  <c r="AV31" i="7"/>
  <c r="AW31" i="7" s="1"/>
  <c r="AT31" i="7"/>
  <c r="AU31" i="7" s="1"/>
  <c r="AX31" i="7" s="1"/>
  <c r="AV30" i="3"/>
  <c r="AW30" i="3" s="1"/>
  <c r="AT30" i="3"/>
  <c r="AU30" i="3" s="1"/>
  <c r="AX30" i="3" s="1"/>
  <c r="AV6" i="6"/>
  <c r="AW6" i="6" s="1"/>
  <c r="AT6" i="6"/>
  <c r="AU6" i="6" s="1"/>
  <c r="AX6" i="6" s="1"/>
  <c r="AV37" i="2"/>
  <c r="AW37" i="2" s="1"/>
  <c r="AT37" i="2"/>
  <c r="AU37" i="2" s="1"/>
  <c r="AX37" i="2" s="1"/>
  <c r="AV24" i="6"/>
  <c r="AW24" i="6" s="1"/>
  <c r="AT24" i="6"/>
  <c r="AU24" i="6" s="1"/>
  <c r="AX24" i="6" s="1"/>
  <c r="AV16" i="4"/>
  <c r="AW16" i="4" s="1"/>
  <c r="AT16" i="4"/>
  <c r="AU16" i="4" s="1"/>
  <c r="AX16" i="4" s="1"/>
  <c r="AV33" i="6"/>
  <c r="AW33" i="6" s="1"/>
  <c r="AT33" i="6"/>
  <c r="AU33" i="6" s="1"/>
  <c r="AX33" i="6" s="1"/>
  <c r="AV25" i="2"/>
  <c r="AW25" i="2" s="1"/>
  <c r="AT25" i="2"/>
  <c r="AU25" i="2" s="1"/>
  <c r="AX25" i="2" s="1"/>
  <c r="AV24" i="4"/>
  <c r="AW24" i="4" s="1"/>
  <c r="AT24" i="4"/>
  <c r="AU24" i="4" s="1"/>
  <c r="AX24" i="4" s="1"/>
  <c r="AV22" i="3"/>
  <c r="AW22" i="3" s="1"/>
  <c r="AT22" i="3"/>
  <c r="AU22" i="3" s="1"/>
  <c r="AX22" i="3" s="1"/>
  <c r="AV21" i="4"/>
  <c r="AW21" i="4" s="1"/>
  <c r="AT21" i="4"/>
  <c r="AU21" i="4" s="1"/>
  <c r="AX21" i="4" s="1"/>
  <c r="AV22" i="4"/>
  <c r="AW22" i="4" s="1"/>
  <c r="AT22" i="4"/>
  <c r="AU22" i="4" s="1"/>
  <c r="AX22" i="4" s="1"/>
  <c r="AV29" i="5"/>
  <c r="AW29" i="5" s="1"/>
  <c r="AT29" i="5"/>
  <c r="AU29" i="5" s="1"/>
  <c r="AX29" i="5" s="1"/>
  <c r="AV30" i="5"/>
  <c r="AW30" i="5" s="1"/>
  <c r="AT30" i="5"/>
  <c r="AU30" i="5" s="1"/>
  <c r="AX30" i="5" s="1"/>
  <c r="AV22" i="7"/>
  <c r="AW22" i="7" s="1"/>
  <c r="AT22" i="7"/>
  <c r="AU22" i="7" s="1"/>
  <c r="AX22" i="7" s="1"/>
  <c r="AV17" i="6"/>
  <c r="AW17" i="6" s="1"/>
  <c r="AT17" i="6"/>
  <c r="AU17" i="6" s="1"/>
  <c r="AX17" i="6" s="1"/>
  <c r="AV20" i="2"/>
  <c r="AW20" i="2" s="1"/>
  <c r="AT20" i="2"/>
  <c r="AU20" i="2" s="1"/>
  <c r="AX20" i="2" s="1"/>
  <c r="AV7" i="2"/>
  <c r="AW7" i="2" s="1"/>
  <c r="AT7" i="2"/>
  <c r="AU7" i="2" s="1"/>
  <c r="AX7" i="2" s="1"/>
  <c r="AV33" i="3"/>
  <c r="AW33" i="3" s="1"/>
  <c r="AT33" i="3"/>
  <c r="AU33" i="3" s="1"/>
  <c r="AX33" i="3" s="1"/>
  <c r="AV6" i="5"/>
  <c r="AW6" i="5" s="1"/>
  <c r="AV5" i="4"/>
  <c r="AW5" i="4" s="1"/>
  <c r="AT5" i="4"/>
  <c r="AU5" i="4" s="1"/>
  <c r="AX5" i="4" s="1"/>
  <c r="AV35" i="2"/>
  <c r="AW35" i="2" s="1"/>
  <c r="AT35" i="2"/>
  <c r="AU35" i="2" s="1"/>
  <c r="AX35" i="2" s="1"/>
  <c r="AV16" i="3"/>
  <c r="AW16" i="3" s="1"/>
  <c r="AT16" i="3"/>
  <c r="AU16" i="3" s="1"/>
  <c r="AX16" i="3" s="1"/>
  <c r="AV37" i="5"/>
  <c r="AW37" i="5" s="1"/>
  <c r="AT37" i="5"/>
  <c r="AU37" i="5" s="1"/>
  <c r="AX37" i="5" s="1"/>
  <c r="AT16" i="5" l="1"/>
  <c r="AU16" i="5" s="1"/>
  <c r="AX16" i="5" s="1"/>
  <c r="AV16" i="5"/>
  <c r="AW16" i="5" s="1"/>
  <c r="AT33" i="4"/>
  <c r="AU33" i="4" s="1"/>
  <c r="AX33" i="4" s="1"/>
  <c r="AT6" i="3"/>
  <c r="AU6" i="3" s="1"/>
  <c r="AX6" i="3" s="1"/>
  <c r="AT14" i="3"/>
  <c r="AU14" i="3" s="1"/>
  <c r="AX14" i="3" s="1"/>
  <c r="AV22" i="5"/>
  <c r="AW22" i="5" s="1"/>
  <c r="AT22" i="5"/>
  <c r="AU22" i="5" s="1"/>
  <c r="AX22" i="5" s="1"/>
  <c r="AV23" i="5"/>
  <c r="AW23" i="5" s="1"/>
  <c r="AT23" i="5"/>
  <c r="AU23" i="5" s="1"/>
  <c r="AX23" i="5" s="1"/>
  <c r="AV14" i="5"/>
  <c r="AW14" i="5" s="1"/>
  <c r="AT14" i="5"/>
  <c r="AU14" i="5" s="1"/>
  <c r="AX14" i="5" s="1"/>
  <c r="AV26" i="5"/>
  <c r="AW26" i="5" s="1"/>
  <c r="AT26" i="5"/>
  <c r="AU26" i="5" s="1"/>
  <c r="AX26" i="5" s="1"/>
  <c r="AV37" i="4"/>
  <c r="AW37" i="4" s="1"/>
  <c r="AT37" i="4"/>
  <c r="AU37" i="4" s="1"/>
  <c r="AX37" i="4" s="1"/>
  <c r="AV21" i="5"/>
  <c r="AW21" i="5" s="1"/>
  <c r="AT21" i="5"/>
  <c r="AU21" i="5" s="1"/>
  <c r="AX21" i="5" s="1"/>
  <c r="AV25" i="5"/>
  <c r="AW25" i="5" s="1"/>
  <c r="AT25" i="5"/>
  <c r="AU25" i="5" s="1"/>
  <c r="AX25" i="5" s="1"/>
  <c r="AV38" i="4"/>
  <c r="AW38" i="4" s="1"/>
  <c r="AT38" i="4"/>
  <c r="AU38" i="4" s="1"/>
  <c r="AX38" i="4" s="1"/>
  <c r="AV7" i="5"/>
  <c r="AW7" i="5" s="1"/>
  <c r="AT7" i="5"/>
  <c r="AU7" i="5" s="1"/>
  <c r="AX7" i="5" s="1"/>
  <c r="AV17" i="5"/>
  <c r="AW17" i="5" s="1"/>
  <c r="AT17" i="5"/>
  <c r="AU17" i="5" s="1"/>
  <c r="AX17" i="5" s="1"/>
  <c r="AV20" i="5"/>
  <c r="AW20" i="5" s="1"/>
  <c r="AT20" i="5"/>
  <c r="AU20" i="5" s="1"/>
  <c r="AX20" i="5" s="1"/>
  <c r="AV36" i="4"/>
  <c r="AW36" i="4" s="1"/>
  <c r="AT36" i="4"/>
  <c r="AU36" i="4" s="1"/>
  <c r="AX36" i="4" s="1"/>
  <c r="AV24" i="5"/>
  <c r="AW24" i="5" s="1"/>
  <c r="AT24" i="5"/>
  <c r="AU24" i="5" s="1"/>
  <c r="AX24" i="5" s="1"/>
  <c r="AV9" i="5"/>
  <c r="AW9" i="5" s="1"/>
  <c r="AT9" i="5"/>
  <c r="AU9" i="5" s="1"/>
  <c r="AX9" i="5" s="1"/>
  <c r="AV19" i="5"/>
  <c r="AW19" i="5" s="1"/>
  <c r="AT19" i="5"/>
  <c r="AU19" i="5" s="1"/>
  <c r="AX19" i="5" s="1"/>
  <c r="AV18" i="5"/>
  <c r="AW18" i="5" s="1"/>
  <c r="AT18" i="5"/>
  <c r="AU18" i="5" s="1"/>
  <c r="AX1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100-000001000000}">
      <text>
        <r>
          <rPr>
            <sz val="10"/>
            <rFont val="Arial"/>
            <family val="2"/>
          </rPr>
          <t>⚠ OVERRUN MONTH
Jun-2022: Major cloud infra migration + license renewal surge
Direct salary boosted ×1.55</t>
        </r>
      </text>
    </comment>
    <comment ref="A8" authorId="0" shapeId="0" xr:uid="{00000000-0006-0000-0100-000002000000}">
      <text>
        <r>
          <rPr>
            <sz val="10"/>
            <rFont val="Arial"/>
            <family val="2"/>
          </rPr>
          <t>⚠ OVERRUN MONTH
Sep-2022: Dussehra hiring drive + contractor onboarding
Direct salary boosted ×1.52</t>
        </r>
      </text>
    </comment>
    <comment ref="A12" authorId="0" shapeId="0" xr:uid="{00000000-0006-0000-0100-000003000000}">
      <text>
        <r>
          <rPr>
            <sz val="10"/>
            <rFont val="Arial"/>
            <family val="2"/>
          </rPr>
          <t>⚠ OVERRUN MONTH
Jan-2023: Q3 increment rollout + backfill after Dec attrition
Direct salary boosted ×1.6</t>
        </r>
      </text>
    </comment>
    <comment ref="A19" authorId="0" shapeId="0" xr:uid="{00000000-0006-0000-0100-000004000000}">
      <text>
        <r>
          <rPr>
            <sz val="10"/>
            <rFont val="Arial"/>
            <family val="2"/>
          </rPr>
          <t>⚠ OVERRUN MONTH
Aug-2023: New product launch infra scaling + OT
Direct salary boosted ×1.48</t>
        </r>
      </text>
    </comment>
    <comment ref="A22" authorId="0" shapeId="0" xr:uid="{00000000-0006-0000-0100-000005000000}">
      <text>
        <r>
          <rPr>
            <sz val="10"/>
            <rFont val="Arial"/>
            <family val="2"/>
          </rPr>
          <t>⚠ OVERRUN MONTH
Nov-2023: Diwali bonus payout + year-end license renewals
Direct salary boosted ×1.65</t>
        </r>
      </text>
    </comment>
    <comment ref="A29" authorId="0" shapeId="0" xr:uid="{00000000-0006-0000-0100-000006000000}">
      <text>
        <r>
          <rPr>
            <sz val="10"/>
            <rFont val="Arial"/>
            <family val="2"/>
          </rPr>
          <t>⚠ OVERRUN MONTH
Jun-2024: AI tooling rollout + headcount ramp
Direct salary boosted ×1.45</t>
        </r>
      </text>
    </comment>
    <comment ref="A33" authorId="0" shapeId="0" xr:uid="{00000000-0006-0000-0100-000007000000}">
      <text>
        <r>
          <rPr>
            <sz val="10"/>
            <rFont val="Arial"/>
            <family val="2"/>
          </rPr>
          <t>⚠ OVERRUN MONTH
Oct-2024: Navratri hiring + equipment procurement
Direct salary boosted ×1.55</t>
        </r>
      </text>
    </comment>
    <comment ref="A37" authorId="0" shapeId="0" xr:uid="{00000000-0006-0000-0100-000008000000}">
      <text>
        <r>
          <rPr>
            <sz val="10"/>
            <rFont val="Arial"/>
            <family val="2"/>
          </rPr>
          <t>⚠ OVERRUN MONTH
Feb-2025: Pre-appraisal retention bonuses
Direct salary boosted ×1.38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200-000001000000}">
      <text>
        <r>
          <rPr>
            <sz val="10"/>
            <rFont val="Arial"/>
            <family val="2"/>
          </rPr>
          <t>⚠ OVERRUN MONTH
Jul-2022: Peak ops season overtime + temp staffing
Direct salary boosted ×1.42</t>
        </r>
      </text>
    </comment>
    <comment ref="A10" authorId="0" shapeId="0" xr:uid="{00000000-0006-0000-0200-000002000000}">
      <text>
        <r>
          <rPr>
            <sz val="10"/>
            <rFont val="Arial"/>
            <family val="2"/>
          </rPr>
          <t>⚠ OVERRUN MONTH
Nov-2022: Diwali operations surge + meal/travel spike
Direct salary boosted ×1.5</t>
        </r>
      </text>
    </comment>
    <comment ref="A13" authorId="0" shapeId="0" xr:uid="{00000000-0006-0000-0200-000003000000}">
      <text>
        <r>
          <rPr>
            <sz val="10"/>
            <rFont val="Arial"/>
            <family val="2"/>
          </rPr>
          <t>⚠ OVERRUN MONTH
Feb-2023: FY-end project completion rush
Direct salary boosted ×1.45</t>
        </r>
      </text>
    </comment>
    <comment ref="A18" authorId="0" shapeId="0" xr:uid="{00000000-0006-0000-0200-000004000000}">
      <text>
        <r>
          <rPr>
            <sz val="10"/>
            <rFont val="Arial"/>
            <family val="2"/>
          </rPr>
          <t>⚠ OVERRUN MONTH
Jul-2023: Monsoon disruption + overtime recovery
Direct salary boosted ×1.48</t>
        </r>
      </text>
    </comment>
    <comment ref="A23" authorId="0" shapeId="0" xr:uid="{00000000-0006-0000-0200-000005000000}">
      <text>
        <r>
          <rPr>
            <sz val="10"/>
            <rFont val="Arial"/>
            <family val="2"/>
          </rPr>
          <t>⚠ OVERRUN MONTH
Dec-2023: Year-end ops push + contractor costs
Direct salary boosted ×1.52</t>
        </r>
      </text>
    </comment>
    <comment ref="A30" authorId="0" shapeId="0" xr:uid="{00000000-0006-0000-0200-000006000000}">
      <text>
        <r>
          <rPr>
            <sz val="10"/>
            <rFont val="Arial"/>
            <family val="2"/>
          </rPr>
          <t>⚠ OVERRUN MONTH
Jul-2024: Volume surge, temp staffing and OT
Direct salary boosted ×1.4</t>
        </r>
      </text>
    </comment>
    <comment ref="A34" authorId="0" shapeId="0" xr:uid="{00000000-0006-0000-0200-000007000000}">
      <text>
        <r>
          <rPr>
            <sz val="10"/>
            <rFont val="Arial"/>
            <family val="2"/>
          </rPr>
          <t>⚠ OVERRUN MONTH
Nov-2024: Diwali bonus + ops contingency spend
Direct salary boosted ×1.58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300-000001000000}">
      <text>
        <r>
          <rPr>
            <sz val="10"/>
            <rFont val="Arial"/>
            <family val="2"/>
          </rPr>
          <t>⚠ OVERRUN MONTH
Jun-2022: Financial year-end audit consultancy
Direct salary boosted ×1.38</t>
        </r>
      </text>
    </comment>
    <comment ref="A9" authorId="0" shapeId="0" xr:uid="{00000000-0006-0000-0300-000002000000}">
      <text>
        <r>
          <rPr>
            <sz val="10"/>
            <rFont val="Arial"/>
            <family val="2"/>
          </rPr>
          <t>⚠ OVERRUN MONTH
Oct-2022: Q2 close + external audit fees
Direct salary boosted ×1.45</t>
        </r>
      </text>
    </comment>
    <comment ref="A14" authorId="0" shapeId="0" xr:uid="{00000000-0006-0000-0300-000003000000}">
      <text>
        <r>
          <rPr>
            <sz val="10"/>
            <rFont val="Arial"/>
            <family val="2"/>
          </rPr>
          <t>⚠ OVERRUN MONTH
Mar-2023: FY-end statutory audit + tax advisory
Direct salary boosted ×1.55</t>
        </r>
      </text>
    </comment>
    <comment ref="A17" authorId="0" shapeId="0" xr:uid="{00000000-0006-0000-0300-000004000000}">
      <text>
        <r>
          <rPr>
            <sz val="10"/>
            <rFont val="Arial"/>
            <family val="2"/>
          </rPr>
          <t>⚠ OVERRUN MONTH
Jun-2023: Half-year close external consultants
Direct salary boosted ×1.42</t>
        </r>
      </text>
    </comment>
    <comment ref="A26" authorId="0" shapeId="0" xr:uid="{00000000-0006-0000-0300-000005000000}">
      <text>
        <r>
          <rPr>
            <sz val="10"/>
            <rFont val="Arial"/>
            <family val="2"/>
          </rPr>
          <t>⚠ OVERRUN MONTH
Mar-2024: FY-end audit + regulatory filings
Direct salary boosted ×1.6</t>
        </r>
      </text>
    </comment>
    <comment ref="A29" authorId="0" shapeId="0" xr:uid="{00000000-0006-0000-0300-000006000000}">
      <text>
        <r>
          <rPr>
            <sz val="10"/>
            <rFont val="Arial"/>
            <family val="2"/>
          </rPr>
          <t>⚠ OVERRUN MONTH
Jun-2024: New accounting system implementation
Direct salary boosted ×1.35</t>
        </r>
      </text>
    </comment>
    <comment ref="A38" authorId="0" shapeId="0" xr:uid="{00000000-0006-0000-0300-000007000000}">
      <text>
        <r>
          <rPr>
            <sz val="10"/>
            <rFont val="Arial"/>
            <family val="2"/>
          </rPr>
          <t>⚠ OVERRUN MONTH
Mar-2025: Annual statutory audit + compliance cost
Direct salary boosted ×1.55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400-000001000000}">
      <text>
        <r>
          <rPr>
            <sz val="10"/>
            <rFont val="Arial"/>
            <family val="2"/>
          </rPr>
          <t>⚠ OVERRUN MONTH
May-2022: Campus hiring drive + assessment centres
Direct salary boosted ×1.45</t>
        </r>
      </text>
    </comment>
    <comment ref="A8" authorId="0" shapeId="0" xr:uid="{00000000-0006-0000-0400-000002000000}">
      <text>
        <r>
          <rPr>
            <sz val="10"/>
            <rFont val="Arial"/>
            <family val="2"/>
          </rPr>
          <t>⚠ OVERRUN MONTH
Sep-2022: Appraisal cycle launch + HRIS upgrade
Direct salary boosted ×1.52</t>
        </r>
      </text>
    </comment>
    <comment ref="A12" authorId="0" shapeId="0" xr:uid="{00000000-0006-0000-0400-000003000000}">
      <text>
        <r>
          <rPr>
            <sz val="10"/>
            <rFont val="Arial"/>
            <family val="2"/>
          </rPr>
          <t>⚠ OVERRUN MONTH
Jan-2023: Annual increment letters + payroll recomputation
Direct salary boosted ×1.48</t>
        </r>
      </text>
    </comment>
    <comment ref="A16" authorId="0" shapeId="0" xr:uid="{00000000-0006-0000-0400-000004000000}">
      <text>
        <r>
          <rPr>
            <sz val="10"/>
            <rFont val="Arial"/>
            <family val="2"/>
          </rPr>
          <t>⚠ OVERRUN MONTH
May-2023: Campus + lateral hiring surge
Direct salary boosted ×1.55</t>
        </r>
      </text>
    </comment>
    <comment ref="A22" authorId="0" shapeId="0" xr:uid="{00000000-0006-0000-0400-000005000000}">
      <text>
        <r>
          <rPr>
            <sz val="10"/>
            <rFont val="Arial"/>
            <family val="2"/>
          </rPr>
          <t>⚠ OVERRUN MONTH
Nov-2023: ESOP vesting + engagement event
Direct salary boosted ×1.62</t>
        </r>
      </text>
    </comment>
    <comment ref="A28" authorId="0" shapeId="0" xr:uid="{00000000-0006-0000-0400-000006000000}">
      <text>
        <r>
          <rPr>
            <sz val="10"/>
            <rFont val="Arial"/>
            <family val="2"/>
          </rPr>
          <t>⚠ OVERRUN MONTH
May-2024: Graduate hiring batch + induction costs
Direct salary boosted ×1.4</t>
        </r>
      </text>
    </comment>
    <comment ref="A36" authorId="0" shapeId="0" xr:uid="{00000000-0006-0000-0400-000007000000}">
      <text>
        <r>
          <rPr>
            <sz val="10"/>
            <rFont val="Arial"/>
            <family val="2"/>
          </rPr>
          <t>⚠ OVERRUN MONTH
Jan-2025: Appraisal cycle + retention bonuses
Direct salary boosted ×1.5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500-000001000000}">
      <text>
        <r>
          <rPr>
            <sz val="10"/>
            <rFont val="Arial"/>
            <family val="2"/>
          </rPr>
          <t>⚠ OVERRUN MONTH
Jul-2022: Q1 incentive payout + client event spend
Direct salary boosted ×1.5</t>
        </r>
      </text>
    </comment>
    <comment ref="A9" authorId="0" shapeId="0" xr:uid="{00000000-0006-0000-0500-000002000000}">
      <text>
        <r>
          <rPr>
            <sz val="10"/>
            <rFont val="Arial"/>
            <family val="2"/>
          </rPr>
          <t>⚠ OVERRUN MONTH
Oct-2022: Dussehra client events + incentive accrual
Direct salary boosted ×1.58</t>
        </r>
      </text>
    </comment>
    <comment ref="A13" authorId="0" shapeId="0" xr:uid="{00000000-0006-0000-0500-000003000000}">
      <text>
        <r>
          <rPr>
            <sz val="10"/>
            <rFont val="Arial"/>
            <family val="2"/>
          </rPr>
          <t>⚠ OVERRUN MONTH
Feb-2023: Sales conference + Q4 incentive payout
Direct salary boosted ×1.45</t>
        </r>
      </text>
    </comment>
    <comment ref="A18" authorId="0" shapeId="0" xr:uid="{00000000-0006-0000-0500-000004000000}">
      <text>
        <r>
          <rPr>
            <sz val="10"/>
            <rFont val="Arial"/>
            <family val="2"/>
          </rPr>
          <t>⚠ OVERRUN MONTH
Jul-2023: Annual sales kick-off + awards ceremony
Direct salary boosted ×1.52</t>
        </r>
      </text>
    </comment>
    <comment ref="A21" authorId="0" shapeId="0" xr:uid="{00000000-0006-0000-0500-000005000000}">
      <text>
        <r>
          <rPr>
            <sz val="10"/>
            <rFont val="Arial"/>
            <family val="2"/>
          </rPr>
          <t>⚠ OVERRUN MONTH
Oct-2023: Festive season campaign + sales incentives
Direct salary boosted ×1.6</t>
        </r>
      </text>
    </comment>
    <comment ref="A31" authorId="0" shapeId="0" xr:uid="{00000000-0006-0000-0500-000006000000}">
      <text>
        <r>
          <rPr>
            <sz val="10"/>
            <rFont val="Arial"/>
            <family val="2"/>
          </rPr>
          <t>⚠ OVERRUN MONTH
Aug-2024: Mid-year sales review + incentive top-up
Direct salary boosted ×1.42</t>
        </r>
      </text>
    </comment>
    <comment ref="A35" authorId="0" shapeId="0" xr:uid="{00000000-0006-0000-0500-000007000000}">
      <text>
        <r>
          <rPr>
            <sz val="10"/>
            <rFont val="Arial"/>
            <family val="2"/>
          </rPr>
          <t>⚠ OVERRUN MONTH
Dec-2024: Year-end push + client gifting
Direct salary boosted ×1.55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600-000001000000}">
      <text>
        <r>
          <rPr>
            <sz val="10"/>
            <rFont val="Arial"/>
            <family val="2"/>
          </rPr>
          <t>⚠ OVERRUN MONTH
Jun-2022: RBI/SEBI audit prep + external consultants
Direct salary boosted ×1.4</t>
        </r>
      </text>
    </comment>
    <comment ref="A11" authorId="0" shapeId="0" xr:uid="{00000000-0006-0000-0600-000002000000}">
      <text>
        <r>
          <rPr>
            <sz val="10"/>
            <rFont val="Arial"/>
            <family val="2"/>
          </rPr>
          <t>⚠ OVERRUN MONTH
Dec-2022: Year-end compliance review + legal fees
Direct salary boosted ×1.48</t>
        </r>
      </text>
    </comment>
    <comment ref="A14" authorId="0" shapeId="0" xr:uid="{00000000-0006-0000-0600-000003000000}">
      <text>
        <r>
          <rPr>
            <sz val="10"/>
            <rFont val="Arial"/>
            <family val="2"/>
          </rPr>
          <t>⚠ OVERRUN MONTH
Mar-2023: Annual regulatory submission + audit costs
Direct salary boosted ×1.62</t>
        </r>
      </text>
    </comment>
    <comment ref="A20" authorId="0" shapeId="0" xr:uid="{00000000-0006-0000-0600-000004000000}">
      <text>
        <r>
          <rPr>
            <sz val="10"/>
            <rFont val="Arial"/>
            <family val="2"/>
          </rPr>
          <t>⚠ OVERRUN MONTH
Sep-2023: Mid-year regulatory inspection
Direct salary boosted ×1.45</t>
        </r>
      </text>
    </comment>
    <comment ref="A24" authorId="0" shapeId="0" xr:uid="{00000000-0006-0000-0600-000005000000}">
      <text>
        <r>
          <rPr>
            <sz val="10"/>
            <rFont val="Arial"/>
            <family val="2"/>
          </rPr>
          <t>⚠ OVERRUN MONTH
Jan-2024: New regulation implementation project
Direct salary boosted ×1.52</t>
        </r>
      </text>
    </comment>
    <comment ref="A32" authorId="0" shapeId="0" xr:uid="{00000000-0006-0000-0600-000006000000}">
      <text>
        <r>
          <rPr>
            <sz val="10"/>
            <rFont val="Arial"/>
            <family val="2"/>
          </rPr>
          <t>⚠ OVERRUN MONTH
Sep-2024: Regulatory update + external advisory
Direct salary boosted ×1.55</t>
        </r>
      </text>
    </comment>
    <comment ref="A38" authorId="0" shapeId="0" xr:uid="{00000000-0006-0000-0600-000007000000}">
      <text>
        <r>
          <rPr>
            <sz val="10"/>
            <rFont val="Arial"/>
            <family val="2"/>
          </rPr>
          <t>⚠ OVERRUN MONTH
Mar-2025: Annual compliance certification + audit
Direct salary boosted ×1.65</t>
        </r>
      </text>
    </comment>
  </commentList>
</comments>
</file>

<file path=xl/sharedStrings.xml><?xml version="1.0" encoding="utf-8"?>
<sst xmlns="http://schemas.openxmlformats.org/spreadsheetml/2006/main" count="615" uniqueCount="168">
  <si>
    <t>📊  Workforce Cost Forecasting Model  |  Historical Input Data  |  Apr 2022 – Mar 2025</t>
  </si>
  <si>
    <t>Color Legend</t>
  </si>
  <si>
    <t>Blue text = Hardcoded Input (user can change for scenarios)</t>
  </si>
  <si>
    <t>Black text = Formula-driven (auto-recalculates)</t>
  </si>
  <si>
    <t>Yellow background = Key assumptions / Carry-forward cells</t>
  </si>
  <si>
    <t>Green tint row = Positive variance (under budget)</t>
  </si>
  <si>
    <t>Department Sheets:</t>
  </si>
  <si>
    <t>Technology</t>
  </si>
  <si>
    <t>Sheet 'Technology' contains 36 months × 48 columns</t>
  </si>
  <si>
    <t>Operations</t>
  </si>
  <si>
    <t>Sheet 'Operations' contains 36 months × 48 columns</t>
  </si>
  <si>
    <t>Finance</t>
  </si>
  <si>
    <t>Sheet 'Finance' contains 36 months × 48 columns</t>
  </si>
  <si>
    <t>HR</t>
  </si>
  <si>
    <t>Sheet 'HR' contains 36 months × 48 columns</t>
  </si>
  <si>
    <t>Sales &amp; Marketing</t>
  </si>
  <si>
    <t>Sheet 'Sales &amp; Marketing' contains 36 months × 48 columns</t>
  </si>
  <si>
    <t>Risk &amp; Compliance</t>
  </si>
  <si>
    <t>Sheet 'Risk &amp; Compliance' contains 36 months × 48 columns</t>
  </si>
  <si>
    <t>Data Schema (Column Groups)</t>
  </si>
  <si>
    <t>Headcount Movement</t>
  </si>
  <si>
    <t>Opening HC, Hires, Exits, Attrition, Closing HC, Long Leave Count/Cost</t>
  </si>
  <si>
    <t>Band Split</t>
  </si>
  <si>
    <t>Band A–E Count (A=Junior, E=Senior/Director)</t>
  </si>
  <si>
    <t>Key Ratios</t>
  </si>
  <si>
    <t>Attrition % Annualized, Increment %, Forex Rate, Avg Salary Per FTE</t>
  </si>
  <si>
    <t>WFH/WFO</t>
  </si>
  <si>
    <t>WFH Count, WFO Count (WFO = Closing HC – Long Leave – WFH)</t>
  </si>
  <si>
    <t>Direct Costs</t>
  </si>
  <si>
    <t>Salary, Benefits, Variable Pay, Payroll Tax, Travel, Meal, Overtime</t>
  </si>
  <si>
    <t>Indirect Costs</t>
  </si>
  <si>
    <t>Recruitment, Training, IT License, IT Equipment, Rent, Utilities, Admin, HR Admin, Learning Platform, Engagement, Other</t>
  </si>
  <si>
    <t>Totals</t>
  </si>
  <si>
    <t>Total Direct, Total Indirect, Total Actual Cost</t>
  </si>
  <si>
    <t>Budget &amp; Carry-Forward</t>
  </si>
  <si>
    <t>Original Budget (input) → FY Annual Pool (=SUM of 12 months) → Remaining Pool Start = Pool − Prior Actuals → Effective Monthly Budget = Pool ÷ Months Remaining → Variance = Effective − Actual → Pool End = Pool Start − Actual → Cumulative Used % → Over/Under Flag</t>
  </si>
  <si>
    <t>Carry-Forward Rephasing Logic  (Indian FY: Apr → Mar)</t>
  </si>
  <si>
    <t>Month</t>
  </si>
  <si>
    <t>Annual Pool</t>
  </si>
  <si>
    <t>Pool Start</t>
  </si>
  <si>
    <t>Months Left</t>
  </si>
  <si>
    <t>Eff. Budget</t>
  </si>
  <si>
    <t>Actual</t>
  </si>
  <si>
    <t>Variance</t>
  </si>
  <si>
    <t>Pool End</t>
  </si>
  <si>
    <t>Apr</t>
  </si>
  <si>
    <t>12,00,000</t>
  </si>
  <si>
    <t>12</t>
  </si>
  <si>
    <t>1,00,000</t>
  </si>
  <si>
    <t>50,000</t>
  </si>
  <si>
    <t>+50,000</t>
  </si>
  <si>
    <t>11,50,000</t>
  </si>
  <si>
    <t>May</t>
  </si>
  <si>
    <t>11</t>
  </si>
  <si>
    <t>1,04,545</t>
  </si>
  <si>
    <t>20,000</t>
  </si>
  <si>
    <t>+84,545</t>
  </si>
  <si>
    <t>11,30,000</t>
  </si>
  <si>
    <t>Jun</t>
  </si>
  <si>
    <t>10</t>
  </si>
  <si>
    <t>1,13,000</t>
  </si>
  <si>
    <t>1,50,000</t>
  </si>
  <si>
    <t>-37,000</t>
  </si>
  <si>
    <t>9,80,000</t>
  </si>
  <si>
    <t>Jul</t>
  </si>
  <si>
    <t>9</t>
  </si>
  <si>
    <t>1,08,889</t>
  </si>
  <si>
    <t>80,000</t>
  </si>
  <si>
    <t>+28,889</t>
  </si>
  <si>
    <t>9,00,000</t>
  </si>
  <si>
    <t>...</t>
  </si>
  <si>
    <t>Mar</t>
  </si>
  <si>
    <t>Remaining</t>
  </si>
  <si>
    <t>1</t>
  </si>
  <si>
    <t>Pool Remaining</t>
  </si>
  <si>
    <t>Final Var</t>
  </si>
  <si>
    <t>Lapsed</t>
  </si>
  <si>
    <t>Department: Technology  |  Historical Cost &amp; Headcount Data  |  Apr 2022 – Mar 2025</t>
  </si>
  <si>
    <t>Year</t>
  </si>
  <si>
    <t>Opening HC</t>
  </si>
  <si>
    <t>Hires</t>
  </si>
  <si>
    <t>Exits</t>
  </si>
  <si>
    <t>Attrition</t>
  </si>
  <si>
    <t>Closing HC</t>
  </si>
  <si>
    <t>Long Leave Count</t>
  </si>
  <si>
    <t>Long Leave Cost (INR)</t>
  </si>
  <si>
    <t>Band A Count</t>
  </si>
  <si>
    <t>Band B Count</t>
  </si>
  <si>
    <t>Band C Count</t>
  </si>
  <si>
    <t>Band D Count</t>
  </si>
  <si>
    <t>Band E Count</t>
  </si>
  <si>
    <t>Attrition % Annualized</t>
  </si>
  <si>
    <t>Increment % Applied</t>
  </si>
  <si>
    <t>Forex Rate USD/INR</t>
  </si>
  <si>
    <t>Avg Salary Per FTE Annual (INR)</t>
  </si>
  <si>
    <t>WFH Count</t>
  </si>
  <si>
    <t>WFO Count</t>
  </si>
  <si>
    <t>Direct Salary Cost (INR)</t>
  </si>
  <si>
    <t>Benefits Cost (INR)</t>
  </si>
  <si>
    <t>Variable Pay Bonus (INR)</t>
  </si>
  <si>
    <t>Payroll Tax (INR)</t>
  </si>
  <si>
    <t>Travel Allowance (INR)</t>
  </si>
  <si>
    <t>Meal Allowance (INR)</t>
  </si>
  <si>
    <t>Overtime Cost (INR)</t>
  </si>
  <si>
    <t>Recruitment Cost (INR)</t>
  </si>
  <si>
    <t>Training &amp; Dev Cost (INR)</t>
  </si>
  <si>
    <t>IT License Cost (INR)</t>
  </si>
  <si>
    <t>IT Equipment Cost (INR)</t>
  </si>
  <si>
    <t>Rent &amp; Facilities Cost (INR)</t>
  </si>
  <si>
    <t>Utilities Cost (INR)</t>
  </si>
  <si>
    <t>Admin Overhead (INR)</t>
  </si>
  <si>
    <t>HR Payroll Admin (INR)</t>
  </si>
  <si>
    <t>Learning Platform Cost (INR)</t>
  </si>
  <si>
    <t>Employee Engagement Cost (INR)</t>
  </si>
  <si>
    <t>Other Indirect Cost (INR)</t>
  </si>
  <si>
    <t>Total Direct Cost (INR)</t>
  </si>
  <si>
    <t>Total Indirect Cost (INR)</t>
  </si>
  <si>
    <t>Total Actual Cost (INR)</t>
  </si>
  <si>
    <t>Original Budget (INR)</t>
  </si>
  <si>
    <t>FY Annual Budget Pool (INR)</t>
  </si>
  <si>
    <t>Remaining Pool - Start of Month (INR)</t>
  </si>
  <si>
    <t>Months Remaining in FY</t>
  </si>
  <si>
    <t>Effective Monthly Budget (INR)</t>
  </si>
  <si>
    <t>Monthly Variance (INR)</t>
  </si>
  <si>
    <t>Remaining Pool - End of Month (INR)</t>
  </si>
  <si>
    <t>Cumulative Budget Used %</t>
  </si>
  <si>
    <t>Over / Under Flag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</si>
  <si>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</si>
  <si>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</si>
  <si>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</si>
  <si>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</si>
  <si>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</si>
  <si>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</si>
  <si>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</si>
  <si>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</si>
  <si>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</si>
  <si>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</si>
  <si>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</si>
  <si>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</si>
  <si>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</si>
  <si>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</si>
  <si>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</si>
  <si>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</si>
  <si>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</si>
  <si>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</si>
  <si>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</si>
  <si>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</si>
  <si>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</si>
  <si>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</si>
  <si>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</si>
  <si>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</si>
  <si>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</si>
  <si>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</si>
  <si>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</si>
  <si>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</si>
  <si>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</si>
  <si>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</si>
  <si>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</si>
  <si>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</si>
  <si>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</si>
  <si>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</si>
  <si>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</si>
  <si>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</si>
  <si>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Department: Operations  |  Historical Cost &amp; Headcount Data  |  Apr 2022 – Mar 2025</t>
  </si>
  <si>
    <t>Department: Finance  |  Historical Cost &amp; Headcount Data  |  Apr 2022 – Mar 2025</t>
  </si>
  <si>
    <t>Department: HR  |  Historical Cost &amp; Headcount Data  |  Apr 2022 – Mar 2025</t>
  </si>
  <si>
    <t>Department: Sales &amp; Marketing  |  Historical Cost &amp; Headcount Data  |  Apr 2022 – Mar 2025</t>
  </si>
  <si>
    <t>Department: Risk &amp; Compliance  |  Historical Cost &amp; Headcount Data  |  Apr 2022 – Mar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</si>
</sst>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0"/>
      <color rgb="FF1F4E79"/>
      <name val="Arial"/>
      <charset val="1"/>
    </font>
    <font>
      <b/>
      <sz val="9"/>
      <color rgb="FFFFFFFF"/>
      <name val="Arial"/>
      <charset val="1"/>
    </font>
    <font>
      <sz val="9"/>
      <color rgb="FF008000"/>
      <name val="Arial"/>
      <charset val="1"/>
    </font>
    <font>
      <sz val="9"/>
      <color rgb="FFFF0000"/>
      <name val="Arial"/>
      <charset val="1"/>
    </font>
    <font>
      <b/>
      <sz val="12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FF"/>
      <name val="Arial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7F9F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164" fontId="11" fillId="6" borderId="1" xfId="0" applyNumberFormat="1" applyFont="1" applyFill="1" applyBorder="1" applyAlignment="1">
      <alignment horizontal="right" vertical="center"/>
    </xf>
    <xf numFmtId="165" fontId="11" fillId="6" borderId="1" xfId="0" applyNumberFormat="1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164" fontId="11" fillId="4" borderId="1" xfId="0" applyNumberFormat="1" applyFont="1" applyFill="1" applyBorder="1" applyAlignment="1">
      <alignment horizontal="right" vertical="center"/>
    </xf>
    <xf numFmtId="1" fontId="3" fillId="6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right" vertical="center"/>
    </xf>
    <xf numFmtId="164" fontId="11" fillId="9" borderId="1" xfId="0" applyNumberFormat="1" applyFont="1" applyFill="1" applyBorder="1" applyAlignment="1">
      <alignment horizontal="right" vertical="center"/>
    </xf>
    <xf numFmtId="165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right" vertical="center"/>
    </xf>
    <xf numFmtId="164" fontId="11" fillId="7" borderId="1" xfId="0" applyNumberFormat="1" applyFont="1" applyFill="1" applyBorder="1" applyAlignment="1">
      <alignment horizontal="right" vertical="center"/>
    </xf>
    <xf numFmtId="165" fontId="11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4" fontId="3" fillId="7" borderId="1" xfId="0" applyNumberFormat="1" applyFont="1" applyFill="1" applyBorder="1" applyAlignment="1">
      <alignment horizontal="right" vertical="center"/>
    </xf>
    <xf numFmtId="1" fontId="3" fillId="7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right" vertical="center"/>
    </xf>
    <xf numFmtId="164" fontId="12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E2EFDA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Normal="100" workbookViewId="0">
      <selection activeCell="A7" sqref="A7"/>
    </sheetView>
  </sheetViews>
  <sheetFormatPr defaultColWidth="8.6328125" defaultRowHeight="14.85" x14ac:dyDescent="0.35"/>
  <cols>
    <col min="1" max="8" width="18" customWidth="1"/>
  </cols>
  <sheetData>
    <row r="1" spans="1:8" ht="25.55" customHeight="1" x14ac:dyDescent="0.35">
      <c r="A1" s="3" t="s">
        <v>0</v>
      </c>
      <c r="B1" s="3"/>
      <c r="C1" s="3"/>
      <c r="D1" s="3"/>
      <c r="E1" s="3"/>
      <c r="F1" s="3"/>
      <c r="G1" s="3"/>
      <c r="H1" s="3"/>
    </row>
    <row r="3" spans="1:8" ht="15.1" customHeight="1" x14ac:dyDescent="0.35">
      <c r="A3" s="4" t="s">
        <v>1</v>
      </c>
    </row>
    <row r="4" spans="1:8" ht="15.1" customHeight="1" x14ac:dyDescent="0.35">
      <c r="A4" s="5" t="s">
        <v>2</v>
      </c>
    </row>
    <row r="5" spans="1:8" ht="15.1" customHeight="1" x14ac:dyDescent="0.35">
      <c r="A5" s="6" t="s">
        <v>3</v>
      </c>
    </row>
    <row r="6" spans="1:8" ht="15.1" customHeight="1" x14ac:dyDescent="0.35">
      <c r="A6" s="7" t="s">
        <v>4</v>
      </c>
    </row>
    <row r="7" spans="1:8" ht="15.1" customHeight="1" x14ac:dyDescent="0.35">
      <c r="A7" s="8" t="s">
        <v>5</v>
      </c>
    </row>
    <row r="9" spans="1:8" ht="15.1" customHeight="1" x14ac:dyDescent="0.35">
      <c r="A9" s="9" t="s">
        <v>6</v>
      </c>
    </row>
    <row r="10" spans="1:8" ht="15.1" customHeight="1" x14ac:dyDescent="0.35">
      <c r="A10" s="10" t="s">
        <v>7</v>
      </c>
      <c r="B10" s="10" t="s">
        <v>8</v>
      </c>
    </row>
    <row r="11" spans="1:8" ht="15.1" customHeight="1" x14ac:dyDescent="0.35">
      <c r="A11" s="10" t="s">
        <v>9</v>
      </c>
      <c r="B11" s="10" t="s">
        <v>10</v>
      </c>
    </row>
    <row r="12" spans="1:8" ht="15.1" customHeight="1" x14ac:dyDescent="0.35">
      <c r="A12" s="10" t="s">
        <v>11</v>
      </c>
      <c r="B12" s="10" t="s">
        <v>12</v>
      </c>
    </row>
    <row r="13" spans="1:8" ht="15.1" customHeight="1" x14ac:dyDescent="0.35">
      <c r="A13" s="10" t="s">
        <v>13</v>
      </c>
      <c r="B13" s="10" t="s">
        <v>14</v>
      </c>
    </row>
    <row r="14" spans="1:8" ht="15.1" customHeight="1" x14ac:dyDescent="0.35">
      <c r="A14" s="10" t="s">
        <v>15</v>
      </c>
      <c r="B14" s="10" t="s">
        <v>16</v>
      </c>
    </row>
    <row r="15" spans="1:8" ht="15.1" customHeight="1" x14ac:dyDescent="0.35">
      <c r="A15" s="10" t="s">
        <v>17</v>
      </c>
      <c r="B15" s="10" t="s">
        <v>18</v>
      </c>
    </row>
    <row r="18" spans="1:8" ht="15.1" customHeight="1" x14ac:dyDescent="0.35">
      <c r="A18" s="11" t="s">
        <v>19</v>
      </c>
    </row>
    <row r="19" spans="1:8" ht="15.1" customHeight="1" x14ac:dyDescent="0.35">
      <c r="A19" s="9" t="s">
        <v>20</v>
      </c>
      <c r="B19" s="10" t="s">
        <v>21</v>
      </c>
    </row>
    <row r="20" spans="1:8" ht="15.1" customHeight="1" x14ac:dyDescent="0.35">
      <c r="A20" s="9" t="s">
        <v>22</v>
      </c>
      <c r="B20" s="10" t="s">
        <v>23</v>
      </c>
    </row>
    <row r="21" spans="1:8" ht="15.1" customHeight="1" x14ac:dyDescent="0.35">
      <c r="A21" s="9" t="s">
        <v>24</v>
      </c>
      <c r="B21" s="10" t="s">
        <v>25</v>
      </c>
    </row>
    <row r="22" spans="1:8" ht="15.1" customHeight="1" x14ac:dyDescent="0.35">
      <c r="A22" s="9" t="s">
        <v>26</v>
      </c>
      <c r="B22" s="10" t="s">
        <v>27</v>
      </c>
    </row>
    <row r="23" spans="1:8" ht="15.1" customHeight="1" x14ac:dyDescent="0.35">
      <c r="A23" s="9" t="s">
        <v>28</v>
      </c>
      <c r="B23" s="10" t="s">
        <v>29</v>
      </c>
    </row>
    <row r="24" spans="1:8" ht="15.1" customHeight="1" x14ac:dyDescent="0.35">
      <c r="A24" s="9" t="s">
        <v>30</v>
      </c>
      <c r="B24" s="10" t="s">
        <v>31</v>
      </c>
    </row>
    <row r="25" spans="1:8" ht="15.1" customHeight="1" x14ac:dyDescent="0.35">
      <c r="A25" s="9" t="s">
        <v>32</v>
      </c>
      <c r="B25" s="10" t="s">
        <v>33</v>
      </c>
    </row>
    <row r="26" spans="1:8" ht="15.1" customHeight="1" x14ac:dyDescent="0.35">
      <c r="A26" s="9" t="s">
        <v>34</v>
      </c>
      <c r="B26" s="10" t="s">
        <v>35</v>
      </c>
    </row>
    <row r="32" spans="1:8" ht="15.1" customHeight="1" x14ac:dyDescent="0.35">
      <c r="A32" s="2" t="s">
        <v>36</v>
      </c>
      <c r="B32" s="2"/>
      <c r="C32" s="2"/>
      <c r="D32" s="2"/>
      <c r="E32" s="2"/>
      <c r="F32" s="2"/>
      <c r="G32" s="2"/>
      <c r="H32" s="2"/>
    </row>
    <row r="33" spans="1:8" ht="15.1" customHeight="1" x14ac:dyDescent="0.35">
      <c r="A33" s="12" t="s">
        <v>37</v>
      </c>
      <c r="B33" s="12" t="s">
        <v>38</v>
      </c>
      <c r="C33" s="12" t="s">
        <v>39</v>
      </c>
      <c r="D33" s="12" t="s">
        <v>40</v>
      </c>
      <c r="E33" s="12" t="s">
        <v>41</v>
      </c>
      <c r="F33" s="12" t="s">
        <v>42</v>
      </c>
      <c r="G33" s="12" t="s">
        <v>43</v>
      </c>
      <c r="H33" s="12" t="s">
        <v>44</v>
      </c>
    </row>
    <row r="34" spans="1:8" ht="15.1" customHeight="1" x14ac:dyDescent="0.35">
      <c r="A34" s="13" t="s">
        <v>45</v>
      </c>
      <c r="B34" s="13" t="s">
        <v>46</v>
      </c>
      <c r="C34" s="13" t="s">
        <v>46</v>
      </c>
      <c r="D34" s="13" t="s">
        <v>47</v>
      </c>
      <c r="E34" s="13" t="s">
        <v>48</v>
      </c>
      <c r="F34" s="13" t="s">
        <v>49</v>
      </c>
      <c r="G34" s="14" t="s">
        <v>50</v>
      </c>
      <c r="H34" s="13" t="s">
        <v>51</v>
      </c>
    </row>
    <row r="35" spans="1:8" ht="15.1" customHeight="1" x14ac:dyDescent="0.35">
      <c r="A35" s="15" t="s">
        <v>52</v>
      </c>
      <c r="B35" s="15" t="s">
        <v>46</v>
      </c>
      <c r="C35" s="15" t="s">
        <v>51</v>
      </c>
      <c r="D35" s="15" t="s">
        <v>53</v>
      </c>
      <c r="E35" s="15" t="s">
        <v>54</v>
      </c>
      <c r="F35" s="15" t="s">
        <v>55</v>
      </c>
      <c r="G35" s="16" t="s">
        <v>56</v>
      </c>
      <c r="H35" s="15" t="s">
        <v>57</v>
      </c>
    </row>
    <row r="36" spans="1:8" ht="15.1" customHeight="1" x14ac:dyDescent="0.35">
      <c r="A36" s="13" t="s">
        <v>58</v>
      </c>
      <c r="B36" s="13" t="s">
        <v>46</v>
      </c>
      <c r="C36" s="13" t="s">
        <v>57</v>
      </c>
      <c r="D36" s="13" t="s">
        <v>59</v>
      </c>
      <c r="E36" s="13" t="s">
        <v>60</v>
      </c>
      <c r="F36" s="13" t="s">
        <v>61</v>
      </c>
      <c r="G36" s="17" t="s">
        <v>62</v>
      </c>
      <c r="H36" s="13" t="s">
        <v>63</v>
      </c>
    </row>
    <row r="37" spans="1:8" ht="15.1" customHeight="1" x14ac:dyDescent="0.35">
      <c r="A37" s="15" t="s">
        <v>64</v>
      </c>
      <c r="B37" s="15" t="s">
        <v>46</v>
      </c>
      <c r="C37" s="15" t="s">
        <v>63</v>
      </c>
      <c r="D37" s="15" t="s">
        <v>65</v>
      </c>
      <c r="E37" s="15" t="s">
        <v>66</v>
      </c>
      <c r="F37" s="15" t="s">
        <v>67</v>
      </c>
      <c r="G37" s="16" t="s">
        <v>68</v>
      </c>
      <c r="H37" s="15" t="s">
        <v>69</v>
      </c>
    </row>
    <row r="38" spans="1:8" ht="15.1" customHeight="1" x14ac:dyDescent="0.35">
      <c r="A38" s="13" t="s">
        <v>70</v>
      </c>
      <c r="B38" s="13" t="s">
        <v>70</v>
      </c>
      <c r="C38" s="13" t="s">
        <v>70</v>
      </c>
      <c r="D38" s="13" t="s">
        <v>70</v>
      </c>
      <c r="E38" s="13" t="s">
        <v>70</v>
      </c>
      <c r="F38" s="13" t="s">
        <v>70</v>
      </c>
      <c r="G38" s="13" t="s">
        <v>70</v>
      </c>
      <c r="H38" s="13" t="s">
        <v>70</v>
      </c>
    </row>
    <row r="39" spans="1:8" ht="15.1" customHeight="1" x14ac:dyDescent="0.35">
      <c r="A39" s="15" t="s">
        <v>71</v>
      </c>
      <c r="B39" s="15" t="s">
        <v>46</v>
      </c>
      <c r="C39" s="15" t="s">
        <v>72</v>
      </c>
      <c r="D39" s="15" t="s">
        <v>73</v>
      </c>
      <c r="E39" s="15" t="s">
        <v>74</v>
      </c>
      <c r="F39" s="15" t="s">
        <v>42</v>
      </c>
      <c r="G39" s="15" t="s">
        <v>75</v>
      </c>
      <c r="H39" s="15" t="s">
        <v>76</v>
      </c>
    </row>
  </sheetData>
  <mergeCells count="2">
    <mergeCell ref="A1:H1"/>
    <mergeCell ref="A32:H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8"/>
  <sheetViews>
    <sheetView zoomScaleNormal="100" workbookViewId="0">
      <pane xSplit="2" ySplit="2" topLeftCell="C32" activePane="bottomRight" state="frozen"/>
      <selection pane="topRight" activeCell="C1" sqref="C1"/>
      <selection pane="bottomLeft" activeCell="A3" sqref="A3"/>
      <selection pane="bottomRight" activeCell="A40" sqref="A40"/>
    </sheetView>
  </sheetViews>
  <sheetFormatPr defaultColWidth="8.6328125" defaultRowHeight="14.85" x14ac:dyDescent="0.35"/>
  <cols>
    <col min="1" max="1" width="10" customWidth="1"/>
    <col min="2" max="48" width="16" customWidth="1"/>
    <col min="49" max="50" width="18" customWidth="1"/>
  </cols>
  <sheetData>
    <row r="1" spans="1:50" ht="21.7" customHeight="1" x14ac:dyDescent="0.3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50" ht="30" customHeight="1" x14ac:dyDescent="0.35">
      <c r="A2" s="18" t="s">
        <v>37</v>
      </c>
      <c r="B2" s="18" t="s">
        <v>78</v>
      </c>
      <c r="C2" s="18" t="s">
        <v>79</v>
      </c>
      <c r="D2" s="18" t="s">
        <v>80</v>
      </c>
      <c r="E2" s="18" t="s">
        <v>81</v>
      </c>
      <c r="F2" s="18" t="s">
        <v>82</v>
      </c>
      <c r="G2" s="18" t="s">
        <v>83</v>
      </c>
      <c r="H2" s="18" t="s">
        <v>84</v>
      </c>
      <c r="I2" s="18" t="s">
        <v>85</v>
      </c>
      <c r="J2" s="18" t="s">
        <v>86</v>
      </c>
      <c r="K2" s="18" t="s">
        <v>87</v>
      </c>
      <c r="L2" s="18" t="s">
        <v>88</v>
      </c>
      <c r="M2" s="18" t="s">
        <v>89</v>
      </c>
      <c r="N2" s="18" t="s">
        <v>90</v>
      </c>
      <c r="O2" s="18" t="s">
        <v>91</v>
      </c>
      <c r="P2" s="18" t="s">
        <v>92</v>
      </c>
      <c r="Q2" s="18" t="s">
        <v>93</v>
      </c>
      <c r="R2" s="18" t="s">
        <v>94</v>
      </c>
      <c r="S2" s="18" t="s">
        <v>95</v>
      </c>
      <c r="T2" s="18" t="s">
        <v>96</v>
      </c>
      <c r="U2" s="18" t="s">
        <v>97</v>
      </c>
      <c r="V2" s="18" t="s">
        <v>98</v>
      </c>
      <c r="W2" s="18" t="s">
        <v>99</v>
      </c>
      <c r="X2" s="18" t="s">
        <v>100</v>
      </c>
      <c r="Y2" s="18" t="s">
        <v>101</v>
      </c>
      <c r="Z2" s="18" t="s">
        <v>102</v>
      </c>
      <c r="AA2" s="18" t="s">
        <v>103</v>
      </c>
      <c r="AB2" s="18" t="s">
        <v>104</v>
      </c>
      <c r="AC2" s="18" t="s">
        <v>105</v>
      </c>
      <c r="AD2" s="18" t="s">
        <v>106</v>
      </c>
      <c r="AE2" s="18" t="s">
        <v>107</v>
      </c>
      <c r="AF2" s="18" t="s">
        <v>108</v>
      </c>
      <c r="AG2" s="18" t="s">
        <v>109</v>
      </c>
      <c r="AH2" s="18" t="s">
        <v>110</v>
      </c>
      <c r="AI2" s="18" t="s">
        <v>111</v>
      </c>
      <c r="AJ2" s="18" t="s">
        <v>112</v>
      </c>
      <c r="AK2" s="18" t="s">
        <v>113</v>
      </c>
      <c r="AL2" s="18" t="s">
        <v>114</v>
      </c>
      <c r="AM2" s="18" t="s">
        <v>115</v>
      </c>
      <c r="AN2" s="18" t="s">
        <v>116</v>
      </c>
      <c r="AO2" s="18" t="s">
        <v>117</v>
      </c>
      <c r="AP2" s="18" t="s">
        <v>118</v>
      </c>
      <c r="AQ2" s="18" t="s">
        <v>119</v>
      </c>
      <c r="AR2" s="18" t="s">
        <v>120</v>
      </c>
      <c r="AS2" s="18" t="s">
        <v>121</v>
      </c>
      <c r="AT2" s="18" t="s">
        <v>122</v>
      </c>
      <c r="AU2" s="18" t="s">
        <v>123</v>
      </c>
      <c r="AV2" s="18" t="s">
        <v>124</v>
      </c>
      <c r="AW2" s="18" t="s">
        <v>125</v>
      </c>
      <c r="AX2" s="18" t="s">
        <v>126</v>
      </c>
    </row>
    <row r="3" spans="1:50" ht="15.1" customHeight="1" x14ac:dyDescent="0.35">
      <c r="A3" s="19" t="s">
        <v>127</v>
      </c>
      <c r="B3" s="20">
        <v>2022</v>
      </c>
      <c r="C3" s="21">
        <v>120</v>
      </c>
      <c r="D3" s="21">
        <v>4</v>
      </c>
      <c r="E3" s="21">
        <v>3</v>
      </c>
      <c r="F3" s="21">
        <v>3</v>
      </c>
      <c r="G3" s="22">
        <f t="shared" ref="G3:G38" si="0">C3+D3-E3</f>
        <v>121</v>
      </c>
      <c r="H3" s="21">
        <v>2</v>
      </c>
      <c r="I3" s="21">
        <v>240310</v>
      </c>
      <c r="J3" s="21">
        <v>7</v>
      </c>
      <c r="K3" s="21">
        <v>24</v>
      </c>
      <c r="L3" s="21">
        <v>41</v>
      </c>
      <c r="M3" s="21">
        <v>31</v>
      </c>
      <c r="N3" s="21">
        <v>18</v>
      </c>
      <c r="O3" s="23">
        <f t="shared" ref="O3:O38" si="1">F3/(C3)*12</f>
        <v>0.30000000000000004</v>
      </c>
      <c r="P3" s="24">
        <v>0.11890000000000001</v>
      </c>
      <c r="Q3" s="25">
        <v>82.33</v>
      </c>
      <c r="R3" s="20">
        <v>1802323</v>
      </c>
      <c r="S3" s="21">
        <v>73</v>
      </c>
      <c r="T3" s="22">
        <f t="shared" ref="T3:T38" si="2">G3-H3-S3</f>
        <v>46</v>
      </c>
      <c r="U3" s="21">
        <v>21274921</v>
      </c>
      <c r="V3" s="22">
        <f t="shared" ref="V3:V38" si="3">U3*0.18</f>
        <v>3829485.78</v>
      </c>
      <c r="W3" s="22">
        <f t="shared" ref="W3:W38" si="4">U3*0.08</f>
        <v>1701993.68</v>
      </c>
      <c r="X3" s="22">
        <f t="shared" ref="X3:X38" si="5">U3*0.135</f>
        <v>2872114.335</v>
      </c>
      <c r="Y3" s="21">
        <v>75900</v>
      </c>
      <c r="Z3" s="21">
        <v>159720</v>
      </c>
      <c r="AA3" s="21">
        <v>330759</v>
      </c>
      <c r="AB3" s="21">
        <v>143283</v>
      </c>
      <c r="AC3" s="21">
        <v>393250</v>
      </c>
      <c r="AD3" s="21">
        <v>387200</v>
      </c>
      <c r="AE3" s="21">
        <v>180000</v>
      </c>
      <c r="AF3" s="21">
        <v>368000</v>
      </c>
      <c r="AG3" s="21">
        <v>55200</v>
      </c>
      <c r="AH3" s="21">
        <v>181500</v>
      </c>
      <c r="AI3" s="21">
        <v>96800</v>
      </c>
      <c r="AJ3" s="21">
        <v>72600</v>
      </c>
      <c r="AK3" s="21">
        <v>133100</v>
      </c>
      <c r="AL3" s="21">
        <v>61384</v>
      </c>
      <c r="AM3" s="22">
        <f t="shared" ref="AM3:AM38" si="6">SUM(U3:AA3)</f>
        <v>30244893.795000002</v>
      </c>
      <c r="AN3" s="22">
        <f t="shared" ref="AN3:AN38" si="7">SUM(AB3:AL3)</f>
        <v>2072317</v>
      </c>
      <c r="AO3" s="22">
        <f t="shared" ref="AO3:AO38" si="8">AM3+AN3</f>
        <v>32317210.795000002</v>
      </c>
      <c r="AP3" s="21">
        <v>34944608</v>
      </c>
      <c r="AQ3" s="26">
        <f>SUM(AP3:AP14)</f>
        <v>466343481</v>
      </c>
      <c r="AR3" s="26">
        <f>AQ3</f>
        <v>466343481</v>
      </c>
      <c r="AS3" s="27">
        <v>12</v>
      </c>
      <c r="AT3" s="28">
        <f t="shared" ref="AT3:AT38" si="9">IF(AM3&gt;0,AR3/AS3,0)</f>
        <v>38861956.75</v>
      </c>
      <c r="AU3" s="29">
        <f t="shared" ref="AU3:AU38" si="10">AT3-AO3</f>
        <v>6544745.9549999982</v>
      </c>
      <c r="AV3" s="26">
        <f t="shared" ref="AV3:AV38" si="11">AR3-AO3</f>
        <v>434026270.20499998</v>
      </c>
      <c r="AW3" s="30">
        <f t="shared" ref="AW3:AW38" si="12">IF(AQ3&gt;0,(AQ3-AV3)/AQ3,0)</f>
        <v>6.9299158477997502E-2</v>
      </c>
      <c r="AX3" s="31" t="str">
        <f t="shared" ref="AX3:AX38" si="13">IF(AU3&lt;0,"⚠ Over Budget","✓ Within Budget")</f>
        <v>✓ Within Budget</v>
      </c>
    </row>
    <row r="4" spans="1:50" ht="15.1" customHeight="1" x14ac:dyDescent="0.35">
      <c r="A4" s="32" t="s">
        <v>128</v>
      </c>
      <c r="B4" s="33">
        <v>2022</v>
      </c>
      <c r="C4" s="34">
        <v>121</v>
      </c>
      <c r="D4" s="34">
        <v>3</v>
      </c>
      <c r="E4" s="34">
        <v>2</v>
      </c>
      <c r="F4" s="34">
        <v>2</v>
      </c>
      <c r="G4" s="35">
        <f t="shared" si="0"/>
        <v>122</v>
      </c>
      <c r="H4" s="34">
        <v>2</v>
      </c>
      <c r="I4" s="34">
        <v>241679</v>
      </c>
      <c r="J4" s="34">
        <v>6</v>
      </c>
      <c r="K4" s="34">
        <v>24</v>
      </c>
      <c r="L4" s="34">
        <v>45</v>
      </c>
      <c r="M4" s="34">
        <v>29</v>
      </c>
      <c r="N4" s="34">
        <v>18</v>
      </c>
      <c r="O4" s="36">
        <f t="shared" si="1"/>
        <v>0.19834710743801653</v>
      </c>
      <c r="P4" s="37">
        <v>0.10249999999999999</v>
      </c>
      <c r="Q4" s="38">
        <v>82.66</v>
      </c>
      <c r="R4" s="33">
        <v>1812594</v>
      </c>
      <c r="S4" s="34">
        <v>73</v>
      </c>
      <c r="T4" s="35">
        <f t="shared" si="2"/>
        <v>47</v>
      </c>
      <c r="U4" s="34">
        <v>21494344</v>
      </c>
      <c r="V4" s="35">
        <f t="shared" si="3"/>
        <v>3868981.92</v>
      </c>
      <c r="W4" s="35">
        <f t="shared" si="4"/>
        <v>1719547.52</v>
      </c>
      <c r="X4" s="35">
        <f t="shared" si="5"/>
        <v>2901736.4400000004</v>
      </c>
      <c r="Y4" s="34">
        <v>77550</v>
      </c>
      <c r="Z4" s="34">
        <v>161040</v>
      </c>
      <c r="AA4" s="34">
        <v>326181</v>
      </c>
      <c r="AB4" s="34">
        <v>106241</v>
      </c>
      <c r="AC4" s="34">
        <v>396500</v>
      </c>
      <c r="AD4" s="34">
        <v>390400</v>
      </c>
      <c r="AE4" s="34">
        <v>135000</v>
      </c>
      <c r="AF4" s="34">
        <v>376000</v>
      </c>
      <c r="AG4" s="34">
        <v>56400</v>
      </c>
      <c r="AH4" s="34">
        <v>183000</v>
      </c>
      <c r="AI4" s="34">
        <v>97600</v>
      </c>
      <c r="AJ4" s="34">
        <v>73200</v>
      </c>
      <c r="AK4" s="34">
        <v>134200</v>
      </c>
      <c r="AL4" s="34">
        <v>67259</v>
      </c>
      <c r="AM4" s="35">
        <f t="shared" si="6"/>
        <v>30549380.880000003</v>
      </c>
      <c r="AN4" s="35">
        <f t="shared" si="7"/>
        <v>2015800</v>
      </c>
      <c r="AO4" s="35">
        <f t="shared" si="8"/>
        <v>32565180.880000003</v>
      </c>
      <c r="AP4" s="34">
        <v>34808206</v>
      </c>
      <c r="AQ4" s="26">
        <f>SUM(AP3:AP14)</f>
        <v>466343481</v>
      </c>
      <c r="AR4" s="26">
        <f>AQ4-SUM(AO3:AO3)</f>
        <v>434026270.20499998</v>
      </c>
      <c r="AS4" s="39">
        <v>11</v>
      </c>
      <c r="AT4" s="28">
        <f t="shared" si="9"/>
        <v>39456933.655000001</v>
      </c>
      <c r="AU4" s="29">
        <f t="shared" si="10"/>
        <v>6891752.7749999985</v>
      </c>
      <c r="AV4" s="26">
        <f t="shared" si="11"/>
        <v>401461089.32499999</v>
      </c>
      <c r="AW4" s="30">
        <f t="shared" si="12"/>
        <v>0.13913004967040596</v>
      </c>
      <c r="AX4" s="31" t="str">
        <f t="shared" si="13"/>
        <v>✓ Within Budget</v>
      </c>
    </row>
    <row r="5" spans="1:50" ht="15.1" customHeight="1" x14ac:dyDescent="0.35">
      <c r="A5" s="19" t="s">
        <v>129</v>
      </c>
      <c r="B5" s="20">
        <v>2022</v>
      </c>
      <c r="C5" s="21">
        <v>122</v>
      </c>
      <c r="D5" s="21">
        <v>4</v>
      </c>
      <c r="E5" s="21">
        <v>1</v>
      </c>
      <c r="F5" s="21">
        <v>1</v>
      </c>
      <c r="G5" s="22">
        <f t="shared" si="0"/>
        <v>125</v>
      </c>
      <c r="H5" s="21">
        <v>1</v>
      </c>
      <c r="I5" s="21">
        <v>121943</v>
      </c>
      <c r="J5" s="21">
        <v>6</v>
      </c>
      <c r="K5" s="21">
        <v>24</v>
      </c>
      <c r="L5" s="21">
        <v>45</v>
      </c>
      <c r="M5" s="21">
        <v>32</v>
      </c>
      <c r="N5" s="21">
        <v>18</v>
      </c>
      <c r="O5" s="23">
        <f t="shared" si="1"/>
        <v>9.8360655737704916E-2</v>
      </c>
      <c r="P5" s="24">
        <v>0.1042</v>
      </c>
      <c r="Q5" s="25">
        <v>82.2</v>
      </c>
      <c r="R5" s="20">
        <v>1829138</v>
      </c>
      <c r="S5" s="21">
        <v>75</v>
      </c>
      <c r="T5" s="22">
        <f t="shared" si="2"/>
        <v>49</v>
      </c>
      <c r="U5" s="40">
        <v>34612625</v>
      </c>
      <c r="V5" s="22">
        <f t="shared" si="3"/>
        <v>6230272.5</v>
      </c>
      <c r="W5" s="22">
        <f t="shared" si="4"/>
        <v>2769010</v>
      </c>
      <c r="X5" s="22">
        <f t="shared" si="5"/>
        <v>4672704.375</v>
      </c>
      <c r="Y5" s="21">
        <v>77175</v>
      </c>
      <c r="Z5" s="21">
        <v>157500</v>
      </c>
      <c r="AA5" s="40">
        <v>464830</v>
      </c>
      <c r="AB5" s="40">
        <v>182743</v>
      </c>
      <c r="AC5" s="21">
        <v>312500</v>
      </c>
      <c r="AD5" s="21">
        <v>400000</v>
      </c>
      <c r="AE5" s="21">
        <v>180000</v>
      </c>
      <c r="AF5" s="21">
        <v>392000</v>
      </c>
      <c r="AG5" s="21">
        <v>58800</v>
      </c>
      <c r="AH5" s="21">
        <v>187500</v>
      </c>
      <c r="AI5" s="21">
        <v>100000</v>
      </c>
      <c r="AJ5" s="21">
        <v>75000</v>
      </c>
      <c r="AK5" s="40">
        <v>177187</v>
      </c>
      <c r="AL5" s="21">
        <v>69049</v>
      </c>
      <c r="AM5" s="22">
        <f t="shared" si="6"/>
        <v>48984116.875</v>
      </c>
      <c r="AN5" s="22">
        <f t="shared" si="7"/>
        <v>2134779</v>
      </c>
      <c r="AO5" s="22">
        <f t="shared" si="8"/>
        <v>51118895.875</v>
      </c>
      <c r="AP5" s="21">
        <v>36227563</v>
      </c>
      <c r="AQ5" s="26">
        <f>SUM(AP3:AP14)</f>
        <v>466343481</v>
      </c>
      <c r="AR5" s="26">
        <f>AQ5-SUM(AO3:AO4)</f>
        <v>401461089.32499999</v>
      </c>
      <c r="AS5" s="27">
        <v>10</v>
      </c>
      <c r="AT5" s="28">
        <f t="shared" si="9"/>
        <v>40146108.932499997</v>
      </c>
      <c r="AU5" s="29">
        <f t="shared" si="10"/>
        <v>-10972786.942500003</v>
      </c>
      <c r="AV5" s="26">
        <f t="shared" si="11"/>
        <v>350342193.44999999</v>
      </c>
      <c r="AW5" s="30">
        <f t="shared" si="12"/>
        <v>0.24874645465452536</v>
      </c>
      <c r="AX5" s="31" t="str">
        <f t="shared" si="13"/>
        <v>⚠ Over Budget</v>
      </c>
    </row>
    <row r="6" spans="1:50" ht="15.1" customHeight="1" x14ac:dyDescent="0.35">
      <c r="A6" s="32" t="s">
        <v>130</v>
      </c>
      <c r="B6" s="33">
        <v>2022</v>
      </c>
      <c r="C6" s="34">
        <v>125</v>
      </c>
      <c r="D6" s="34">
        <v>3</v>
      </c>
      <c r="E6" s="34">
        <v>3</v>
      </c>
      <c r="F6" s="34">
        <v>3</v>
      </c>
      <c r="G6" s="35">
        <f t="shared" si="0"/>
        <v>125</v>
      </c>
      <c r="H6" s="34">
        <v>2</v>
      </c>
      <c r="I6" s="34">
        <v>244535</v>
      </c>
      <c r="J6" s="34">
        <v>6</v>
      </c>
      <c r="K6" s="34">
        <v>24</v>
      </c>
      <c r="L6" s="34">
        <v>45</v>
      </c>
      <c r="M6" s="34">
        <v>32</v>
      </c>
      <c r="N6" s="34">
        <v>18</v>
      </c>
      <c r="O6" s="36">
        <f t="shared" si="1"/>
        <v>0.28800000000000003</v>
      </c>
      <c r="P6" s="37">
        <v>0.11169999999999999</v>
      </c>
      <c r="Q6" s="38">
        <v>82.35</v>
      </c>
      <c r="R6" s="33">
        <v>1834011</v>
      </c>
      <c r="S6" s="34">
        <v>75</v>
      </c>
      <c r="T6" s="35">
        <f t="shared" si="2"/>
        <v>48</v>
      </c>
      <c r="U6" s="34">
        <v>22390218</v>
      </c>
      <c r="V6" s="35">
        <f t="shared" si="3"/>
        <v>4030239.2399999998</v>
      </c>
      <c r="W6" s="35">
        <f t="shared" si="4"/>
        <v>1791217.44</v>
      </c>
      <c r="X6" s="35">
        <f t="shared" si="5"/>
        <v>3022679.43</v>
      </c>
      <c r="Y6" s="34">
        <v>72000</v>
      </c>
      <c r="Z6" s="34">
        <v>150000</v>
      </c>
      <c r="AA6" s="34">
        <v>343538</v>
      </c>
      <c r="AB6" s="34">
        <v>112109</v>
      </c>
      <c r="AC6" s="34">
        <v>312500</v>
      </c>
      <c r="AD6" s="34">
        <v>400000</v>
      </c>
      <c r="AE6" s="34">
        <v>135000</v>
      </c>
      <c r="AF6" s="34">
        <v>384000</v>
      </c>
      <c r="AG6" s="34">
        <v>57600</v>
      </c>
      <c r="AH6" s="34">
        <v>187500</v>
      </c>
      <c r="AI6" s="34">
        <v>100000</v>
      </c>
      <c r="AJ6" s="34">
        <v>75000</v>
      </c>
      <c r="AK6" s="34">
        <v>125000</v>
      </c>
      <c r="AL6" s="34">
        <v>66546</v>
      </c>
      <c r="AM6" s="35">
        <f t="shared" si="6"/>
        <v>31799892.109999999</v>
      </c>
      <c r="AN6" s="35">
        <f t="shared" si="7"/>
        <v>1955255</v>
      </c>
      <c r="AO6" s="35">
        <f t="shared" si="8"/>
        <v>33755147.109999999</v>
      </c>
      <c r="AP6" s="34">
        <v>34601540</v>
      </c>
      <c r="AQ6" s="26">
        <f>SUM(AP3:AP14)</f>
        <v>466343481</v>
      </c>
      <c r="AR6" s="26">
        <f>AQ6-SUM(AO3:AO5)</f>
        <v>350342193.44999999</v>
      </c>
      <c r="AS6" s="39">
        <v>9</v>
      </c>
      <c r="AT6" s="28">
        <f t="shared" si="9"/>
        <v>38926910.383333333</v>
      </c>
      <c r="AU6" s="29">
        <f t="shared" si="10"/>
        <v>5171763.2733333334</v>
      </c>
      <c r="AV6" s="26">
        <f t="shared" si="11"/>
        <v>316587046.33999997</v>
      </c>
      <c r="AW6" s="30">
        <f t="shared" si="12"/>
        <v>0.32112904063517944</v>
      </c>
      <c r="AX6" s="31" t="str">
        <f t="shared" si="13"/>
        <v>✓ Within Budget</v>
      </c>
    </row>
    <row r="7" spans="1:50" ht="15.1" customHeight="1" x14ac:dyDescent="0.35">
      <c r="A7" s="19" t="s">
        <v>131</v>
      </c>
      <c r="B7" s="20">
        <v>2022</v>
      </c>
      <c r="C7" s="21">
        <v>125</v>
      </c>
      <c r="D7" s="21">
        <v>5</v>
      </c>
      <c r="E7" s="21">
        <v>2</v>
      </c>
      <c r="F7" s="21">
        <v>2</v>
      </c>
      <c r="G7" s="22">
        <f t="shared" si="0"/>
        <v>128</v>
      </c>
      <c r="H7" s="21">
        <v>1</v>
      </c>
      <c r="I7" s="21">
        <v>124387</v>
      </c>
      <c r="J7" s="21">
        <v>6</v>
      </c>
      <c r="K7" s="21">
        <v>27</v>
      </c>
      <c r="L7" s="21">
        <v>44</v>
      </c>
      <c r="M7" s="21">
        <v>32</v>
      </c>
      <c r="N7" s="21">
        <v>19</v>
      </c>
      <c r="O7" s="23">
        <f t="shared" si="1"/>
        <v>0.192</v>
      </c>
      <c r="P7" s="24">
        <v>9.8400000000000001E-2</v>
      </c>
      <c r="Q7" s="25">
        <v>82.92</v>
      </c>
      <c r="R7" s="20">
        <v>1865808</v>
      </c>
      <c r="S7" s="21">
        <v>77</v>
      </c>
      <c r="T7" s="22">
        <f t="shared" si="2"/>
        <v>50</v>
      </c>
      <c r="U7" s="21">
        <v>23291503</v>
      </c>
      <c r="V7" s="22">
        <f t="shared" si="3"/>
        <v>4192470.54</v>
      </c>
      <c r="W7" s="22">
        <f t="shared" si="4"/>
        <v>1863320.24</v>
      </c>
      <c r="X7" s="22">
        <f t="shared" si="5"/>
        <v>3144352.9050000003</v>
      </c>
      <c r="Y7" s="21">
        <v>75000</v>
      </c>
      <c r="Z7" s="21">
        <v>153600</v>
      </c>
      <c r="AA7" s="21">
        <v>372587</v>
      </c>
      <c r="AB7" s="21">
        <v>178100</v>
      </c>
      <c r="AC7" s="21">
        <v>320000</v>
      </c>
      <c r="AD7" s="21">
        <v>409600</v>
      </c>
      <c r="AE7" s="21">
        <v>225000</v>
      </c>
      <c r="AF7" s="21">
        <v>400000</v>
      </c>
      <c r="AG7" s="21">
        <v>60000</v>
      </c>
      <c r="AH7" s="21">
        <v>192000</v>
      </c>
      <c r="AI7" s="21">
        <v>102400</v>
      </c>
      <c r="AJ7" s="21">
        <v>76800</v>
      </c>
      <c r="AK7" s="21">
        <v>128000</v>
      </c>
      <c r="AL7" s="21">
        <v>59125</v>
      </c>
      <c r="AM7" s="22">
        <f t="shared" si="6"/>
        <v>33092833.684999999</v>
      </c>
      <c r="AN7" s="22">
        <f t="shared" si="7"/>
        <v>2151025</v>
      </c>
      <c r="AO7" s="22">
        <f t="shared" si="8"/>
        <v>35243858.685000002</v>
      </c>
      <c r="AP7" s="21">
        <v>34649862</v>
      </c>
      <c r="AQ7" s="26">
        <f>SUM(AP3:AP14)</f>
        <v>466343481</v>
      </c>
      <c r="AR7" s="26">
        <f>AQ7-SUM(AO3:AO6)</f>
        <v>316587046.33999997</v>
      </c>
      <c r="AS7" s="27">
        <v>8</v>
      </c>
      <c r="AT7" s="28">
        <f t="shared" si="9"/>
        <v>39573380.792499997</v>
      </c>
      <c r="AU7" s="29">
        <f t="shared" si="10"/>
        <v>4329522.1074999943</v>
      </c>
      <c r="AV7" s="26">
        <f t="shared" si="11"/>
        <v>281343187.65499997</v>
      </c>
      <c r="AW7" s="30">
        <f t="shared" si="12"/>
        <v>0.39670393365057038</v>
      </c>
      <c r="AX7" s="31" t="str">
        <f t="shared" si="13"/>
        <v>✓ Within Budget</v>
      </c>
    </row>
    <row r="8" spans="1:50" ht="15.1" customHeight="1" x14ac:dyDescent="0.35">
      <c r="A8" s="32" t="s">
        <v>132</v>
      </c>
      <c r="B8" s="33">
        <v>2022</v>
      </c>
      <c r="C8" s="34">
        <v>128</v>
      </c>
      <c r="D8" s="34">
        <v>2</v>
      </c>
      <c r="E8" s="34">
        <v>3</v>
      </c>
      <c r="F8" s="34">
        <v>3</v>
      </c>
      <c r="G8" s="35">
        <f t="shared" si="0"/>
        <v>127</v>
      </c>
      <c r="H8" s="34">
        <v>2</v>
      </c>
      <c r="I8" s="34">
        <v>250554</v>
      </c>
      <c r="J8" s="34">
        <v>6</v>
      </c>
      <c r="K8" s="34">
        <v>26</v>
      </c>
      <c r="L8" s="34">
        <v>47</v>
      </c>
      <c r="M8" s="34">
        <v>31</v>
      </c>
      <c r="N8" s="34">
        <v>17</v>
      </c>
      <c r="O8" s="36">
        <f t="shared" si="1"/>
        <v>0.28125</v>
      </c>
      <c r="P8" s="37">
        <v>9.4600000000000004E-2</v>
      </c>
      <c r="Q8" s="38">
        <v>82.63</v>
      </c>
      <c r="R8" s="33">
        <v>1879158</v>
      </c>
      <c r="S8" s="34">
        <v>76</v>
      </c>
      <c r="T8" s="35">
        <f t="shared" si="2"/>
        <v>49</v>
      </c>
      <c r="U8" s="41">
        <v>34942316</v>
      </c>
      <c r="V8" s="35">
        <f t="shared" si="3"/>
        <v>6289616.8799999999</v>
      </c>
      <c r="W8" s="35">
        <f t="shared" si="4"/>
        <v>2795385.2800000003</v>
      </c>
      <c r="X8" s="35">
        <f t="shared" si="5"/>
        <v>4717212.66</v>
      </c>
      <c r="Y8" s="34">
        <v>84525</v>
      </c>
      <c r="Z8" s="34">
        <v>175260</v>
      </c>
      <c r="AA8" s="41">
        <v>499463</v>
      </c>
      <c r="AB8" s="41">
        <v>90880</v>
      </c>
      <c r="AC8" s="34">
        <v>317500</v>
      </c>
      <c r="AD8" s="34">
        <v>406400</v>
      </c>
      <c r="AE8" s="34">
        <v>90000</v>
      </c>
      <c r="AF8" s="34">
        <v>392000</v>
      </c>
      <c r="AG8" s="34">
        <v>58800</v>
      </c>
      <c r="AH8" s="34">
        <v>190500</v>
      </c>
      <c r="AI8" s="34">
        <v>101600</v>
      </c>
      <c r="AJ8" s="34">
        <v>76200</v>
      </c>
      <c r="AK8" s="41">
        <v>197167</v>
      </c>
      <c r="AL8" s="34">
        <v>65591</v>
      </c>
      <c r="AM8" s="35">
        <f t="shared" si="6"/>
        <v>49503778.820000008</v>
      </c>
      <c r="AN8" s="35">
        <f t="shared" si="7"/>
        <v>1986638</v>
      </c>
      <c r="AO8" s="35">
        <f t="shared" si="8"/>
        <v>51490416.820000008</v>
      </c>
      <c r="AP8" s="34">
        <v>40309187</v>
      </c>
      <c r="AQ8" s="26">
        <f>SUM(AP3:AP14)</f>
        <v>466343481</v>
      </c>
      <c r="AR8" s="26">
        <f>AQ8-SUM(AO3:AO7)</f>
        <v>281343187.65499997</v>
      </c>
      <c r="AS8" s="39">
        <v>7</v>
      </c>
      <c r="AT8" s="28">
        <f t="shared" si="9"/>
        <v>40191883.950714283</v>
      </c>
      <c r="AU8" s="29">
        <f t="shared" si="10"/>
        <v>-11298532.869285725</v>
      </c>
      <c r="AV8" s="26">
        <f t="shared" si="11"/>
        <v>229852770.83499998</v>
      </c>
      <c r="AW8" s="30">
        <f t="shared" si="12"/>
        <v>0.50711700667045456</v>
      </c>
      <c r="AX8" s="31" t="str">
        <f t="shared" si="13"/>
        <v>⚠ Over Budget</v>
      </c>
    </row>
    <row r="9" spans="1:50" ht="15.1" customHeight="1" x14ac:dyDescent="0.35">
      <c r="A9" s="19" t="s">
        <v>133</v>
      </c>
      <c r="B9" s="20">
        <v>2022</v>
      </c>
      <c r="C9" s="21">
        <v>127</v>
      </c>
      <c r="D9" s="21">
        <v>6</v>
      </c>
      <c r="E9" s="21">
        <v>3</v>
      </c>
      <c r="F9" s="21">
        <v>3</v>
      </c>
      <c r="G9" s="22">
        <f t="shared" si="0"/>
        <v>130</v>
      </c>
      <c r="H9" s="21">
        <v>2</v>
      </c>
      <c r="I9" s="21">
        <v>254124</v>
      </c>
      <c r="J9" s="21">
        <v>5</v>
      </c>
      <c r="K9" s="21">
        <v>27</v>
      </c>
      <c r="L9" s="21">
        <v>45</v>
      </c>
      <c r="M9" s="21">
        <v>34</v>
      </c>
      <c r="N9" s="21">
        <v>19</v>
      </c>
      <c r="O9" s="23">
        <f t="shared" si="1"/>
        <v>0.28346456692913385</v>
      </c>
      <c r="P9" s="24">
        <v>0.10979999999999999</v>
      </c>
      <c r="Q9" s="25">
        <v>82.79</v>
      </c>
      <c r="R9" s="20">
        <v>1905931</v>
      </c>
      <c r="S9" s="21">
        <v>78</v>
      </c>
      <c r="T9" s="22">
        <f t="shared" si="2"/>
        <v>50</v>
      </c>
      <c r="U9" s="21">
        <v>24308562</v>
      </c>
      <c r="V9" s="22">
        <f t="shared" si="3"/>
        <v>4375541.16</v>
      </c>
      <c r="W9" s="22">
        <f t="shared" si="4"/>
        <v>1944684.96</v>
      </c>
      <c r="X9" s="22">
        <f t="shared" si="5"/>
        <v>3281655.87</v>
      </c>
      <c r="Y9" s="21">
        <v>86250</v>
      </c>
      <c r="Z9" s="21">
        <v>179400</v>
      </c>
      <c r="AA9" s="21">
        <v>365780</v>
      </c>
      <c r="AB9" s="21">
        <v>207419</v>
      </c>
      <c r="AC9" s="21">
        <v>422500</v>
      </c>
      <c r="AD9" s="21">
        <v>416000</v>
      </c>
      <c r="AE9" s="21">
        <v>270000</v>
      </c>
      <c r="AF9" s="21">
        <v>400000</v>
      </c>
      <c r="AG9" s="21">
        <v>60000</v>
      </c>
      <c r="AH9" s="21">
        <v>195000</v>
      </c>
      <c r="AI9" s="21">
        <v>104000</v>
      </c>
      <c r="AJ9" s="21">
        <v>78000</v>
      </c>
      <c r="AK9" s="21">
        <v>149500</v>
      </c>
      <c r="AL9" s="21">
        <v>55972</v>
      </c>
      <c r="AM9" s="22">
        <f t="shared" si="6"/>
        <v>34541873.990000002</v>
      </c>
      <c r="AN9" s="22">
        <f t="shared" si="7"/>
        <v>2358391</v>
      </c>
      <c r="AO9" s="22">
        <f t="shared" si="8"/>
        <v>36900264.990000002</v>
      </c>
      <c r="AP9" s="21">
        <v>42576972</v>
      </c>
      <c r="AQ9" s="26">
        <f>SUM(AP3:AP14)</f>
        <v>466343481</v>
      </c>
      <c r="AR9" s="26">
        <f>AQ9-SUM(AO3:AO8)</f>
        <v>229852770.83499998</v>
      </c>
      <c r="AS9" s="27">
        <v>6</v>
      </c>
      <c r="AT9" s="28">
        <f t="shared" si="9"/>
        <v>38308795.139166661</v>
      </c>
      <c r="AU9" s="29">
        <f t="shared" si="10"/>
        <v>1408530.1491666585</v>
      </c>
      <c r="AV9" s="26">
        <f t="shared" si="11"/>
        <v>192952505.84499997</v>
      </c>
      <c r="AW9" s="30">
        <f t="shared" si="12"/>
        <v>0.58624380160468037</v>
      </c>
      <c r="AX9" s="31" t="str">
        <f t="shared" si="13"/>
        <v>✓ Within Budget</v>
      </c>
    </row>
    <row r="10" spans="1:50" ht="15.1" customHeight="1" x14ac:dyDescent="0.35">
      <c r="A10" s="32" t="s">
        <v>134</v>
      </c>
      <c r="B10" s="33">
        <v>2022</v>
      </c>
      <c r="C10" s="34">
        <v>130</v>
      </c>
      <c r="D10" s="34">
        <v>5</v>
      </c>
      <c r="E10" s="34">
        <v>3</v>
      </c>
      <c r="F10" s="34">
        <v>3</v>
      </c>
      <c r="G10" s="35">
        <f t="shared" si="0"/>
        <v>132</v>
      </c>
      <c r="H10" s="34">
        <v>2</v>
      </c>
      <c r="I10" s="34">
        <v>252593</v>
      </c>
      <c r="J10" s="34">
        <v>4</v>
      </c>
      <c r="K10" s="34">
        <v>27</v>
      </c>
      <c r="L10" s="34">
        <v>50</v>
      </c>
      <c r="M10" s="34">
        <v>32</v>
      </c>
      <c r="N10" s="34">
        <v>19</v>
      </c>
      <c r="O10" s="36">
        <f t="shared" si="1"/>
        <v>0.27692307692307694</v>
      </c>
      <c r="P10" s="37">
        <v>0.1</v>
      </c>
      <c r="Q10" s="38">
        <v>83.52</v>
      </c>
      <c r="R10" s="33">
        <v>1894449</v>
      </c>
      <c r="S10" s="34">
        <v>79</v>
      </c>
      <c r="T10" s="35">
        <f t="shared" si="2"/>
        <v>51</v>
      </c>
      <c r="U10" s="34">
        <v>24422605</v>
      </c>
      <c r="V10" s="35">
        <f t="shared" si="3"/>
        <v>4396068.8999999994</v>
      </c>
      <c r="W10" s="35">
        <f t="shared" si="4"/>
        <v>1953808.4000000001</v>
      </c>
      <c r="X10" s="35">
        <f t="shared" si="5"/>
        <v>3297051.6750000003</v>
      </c>
      <c r="Y10" s="34">
        <v>85680</v>
      </c>
      <c r="Z10" s="34">
        <v>177408</v>
      </c>
      <c r="AA10" s="34">
        <v>362061</v>
      </c>
      <c r="AB10" s="34">
        <v>181809</v>
      </c>
      <c r="AC10" s="34">
        <v>330000</v>
      </c>
      <c r="AD10" s="34">
        <v>422400</v>
      </c>
      <c r="AE10" s="34">
        <v>225000</v>
      </c>
      <c r="AF10" s="34">
        <v>408000</v>
      </c>
      <c r="AG10" s="34">
        <v>61200</v>
      </c>
      <c r="AH10" s="34">
        <v>198000</v>
      </c>
      <c r="AI10" s="34">
        <v>105600</v>
      </c>
      <c r="AJ10" s="34">
        <v>79200</v>
      </c>
      <c r="AK10" s="34">
        <v>147840</v>
      </c>
      <c r="AL10" s="34">
        <v>62431</v>
      </c>
      <c r="AM10" s="35">
        <f t="shared" si="6"/>
        <v>34694682.974999994</v>
      </c>
      <c r="AN10" s="35">
        <f t="shared" si="7"/>
        <v>2221480</v>
      </c>
      <c r="AO10" s="35">
        <f t="shared" si="8"/>
        <v>36916162.974999994</v>
      </c>
      <c r="AP10" s="34">
        <v>41154014</v>
      </c>
      <c r="AQ10" s="26">
        <f>SUM(AP3:AP14)</f>
        <v>466343481</v>
      </c>
      <c r="AR10" s="26">
        <f>AQ10-SUM(AO3:AO9)</f>
        <v>192952505.84499997</v>
      </c>
      <c r="AS10" s="39">
        <v>5</v>
      </c>
      <c r="AT10" s="28">
        <f t="shared" si="9"/>
        <v>38590501.168999992</v>
      </c>
      <c r="AU10" s="29">
        <f t="shared" si="10"/>
        <v>1674338.1939999983</v>
      </c>
      <c r="AV10" s="26">
        <f t="shared" si="11"/>
        <v>156036342.86999997</v>
      </c>
      <c r="AW10" s="30">
        <f t="shared" si="12"/>
        <v>0.66540468725883184</v>
      </c>
      <c r="AX10" s="31" t="str">
        <f t="shared" si="13"/>
        <v>✓ Within Budget</v>
      </c>
    </row>
    <row r="11" spans="1:50" ht="15.1" customHeight="1" x14ac:dyDescent="0.35">
      <c r="A11" s="19" t="s">
        <v>135</v>
      </c>
      <c r="B11" s="20">
        <v>2022</v>
      </c>
      <c r="C11" s="21">
        <v>132</v>
      </c>
      <c r="D11" s="21">
        <v>3</v>
      </c>
      <c r="E11" s="21">
        <v>2</v>
      </c>
      <c r="F11" s="21">
        <v>2</v>
      </c>
      <c r="G11" s="22">
        <f t="shared" si="0"/>
        <v>133</v>
      </c>
      <c r="H11" s="21">
        <v>2</v>
      </c>
      <c r="I11" s="21">
        <v>255837</v>
      </c>
      <c r="J11" s="21">
        <v>5</v>
      </c>
      <c r="K11" s="21">
        <v>27</v>
      </c>
      <c r="L11" s="21">
        <v>45</v>
      </c>
      <c r="M11" s="21">
        <v>36</v>
      </c>
      <c r="N11" s="21">
        <v>20</v>
      </c>
      <c r="O11" s="23">
        <f t="shared" si="1"/>
        <v>0.18181818181818182</v>
      </c>
      <c r="P11" s="24">
        <v>0.10680000000000001</v>
      </c>
      <c r="Q11" s="25">
        <v>82.71</v>
      </c>
      <c r="R11" s="20">
        <v>1918779</v>
      </c>
      <c r="S11" s="21">
        <v>80</v>
      </c>
      <c r="T11" s="22">
        <f t="shared" si="2"/>
        <v>51</v>
      </c>
      <c r="U11" s="21">
        <v>25223949</v>
      </c>
      <c r="V11" s="22">
        <f t="shared" si="3"/>
        <v>4540310.8199999994</v>
      </c>
      <c r="W11" s="22">
        <f t="shared" si="4"/>
        <v>2017915.9200000002</v>
      </c>
      <c r="X11" s="22">
        <f t="shared" si="5"/>
        <v>3405233.1150000002</v>
      </c>
      <c r="Y11" s="21">
        <v>76500</v>
      </c>
      <c r="Z11" s="21">
        <v>159600</v>
      </c>
      <c r="AA11" s="21">
        <v>381591</v>
      </c>
      <c r="AB11" s="21">
        <v>113729</v>
      </c>
      <c r="AC11" s="21">
        <v>332500</v>
      </c>
      <c r="AD11" s="21">
        <v>425600</v>
      </c>
      <c r="AE11" s="21">
        <v>135000</v>
      </c>
      <c r="AF11" s="21">
        <v>408000</v>
      </c>
      <c r="AG11" s="21">
        <v>61200</v>
      </c>
      <c r="AH11" s="21">
        <v>199500</v>
      </c>
      <c r="AI11" s="21">
        <v>106400</v>
      </c>
      <c r="AJ11" s="21">
        <v>79800</v>
      </c>
      <c r="AK11" s="21">
        <v>133000</v>
      </c>
      <c r="AL11" s="21">
        <v>53053</v>
      </c>
      <c r="AM11" s="22">
        <f t="shared" si="6"/>
        <v>35805099.855000004</v>
      </c>
      <c r="AN11" s="22">
        <f t="shared" si="7"/>
        <v>2047782</v>
      </c>
      <c r="AO11" s="22">
        <f t="shared" si="8"/>
        <v>37852881.855000004</v>
      </c>
      <c r="AP11" s="21">
        <v>38977816</v>
      </c>
      <c r="AQ11" s="26">
        <f>SUM(AP3:AP14)</f>
        <v>466343481</v>
      </c>
      <c r="AR11" s="26">
        <f>AQ11-SUM(AO3:AO10)</f>
        <v>156036342.87</v>
      </c>
      <c r="AS11" s="27">
        <v>4</v>
      </c>
      <c r="AT11" s="28">
        <f t="shared" si="9"/>
        <v>39009085.717500001</v>
      </c>
      <c r="AU11" s="29">
        <f t="shared" si="10"/>
        <v>1156203.862499997</v>
      </c>
      <c r="AV11" s="26">
        <f t="shared" si="11"/>
        <v>118183461.015</v>
      </c>
      <c r="AW11" s="30">
        <f t="shared" si="12"/>
        <v>0.74657421872484586</v>
      </c>
      <c r="AX11" s="31" t="str">
        <f t="shared" si="13"/>
        <v>✓ Within Budget</v>
      </c>
    </row>
    <row r="12" spans="1:50" ht="15.1" customHeight="1" x14ac:dyDescent="0.35">
      <c r="A12" s="32" t="s">
        <v>136</v>
      </c>
      <c r="B12" s="33">
        <v>2023</v>
      </c>
      <c r="C12" s="34">
        <v>133</v>
      </c>
      <c r="D12" s="34">
        <v>4</v>
      </c>
      <c r="E12" s="34">
        <v>3</v>
      </c>
      <c r="F12" s="34">
        <v>3</v>
      </c>
      <c r="G12" s="35">
        <f t="shared" si="0"/>
        <v>134</v>
      </c>
      <c r="H12" s="34">
        <v>2</v>
      </c>
      <c r="I12" s="34">
        <v>258427</v>
      </c>
      <c r="J12" s="34">
        <v>7</v>
      </c>
      <c r="K12" s="34">
        <v>26</v>
      </c>
      <c r="L12" s="34">
        <v>47</v>
      </c>
      <c r="M12" s="34">
        <v>34</v>
      </c>
      <c r="N12" s="34">
        <v>20</v>
      </c>
      <c r="O12" s="36">
        <f t="shared" si="1"/>
        <v>0.27067669172932329</v>
      </c>
      <c r="P12" s="37">
        <v>0.13009999999999999</v>
      </c>
      <c r="Q12" s="38">
        <v>83.32</v>
      </c>
      <c r="R12" s="33">
        <v>1938204</v>
      </c>
      <c r="S12" s="34">
        <v>80</v>
      </c>
      <c r="T12" s="35">
        <f t="shared" si="2"/>
        <v>52</v>
      </c>
      <c r="U12" s="41">
        <v>40637676</v>
      </c>
      <c r="V12" s="35">
        <f t="shared" si="3"/>
        <v>7314781.6799999997</v>
      </c>
      <c r="W12" s="35">
        <f t="shared" si="4"/>
        <v>3251014.08</v>
      </c>
      <c r="X12" s="35">
        <f t="shared" si="5"/>
        <v>5486086.2600000007</v>
      </c>
      <c r="Y12" s="34">
        <v>84240</v>
      </c>
      <c r="Z12" s="34">
        <v>173664</v>
      </c>
      <c r="AA12" s="41">
        <v>511403</v>
      </c>
      <c r="AB12" s="41">
        <v>179429</v>
      </c>
      <c r="AC12" s="34">
        <v>335000</v>
      </c>
      <c r="AD12" s="34">
        <v>428800</v>
      </c>
      <c r="AE12" s="34">
        <v>180000</v>
      </c>
      <c r="AF12" s="34">
        <v>416000</v>
      </c>
      <c r="AG12" s="34">
        <v>62400</v>
      </c>
      <c r="AH12" s="34">
        <v>201000</v>
      </c>
      <c r="AI12" s="34">
        <v>107200</v>
      </c>
      <c r="AJ12" s="34">
        <v>80400</v>
      </c>
      <c r="AK12" s="41">
        <v>195372</v>
      </c>
      <c r="AL12" s="34">
        <v>69089</v>
      </c>
      <c r="AM12" s="35">
        <f t="shared" si="6"/>
        <v>57458865.019999996</v>
      </c>
      <c r="AN12" s="35">
        <f t="shared" si="7"/>
        <v>2254690</v>
      </c>
      <c r="AO12" s="35">
        <f t="shared" si="8"/>
        <v>59713555.019999996</v>
      </c>
      <c r="AP12" s="34">
        <v>42474285</v>
      </c>
      <c r="AQ12" s="26">
        <f>SUM(AP3:AP14)</f>
        <v>466343481</v>
      </c>
      <c r="AR12" s="26">
        <f>AQ12-SUM(AO3:AO11)</f>
        <v>118183461.01499999</v>
      </c>
      <c r="AS12" s="39">
        <v>3</v>
      </c>
      <c r="AT12" s="28">
        <f t="shared" si="9"/>
        <v>39394487.004999995</v>
      </c>
      <c r="AU12" s="29">
        <f t="shared" si="10"/>
        <v>-20319068.015000001</v>
      </c>
      <c r="AV12" s="26">
        <f t="shared" si="11"/>
        <v>58469905.99499999</v>
      </c>
      <c r="AW12" s="30">
        <f t="shared" si="12"/>
        <v>0.87462051389756645</v>
      </c>
      <c r="AX12" s="31" t="str">
        <f t="shared" si="13"/>
        <v>⚠ Over Budget</v>
      </c>
    </row>
    <row r="13" spans="1:50" ht="15.1" customHeight="1" x14ac:dyDescent="0.35">
      <c r="A13" s="19" t="s">
        <v>137</v>
      </c>
      <c r="B13" s="20">
        <v>2023</v>
      </c>
      <c r="C13" s="21">
        <v>134</v>
      </c>
      <c r="D13" s="21">
        <v>5</v>
      </c>
      <c r="E13" s="21">
        <v>2</v>
      </c>
      <c r="F13" s="21">
        <v>2</v>
      </c>
      <c r="G13" s="22">
        <f t="shared" si="0"/>
        <v>137</v>
      </c>
      <c r="H13" s="21">
        <v>2</v>
      </c>
      <c r="I13" s="21">
        <v>261699</v>
      </c>
      <c r="J13" s="21">
        <v>7</v>
      </c>
      <c r="K13" s="21">
        <v>28</v>
      </c>
      <c r="L13" s="21">
        <v>46</v>
      </c>
      <c r="M13" s="21">
        <v>34</v>
      </c>
      <c r="N13" s="21">
        <v>22</v>
      </c>
      <c r="O13" s="23">
        <f t="shared" si="1"/>
        <v>0.17910447761194029</v>
      </c>
      <c r="P13" s="24">
        <v>0.1004</v>
      </c>
      <c r="Q13" s="25">
        <v>83.81</v>
      </c>
      <c r="R13" s="20">
        <v>1962741</v>
      </c>
      <c r="S13" s="21">
        <v>82</v>
      </c>
      <c r="T13" s="22">
        <f t="shared" si="2"/>
        <v>53</v>
      </c>
      <c r="U13" s="21">
        <v>26439757</v>
      </c>
      <c r="V13" s="22">
        <f t="shared" si="3"/>
        <v>4759156.26</v>
      </c>
      <c r="W13" s="22">
        <f t="shared" si="4"/>
        <v>2115180.56</v>
      </c>
      <c r="X13" s="22">
        <f t="shared" si="5"/>
        <v>3569367.1950000003</v>
      </c>
      <c r="Y13" s="21">
        <v>85860</v>
      </c>
      <c r="Z13" s="21">
        <v>177552</v>
      </c>
      <c r="AA13" s="21">
        <v>402689</v>
      </c>
      <c r="AB13" s="21">
        <v>176433</v>
      </c>
      <c r="AC13" s="21">
        <v>342500</v>
      </c>
      <c r="AD13" s="21">
        <v>438400</v>
      </c>
      <c r="AE13" s="21">
        <v>225000</v>
      </c>
      <c r="AF13" s="21">
        <v>424000</v>
      </c>
      <c r="AG13" s="21">
        <v>63600</v>
      </c>
      <c r="AH13" s="21">
        <v>205500</v>
      </c>
      <c r="AI13" s="21">
        <v>109600</v>
      </c>
      <c r="AJ13" s="21">
        <v>82200</v>
      </c>
      <c r="AK13" s="21">
        <v>147960</v>
      </c>
      <c r="AL13" s="21">
        <v>85722</v>
      </c>
      <c r="AM13" s="22">
        <f t="shared" si="6"/>
        <v>37549562.015000001</v>
      </c>
      <c r="AN13" s="22">
        <f t="shared" si="7"/>
        <v>2300915</v>
      </c>
      <c r="AO13" s="22">
        <f t="shared" si="8"/>
        <v>39850477.015000001</v>
      </c>
      <c r="AP13" s="21">
        <v>43537261</v>
      </c>
      <c r="AQ13" s="26">
        <f>SUM(AP3:AP14)</f>
        <v>466343481</v>
      </c>
      <c r="AR13" s="26">
        <f>AQ13-SUM(AO3:AO12)</f>
        <v>58469905.995000005</v>
      </c>
      <c r="AS13" s="27">
        <v>2</v>
      </c>
      <c r="AT13" s="28">
        <f t="shared" si="9"/>
        <v>29234952.997500002</v>
      </c>
      <c r="AU13" s="29">
        <f t="shared" si="10"/>
        <v>-10615524.017499998</v>
      </c>
      <c r="AV13" s="26">
        <f t="shared" si="11"/>
        <v>18619428.980000004</v>
      </c>
      <c r="AW13" s="30">
        <f t="shared" si="12"/>
        <v>0.96007357293796924</v>
      </c>
      <c r="AX13" s="31" t="str">
        <f t="shared" si="13"/>
        <v>⚠ Over Budget</v>
      </c>
    </row>
    <row r="14" spans="1:50" ht="15.1" customHeight="1" x14ac:dyDescent="0.35">
      <c r="A14" s="32" t="s">
        <v>138</v>
      </c>
      <c r="B14" s="33">
        <v>2023</v>
      </c>
      <c r="C14" s="34">
        <v>137</v>
      </c>
      <c r="D14" s="34">
        <v>3</v>
      </c>
      <c r="E14" s="34">
        <v>3</v>
      </c>
      <c r="F14" s="34">
        <v>3</v>
      </c>
      <c r="G14" s="35">
        <f t="shared" si="0"/>
        <v>137</v>
      </c>
      <c r="H14" s="34">
        <v>2</v>
      </c>
      <c r="I14" s="34">
        <v>261189</v>
      </c>
      <c r="J14" s="34">
        <v>7</v>
      </c>
      <c r="K14" s="34">
        <v>28</v>
      </c>
      <c r="L14" s="34">
        <v>49</v>
      </c>
      <c r="M14" s="34">
        <v>34</v>
      </c>
      <c r="N14" s="34">
        <v>19</v>
      </c>
      <c r="O14" s="36">
        <f t="shared" si="1"/>
        <v>0.26277372262773724</v>
      </c>
      <c r="P14" s="37">
        <v>0.10150000000000001</v>
      </c>
      <c r="Q14" s="38">
        <v>83.77</v>
      </c>
      <c r="R14" s="33">
        <v>1958920</v>
      </c>
      <c r="S14" s="34">
        <v>82</v>
      </c>
      <c r="T14" s="35">
        <f t="shared" si="2"/>
        <v>53</v>
      </c>
      <c r="U14" s="34">
        <v>25947528</v>
      </c>
      <c r="V14" s="35">
        <f t="shared" si="3"/>
        <v>4670555.04</v>
      </c>
      <c r="W14" s="35">
        <f t="shared" si="4"/>
        <v>2075802.24</v>
      </c>
      <c r="X14" s="35">
        <f t="shared" si="5"/>
        <v>3502916.2800000003</v>
      </c>
      <c r="Y14" s="34">
        <v>84270</v>
      </c>
      <c r="Z14" s="34">
        <v>174264</v>
      </c>
      <c r="AA14" s="34">
        <v>397924</v>
      </c>
      <c r="AB14" s="34">
        <v>108038</v>
      </c>
      <c r="AC14" s="34">
        <v>342500</v>
      </c>
      <c r="AD14" s="34">
        <v>438400</v>
      </c>
      <c r="AE14" s="34">
        <v>135000</v>
      </c>
      <c r="AF14" s="34">
        <v>424000</v>
      </c>
      <c r="AG14" s="34">
        <v>63600</v>
      </c>
      <c r="AH14" s="34">
        <v>205500</v>
      </c>
      <c r="AI14" s="34">
        <v>109600</v>
      </c>
      <c r="AJ14" s="34">
        <v>82200</v>
      </c>
      <c r="AK14" s="34">
        <v>145220</v>
      </c>
      <c r="AL14" s="34">
        <v>60540</v>
      </c>
      <c r="AM14" s="35">
        <f t="shared" si="6"/>
        <v>36853259.559999995</v>
      </c>
      <c r="AN14" s="35">
        <f t="shared" si="7"/>
        <v>2114598</v>
      </c>
      <c r="AO14" s="35">
        <f t="shared" si="8"/>
        <v>38967857.559999995</v>
      </c>
      <c r="AP14" s="34">
        <v>42082167</v>
      </c>
      <c r="AQ14" s="26">
        <f>SUM(AP3:AP14)</f>
        <v>466343481</v>
      </c>
      <c r="AR14" s="26">
        <f>AQ14-SUM(AO3:AO13)</f>
        <v>18619428.980000019</v>
      </c>
      <c r="AS14" s="39">
        <v>1</v>
      </c>
      <c r="AT14" s="28">
        <f t="shared" si="9"/>
        <v>18619428.980000019</v>
      </c>
      <c r="AU14" s="29">
        <f t="shared" si="10"/>
        <v>-20348428.579999976</v>
      </c>
      <c r="AV14" s="26">
        <f t="shared" si="11"/>
        <v>-20348428.579999976</v>
      </c>
      <c r="AW14" s="30">
        <f t="shared" si="12"/>
        <v>1.0436339938458365</v>
      </c>
      <c r="AX14" s="31" t="str">
        <f t="shared" si="13"/>
        <v>⚠ Over Budget</v>
      </c>
    </row>
    <row r="15" spans="1:50" ht="15.1" customHeight="1" x14ac:dyDescent="0.35">
      <c r="A15" s="19" t="s">
        <v>139</v>
      </c>
      <c r="B15" s="20">
        <v>2023</v>
      </c>
      <c r="C15" s="21">
        <v>137</v>
      </c>
      <c r="D15" s="21">
        <v>5</v>
      </c>
      <c r="E15" s="21">
        <v>2</v>
      </c>
      <c r="F15" s="21">
        <v>2</v>
      </c>
      <c r="G15" s="22">
        <f t="shared" si="0"/>
        <v>140</v>
      </c>
      <c r="H15" s="21">
        <v>2</v>
      </c>
      <c r="I15" s="21">
        <v>263050</v>
      </c>
      <c r="J15" s="21">
        <v>7</v>
      </c>
      <c r="K15" s="21">
        <v>27</v>
      </c>
      <c r="L15" s="21">
        <v>51</v>
      </c>
      <c r="M15" s="21">
        <v>35</v>
      </c>
      <c r="N15" s="21">
        <v>20</v>
      </c>
      <c r="O15" s="23">
        <f t="shared" si="1"/>
        <v>0.17518248175182483</v>
      </c>
      <c r="P15" s="24">
        <v>0.122</v>
      </c>
      <c r="Q15" s="25">
        <v>84.1</v>
      </c>
      <c r="R15" s="20">
        <v>1972873</v>
      </c>
      <c r="S15" s="21">
        <v>84</v>
      </c>
      <c r="T15" s="22">
        <f t="shared" si="2"/>
        <v>54</v>
      </c>
      <c r="U15" s="21">
        <v>26872174</v>
      </c>
      <c r="V15" s="22">
        <f t="shared" si="3"/>
        <v>4836991.3199999994</v>
      </c>
      <c r="W15" s="22">
        <f t="shared" si="4"/>
        <v>2149773.92</v>
      </c>
      <c r="X15" s="22">
        <f t="shared" si="5"/>
        <v>3627743.49</v>
      </c>
      <c r="Y15" s="21">
        <v>89100</v>
      </c>
      <c r="Z15" s="21">
        <v>184800</v>
      </c>
      <c r="AA15" s="21">
        <v>406892</v>
      </c>
      <c r="AB15" s="21">
        <v>175014</v>
      </c>
      <c r="AC15" s="21">
        <v>455000</v>
      </c>
      <c r="AD15" s="21">
        <v>448000</v>
      </c>
      <c r="AE15" s="21">
        <v>225000</v>
      </c>
      <c r="AF15" s="21">
        <v>432000</v>
      </c>
      <c r="AG15" s="21">
        <v>64800</v>
      </c>
      <c r="AH15" s="21">
        <v>210000</v>
      </c>
      <c r="AI15" s="21">
        <v>112000</v>
      </c>
      <c r="AJ15" s="21">
        <v>84000</v>
      </c>
      <c r="AK15" s="21">
        <v>154000</v>
      </c>
      <c r="AL15" s="21">
        <v>88128</v>
      </c>
      <c r="AM15" s="22">
        <f t="shared" si="6"/>
        <v>38167474.730000004</v>
      </c>
      <c r="AN15" s="22">
        <f t="shared" si="7"/>
        <v>2447942</v>
      </c>
      <c r="AO15" s="22">
        <f t="shared" si="8"/>
        <v>40615416.730000004</v>
      </c>
      <c r="AP15" s="21">
        <v>42404160</v>
      </c>
      <c r="AQ15" s="26">
        <f>SUM(AP15:AP26)</f>
        <v>581522159</v>
      </c>
      <c r="AR15" s="26">
        <f>AQ15</f>
        <v>581522159</v>
      </c>
      <c r="AS15" s="27">
        <v>12</v>
      </c>
      <c r="AT15" s="28">
        <f t="shared" si="9"/>
        <v>48460179.916666664</v>
      </c>
      <c r="AU15" s="29">
        <f t="shared" si="10"/>
        <v>7844763.18666666</v>
      </c>
      <c r="AV15" s="26">
        <f t="shared" si="11"/>
        <v>540906742.26999998</v>
      </c>
      <c r="AW15" s="30">
        <f t="shared" si="12"/>
        <v>6.984328301408721E-2</v>
      </c>
      <c r="AX15" s="31" t="str">
        <f t="shared" si="13"/>
        <v>✓ Within Budget</v>
      </c>
    </row>
    <row r="16" spans="1:50" ht="15.1" customHeight="1" x14ac:dyDescent="0.35">
      <c r="A16" s="32" t="s">
        <v>140</v>
      </c>
      <c r="B16" s="33">
        <v>2023</v>
      </c>
      <c r="C16" s="34">
        <v>140</v>
      </c>
      <c r="D16" s="34">
        <v>6</v>
      </c>
      <c r="E16" s="34">
        <v>2</v>
      </c>
      <c r="F16" s="34">
        <v>2</v>
      </c>
      <c r="G16" s="35">
        <f t="shared" si="0"/>
        <v>144</v>
      </c>
      <c r="H16" s="34">
        <v>2</v>
      </c>
      <c r="I16" s="34">
        <v>266083</v>
      </c>
      <c r="J16" s="34">
        <v>9</v>
      </c>
      <c r="K16" s="34">
        <v>29</v>
      </c>
      <c r="L16" s="34">
        <v>48</v>
      </c>
      <c r="M16" s="34">
        <v>36</v>
      </c>
      <c r="N16" s="34">
        <v>22</v>
      </c>
      <c r="O16" s="36">
        <f t="shared" si="1"/>
        <v>0.17142857142857143</v>
      </c>
      <c r="P16" s="37">
        <v>9.7500000000000003E-2</v>
      </c>
      <c r="Q16" s="38">
        <v>83.69</v>
      </c>
      <c r="R16" s="33">
        <v>1995625</v>
      </c>
      <c r="S16" s="34">
        <v>86</v>
      </c>
      <c r="T16" s="35">
        <f t="shared" si="2"/>
        <v>56</v>
      </c>
      <c r="U16" s="34">
        <v>27996956</v>
      </c>
      <c r="V16" s="35">
        <f t="shared" si="3"/>
        <v>5039452.08</v>
      </c>
      <c r="W16" s="35">
        <f t="shared" si="4"/>
        <v>2239756.48</v>
      </c>
      <c r="X16" s="35">
        <f t="shared" si="5"/>
        <v>3779589.06</v>
      </c>
      <c r="Y16" s="34">
        <v>92400</v>
      </c>
      <c r="Z16" s="34">
        <v>190080</v>
      </c>
      <c r="AA16" s="34">
        <v>417129</v>
      </c>
      <c r="AB16" s="34">
        <v>211012</v>
      </c>
      <c r="AC16" s="34">
        <v>468000</v>
      </c>
      <c r="AD16" s="34">
        <v>460800</v>
      </c>
      <c r="AE16" s="34">
        <v>270000</v>
      </c>
      <c r="AF16" s="34">
        <v>448000</v>
      </c>
      <c r="AG16" s="34">
        <v>67200</v>
      </c>
      <c r="AH16" s="34">
        <v>216000</v>
      </c>
      <c r="AI16" s="34">
        <v>115200</v>
      </c>
      <c r="AJ16" s="34">
        <v>86400</v>
      </c>
      <c r="AK16" s="34">
        <v>158400</v>
      </c>
      <c r="AL16" s="34">
        <v>55160</v>
      </c>
      <c r="AM16" s="35">
        <f t="shared" si="6"/>
        <v>39755362.619999997</v>
      </c>
      <c r="AN16" s="35">
        <f t="shared" si="7"/>
        <v>2556172</v>
      </c>
      <c r="AO16" s="35">
        <f t="shared" si="8"/>
        <v>42311534.619999997</v>
      </c>
      <c r="AP16" s="34">
        <v>49599868</v>
      </c>
      <c r="AQ16" s="26">
        <f>SUM(AP15:AP26)</f>
        <v>581522159</v>
      </c>
      <c r="AR16" s="26">
        <f>AQ16-SUM(AO15:AO15)</f>
        <v>540906742.26999998</v>
      </c>
      <c r="AS16" s="39">
        <v>11</v>
      </c>
      <c r="AT16" s="28">
        <f t="shared" si="9"/>
        <v>49173340.206363633</v>
      </c>
      <c r="AU16" s="29">
        <f t="shared" si="10"/>
        <v>6861805.586363636</v>
      </c>
      <c r="AV16" s="26">
        <f t="shared" si="11"/>
        <v>498595207.64999998</v>
      </c>
      <c r="AW16" s="30">
        <f t="shared" si="12"/>
        <v>0.14260325263030951</v>
      </c>
      <c r="AX16" s="31" t="str">
        <f t="shared" si="13"/>
        <v>✓ Within Budget</v>
      </c>
    </row>
    <row r="17" spans="1:50" ht="15.1" customHeight="1" x14ac:dyDescent="0.35">
      <c r="A17" s="19" t="s">
        <v>141</v>
      </c>
      <c r="B17" s="20">
        <v>2023</v>
      </c>
      <c r="C17" s="21">
        <v>144</v>
      </c>
      <c r="D17" s="21">
        <v>3</v>
      </c>
      <c r="E17" s="21">
        <v>3</v>
      </c>
      <c r="F17" s="21">
        <v>3</v>
      </c>
      <c r="G17" s="22">
        <f t="shared" si="0"/>
        <v>144</v>
      </c>
      <c r="H17" s="21">
        <v>2</v>
      </c>
      <c r="I17" s="21">
        <v>269721</v>
      </c>
      <c r="J17" s="21">
        <v>7</v>
      </c>
      <c r="K17" s="21">
        <v>32</v>
      </c>
      <c r="L17" s="21">
        <v>49</v>
      </c>
      <c r="M17" s="21">
        <v>35</v>
      </c>
      <c r="N17" s="21">
        <v>21</v>
      </c>
      <c r="O17" s="23">
        <f t="shared" si="1"/>
        <v>0.25</v>
      </c>
      <c r="P17" s="24">
        <v>0.1024</v>
      </c>
      <c r="Q17" s="25">
        <v>84.21</v>
      </c>
      <c r="R17" s="20">
        <v>2022904</v>
      </c>
      <c r="S17" s="21">
        <v>86</v>
      </c>
      <c r="T17" s="22">
        <f t="shared" si="2"/>
        <v>56</v>
      </c>
      <c r="U17" s="21">
        <v>28211082</v>
      </c>
      <c r="V17" s="22">
        <f t="shared" si="3"/>
        <v>5077994.76</v>
      </c>
      <c r="W17" s="22">
        <f t="shared" si="4"/>
        <v>2256886.56</v>
      </c>
      <c r="X17" s="22">
        <f t="shared" si="5"/>
        <v>3808496.0700000003</v>
      </c>
      <c r="Y17" s="21">
        <v>88200</v>
      </c>
      <c r="Z17" s="21">
        <v>181440</v>
      </c>
      <c r="AA17" s="21">
        <v>420596</v>
      </c>
      <c r="AB17" s="21">
        <v>96989</v>
      </c>
      <c r="AC17" s="21">
        <v>360000</v>
      </c>
      <c r="AD17" s="21">
        <v>460800</v>
      </c>
      <c r="AE17" s="21">
        <v>135000</v>
      </c>
      <c r="AF17" s="21">
        <v>448000</v>
      </c>
      <c r="AG17" s="21">
        <v>67200</v>
      </c>
      <c r="AH17" s="21">
        <v>216000</v>
      </c>
      <c r="AI17" s="21">
        <v>115200</v>
      </c>
      <c r="AJ17" s="21">
        <v>86400</v>
      </c>
      <c r="AK17" s="21">
        <v>151200</v>
      </c>
      <c r="AL17" s="21">
        <v>68520</v>
      </c>
      <c r="AM17" s="22">
        <f t="shared" si="6"/>
        <v>40044695.390000001</v>
      </c>
      <c r="AN17" s="22">
        <f t="shared" si="7"/>
        <v>2205309</v>
      </c>
      <c r="AO17" s="22">
        <f t="shared" si="8"/>
        <v>42250004.390000001</v>
      </c>
      <c r="AP17" s="21">
        <v>46135982</v>
      </c>
      <c r="AQ17" s="26">
        <f>SUM(AP15:AP26)</f>
        <v>581522159</v>
      </c>
      <c r="AR17" s="26">
        <f>AQ17-SUM(AO15:AO16)</f>
        <v>498595207.64999998</v>
      </c>
      <c r="AS17" s="27">
        <v>10</v>
      </c>
      <c r="AT17" s="28">
        <f t="shared" si="9"/>
        <v>49859520.765000001</v>
      </c>
      <c r="AU17" s="29">
        <f t="shared" si="10"/>
        <v>7609516.375</v>
      </c>
      <c r="AV17" s="26">
        <f t="shared" si="11"/>
        <v>456345203.25999999</v>
      </c>
      <c r="AW17" s="30">
        <f t="shared" si="12"/>
        <v>0.21525741332928297</v>
      </c>
      <c r="AX17" s="31" t="str">
        <f t="shared" si="13"/>
        <v>✓ Within Budget</v>
      </c>
    </row>
    <row r="18" spans="1:50" ht="15.1" customHeight="1" x14ac:dyDescent="0.35">
      <c r="A18" s="32" t="s">
        <v>142</v>
      </c>
      <c r="B18" s="33">
        <v>2023</v>
      </c>
      <c r="C18" s="34">
        <v>144</v>
      </c>
      <c r="D18" s="34">
        <v>4</v>
      </c>
      <c r="E18" s="34">
        <v>2</v>
      </c>
      <c r="F18" s="34">
        <v>2</v>
      </c>
      <c r="G18" s="35">
        <f t="shared" si="0"/>
        <v>146</v>
      </c>
      <c r="H18" s="34">
        <v>2</v>
      </c>
      <c r="I18" s="34">
        <v>270671</v>
      </c>
      <c r="J18" s="34">
        <v>9</v>
      </c>
      <c r="K18" s="34">
        <v>31</v>
      </c>
      <c r="L18" s="34">
        <v>48</v>
      </c>
      <c r="M18" s="34">
        <v>37</v>
      </c>
      <c r="N18" s="34">
        <v>21</v>
      </c>
      <c r="O18" s="36">
        <f t="shared" si="1"/>
        <v>0.16666666666666666</v>
      </c>
      <c r="P18" s="37">
        <v>9.5799999999999996E-2</v>
      </c>
      <c r="Q18" s="38">
        <v>84.11</v>
      </c>
      <c r="R18" s="33">
        <v>2030032</v>
      </c>
      <c r="S18" s="34">
        <v>88</v>
      </c>
      <c r="T18" s="35">
        <f t="shared" si="2"/>
        <v>56</v>
      </c>
      <c r="U18" s="34">
        <v>28665744</v>
      </c>
      <c r="V18" s="35">
        <f t="shared" si="3"/>
        <v>5159833.92</v>
      </c>
      <c r="W18" s="35">
        <f t="shared" si="4"/>
        <v>2293259.52</v>
      </c>
      <c r="X18" s="35">
        <f t="shared" si="5"/>
        <v>3869875.4400000004</v>
      </c>
      <c r="Y18" s="34">
        <v>84000</v>
      </c>
      <c r="Z18" s="34">
        <v>175200</v>
      </c>
      <c r="AA18" s="34">
        <v>435788</v>
      </c>
      <c r="AB18" s="34">
        <v>137609</v>
      </c>
      <c r="AC18" s="34">
        <v>365000</v>
      </c>
      <c r="AD18" s="34">
        <v>467200</v>
      </c>
      <c r="AE18" s="34">
        <v>180000</v>
      </c>
      <c r="AF18" s="34">
        <v>448000</v>
      </c>
      <c r="AG18" s="34">
        <v>67200</v>
      </c>
      <c r="AH18" s="34">
        <v>219000</v>
      </c>
      <c r="AI18" s="34">
        <v>116800</v>
      </c>
      <c r="AJ18" s="34">
        <v>87600</v>
      </c>
      <c r="AK18" s="34">
        <v>146000</v>
      </c>
      <c r="AL18" s="34">
        <v>63784</v>
      </c>
      <c r="AM18" s="35">
        <f t="shared" si="6"/>
        <v>40683700.880000003</v>
      </c>
      <c r="AN18" s="35">
        <f t="shared" si="7"/>
        <v>2298193</v>
      </c>
      <c r="AO18" s="35">
        <f t="shared" si="8"/>
        <v>42981893.880000003</v>
      </c>
      <c r="AP18" s="34">
        <v>41978978</v>
      </c>
      <c r="AQ18" s="26">
        <f>SUM(AP15:AP26)</f>
        <v>581522159</v>
      </c>
      <c r="AR18" s="26">
        <f>AQ18-SUM(AO15:AO17)</f>
        <v>456345203.25999999</v>
      </c>
      <c r="AS18" s="39">
        <v>9</v>
      </c>
      <c r="AT18" s="28">
        <f t="shared" si="9"/>
        <v>50705022.584444441</v>
      </c>
      <c r="AU18" s="29">
        <f t="shared" si="10"/>
        <v>7723128.7044444382</v>
      </c>
      <c r="AV18" s="26">
        <f t="shared" si="11"/>
        <v>413363309.38</v>
      </c>
      <c r="AW18" s="30">
        <f t="shared" si="12"/>
        <v>0.28917014943879377</v>
      </c>
      <c r="AX18" s="31" t="str">
        <f t="shared" si="13"/>
        <v>✓ Within Budget</v>
      </c>
    </row>
    <row r="19" spans="1:50" ht="15.1" customHeight="1" x14ac:dyDescent="0.35">
      <c r="A19" s="19" t="s">
        <v>143</v>
      </c>
      <c r="B19" s="20">
        <v>2023</v>
      </c>
      <c r="C19" s="21">
        <v>146</v>
      </c>
      <c r="D19" s="21">
        <v>2</v>
      </c>
      <c r="E19" s="21">
        <v>3</v>
      </c>
      <c r="F19" s="21">
        <v>3</v>
      </c>
      <c r="G19" s="22">
        <f t="shared" si="0"/>
        <v>145</v>
      </c>
      <c r="H19" s="21">
        <v>1</v>
      </c>
      <c r="I19" s="21">
        <v>135550</v>
      </c>
      <c r="J19" s="21">
        <v>7</v>
      </c>
      <c r="K19" s="21">
        <v>29</v>
      </c>
      <c r="L19" s="21">
        <v>50</v>
      </c>
      <c r="M19" s="21">
        <v>36</v>
      </c>
      <c r="N19" s="21">
        <v>23</v>
      </c>
      <c r="O19" s="23">
        <f t="shared" si="1"/>
        <v>0.24657534246575341</v>
      </c>
      <c r="P19" s="24">
        <v>9.8000000000000004E-2</v>
      </c>
      <c r="Q19" s="25">
        <v>83.98</v>
      </c>
      <c r="R19" s="20">
        <v>2033256</v>
      </c>
      <c r="S19" s="21">
        <v>87</v>
      </c>
      <c r="T19" s="22">
        <f t="shared" si="2"/>
        <v>57</v>
      </c>
      <c r="U19" s="40">
        <v>42918984</v>
      </c>
      <c r="V19" s="22">
        <f t="shared" si="3"/>
        <v>7725417.1200000001</v>
      </c>
      <c r="W19" s="22">
        <f t="shared" si="4"/>
        <v>3433518.72</v>
      </c>
      <c r="X19" s="22">
        <f t="shared" si="5"/>
        <v>5794062.8400000008</v>
      </c>
      <c r="Y19" s="21">
        <v>85500</v>
      </c>
      <c r="Z19" s="21">
        <v>174000</v>
      </c>
      <c r="AA19" s="40">
        <v>630368</v>
      </c>
      <c r="AB19" s="40">
        <v>97462</v>
      </c>
      <c r="AC19" s="21">
        <v>362500</v>
      </c>
      <c r="AD19" s="21">
        <v>464000</v>
      </c>
      <c r="AE19" s="21">
        <v>90000</v>
      </c>
      <c r="AF19" s="21">
        <v>456000</v>
      </c>
      <c r="AG19" s="21">
        <v>68400</v>
      </c>
      <c r="AH19" s="21">
        <v>217500</v>
      </c>
      <c r="AI19" s="21">
        <v>116000</v>
      </c>
      <c r="AJ19" s="21">
        <v>87000</v>
      </c>
      <c r="AK19" s="40">
        <v>195750</v>
      </c>
      <c r="AL19" s="21">
        <v>76399</v>
      </c>
      <c r="AM19" s="22">
        <f t="shared" si="6"/>
        <v>60761850.68</v>
      </c>
      <c r="AN19" s="22">
        <f t="shared" si="7"/>
        <v>2231011</v>
      </c>
      <c r="AO19" s="22">
        <f t="shared" si="8"/>
        <v>62992861.68</v>
      </c>
      <c r="AP19" s="21">
        <v>47649751</v>
      </c>
      <c r="AQ19" s="26">
        <f>SUM(AP15:AP26)</f>
        <v>581522159</v>
      </c>
      <c r="AR19" s="26">
        <f>AQ19-SUM(AO15:AO18)</f>
        <v>413363309.38</v>
      </c>
      <c r="AS19" s="27">
        <v>8</v>
      </c>
      <c r="AT19" s="28">
        <f t="shared" si="9"/>
        <v>51670413.672499999</v>
      </c>
      <c r="AU19" s="29">
        <f t="shared" si="10"/>
        <v>-11322448.0075</v>
      </c>
      <c r="AV19" s="26">
        <f t="shared" si="11"/>
        <v>350370447.69999999</v>
      </c>
      <c r="AW19" s="30">
        <f t="shared" si="12"/>
        <v>0.39749424458303406</v>
      </c>
      <c r="AX19" s="31" t="str">
        <f t="shared" si="13"/>
        <v>⚠ Over Budget</v>
      </c>
    </row>
    <row r="20" spans="1:50" ht="15.1" customHeight="1" x14ac:dyDescent="0.35">
      <c r="A20" s="32" t="s">
        <v>144</v>
      </c>
      <c r="B20" s="33">
        <v>2023</v>
      </c>
      <c r="C20" s="34">
        <v>145</v>
      </c>
      <c r="D20" s="34">
        <v>4</v>
      </c>
      <c r="E20" s="34">
        <v>3</v>
      </c>
      <c r="F20" s="34">
        <v>3</v>
      </c>
      <c r="G20" s="35">
        <f t="shared" si="0"/>
        <v>146</v>
      </c>
      <c r="H20" s="34">
        <v>2</v>
      </c>
      <c r="I20" s="34">
        <v>272202</v>
      </c>
      <c r="J20" s="34">
        <v>7</v>
      </c>
      <c r="K20" s="34">
        <v>32</v>
      </c>
      <c r="L20" s="34">
        <v>50</v>
      </c>
      <c r="M20" s="34">
        <v>35</v>
      </c>
      <c r="N20" s="34">
        <v>22</v>
      </c>
      <c r="O20" s="36">
        <f t="shared" si="1"/>
        <v>0.24827586206896551</v>
      </c>
      <c r="P20" s="37">
        <v>0.1021</v>
      </c>
      <c r="Q20" s="38">
        <v>84.53</v>
      </c>
      <c r="R20" s="33">
        <v>2041516</v>
      </c>
      <c r="S20" s="34">
        <v>88</v>
      </c>
      <c r="T20" s="35">
        <f t="shared" si="2"/>
        <v>56</v>
      </c>
      <c r="U20" s="34">
        <v>28964008</v>
      </c>
      <c r="V20" s="35">
        <f t="shared" si="3"/>
        <v>5213521.4399999995</v>
      </c>
      <c r="W20" s="35">
        <f t="shared" si="4"/>
        <v>2317120.64</v>
      </c>
      <c r="X20" s="35">
        <f t="shared" si="5"/>
        <v>3910141.08</v>
      </c>
      <c r="Y20" s="34">
        <v>96600</v>
      </c>
      <c r="Z20" s="34">
        <v>201480</v>
      </c>
      <c r="AA20" s="34">
        <v>411905</v>
      </c>
      <c r="AB20" s="34">
        <v>130468</v>
      </c>
      <c r="AC20" s="34">
        <v>365000</v>
      </c>
      <c r="AD20" s="34">
        <v>467200</v>
      </c>
      <c r="AE20" s="34">
        <v>180000</v>
      </c>
      <c r="AF20" s="34">
        <v>448000</v>
      </c>
      <c r="AG20" s="34">
        <v>67200</v>
      </c>
      <c r="AH20" s="34">
        <v>219000</v>
      </c>
      <c r="AI20" s="34">
        <v>116800</v>
      </c>
      <c r="AJ20" s="34">
        <v>87600</v>
      </c>
      <c r="AK20" s="34">
        <v>167900</v>
      </c>
      <c r="AL20" s="34">
        <v>72431</v>
      </c>
      <c r="AM20" s="35">
        <f t="shared" si="6"/>
        <v>41114776.159999996</v>
      </c>
      <c r="AN20" s="35">
        <f t="shared" si="7"/>
        <v>2321599</v>
      </c>
      <c r="AO20" s="35">
        <f t="shared" si="8"/>
        <v>43436375.159999996</v>
      </c>
      <c r="AP20" s="34">
        <v>50195641</v>
      </c>
      <c r="AQ20" s="26">
        <f>SUM(AP15:AP26)</f>
        <v>581522159</v>
      </c>
      <c r="AR20" s="26">
        <f>AQ20-SUM(AO15:AO19)</f>
        <v>350370447.69999999</v>
      </c>
      <c r="AS20" s="39">
        <v>7</v>
      </c>
      <c r="AT20" s="28">
        <f t="shared" si="9"/>
        <v>50052921.100000001</v>
      </c>
      <c r="AU20" s="29">
        <f t="shared" si="10"/>
        <v>6616545.9400000051</v>
      </c>
      <c r="AV20" s="26">
        <f t="shared" si="11"/>
        <v>306934072.53999996</v>
      </c>
      <c r="AW20" s="30">
        <f t="shared" si="12"/>
        <v>0.47218851803031642</v>
      </c>
      <c r="AX20" s="31" t="str">
        <f t="shared" si="13"/>
        <v>✓ Within Budget</v>
      </c>
    </row>
    <row r="21" spans="1:50" ht="15.1" customHeight="1" x14ac:dyDescent="0.35">
      <c r="A21" s="19" t="s">
        <v>145</v>
      </c>
      <c r="B21" s="20">
        <v>2023</v>
      </c>
      <c r="C21" s="21">
        <v>146</v>
      </c>
      <c r="D21" s="21">
        <v>5</v>
      </c>
      <c r="E21" s="21">
        <v>2</v>
      </c>
      <c r="F21" s="21">
        <v>2</v>
      </c>
      <c r="G21" s="22">
        <f t="shared" si="0"/>
        <v>149</v>
      </c>
      <c r="H21" s="21">
        <v>2</v>
      </c>
      <c r="I21" s="21">
        <v>275818</v>
      </c>
      <c r="J21" s="21">
        <v>5</v>
      </c>
      <c r="K21" s="21">
        <v>30</v>
      </c>
      <c r="L21" s="21">
        <v>53</v>
      </c>
      <c r="M21" s="21">
        <v>38</v>
      </c>
      <c r="N21" s="21">
        <v>23</v>
      </c>
      <c r="O21" s="23">
        <f t="shared" si="1"/>
        <v>0.16438356164383561</v>
      </c>
      <c r="P21" s="24">
        <v>9.9000000000000005E-2</v>
      </c>
      <c r="Q21" s="25">
        <v>84.8</v>
      </c>
      <c r="R21" s="20">
        <v>2068636</v>
      </c>
      <c r="S21" s="21">
        <v>89</v>
      </c>
      <c r="T21" s="22">
        <f t="shared" si="2"/>
        <v>58</v>
      </c>
      <c r="U21" s="21">
        <v>30452046</v>
      </c>
      <c r="V21" s="22">
        <f t="shared" si="3"/>
        <v>5481368.2800000003</v>
      </c>
      <c r="W21" s="22">
        <f t="shared" si="4"/>
        <v>2436163.6800000002</v>
      </c>
      <c r="X21" s="22">
        <f t="shared" si="5"/>
        <v>4111026.2100000004</v>
      </c>
      <c r="Y21" s="21">
        <v>100050</v>
      </c>
      <c r="Z21" s="21">
        <v>205620</v>
      </c>
      <c r="AA21" s="21">
        <v>450172</v>
      </c>
      <c r="AB21" s="21">
        <v>172397</v>
      </c>
      <c r="AC21" s="21">
        <v>484250</v>
      </c>
      <c r="AD21" s="21">
        <v>476800</v>
      </c>
      <c r="AE21" s="21">
        <v>225000</v>
      </c>
      <c r="AF21" s="21">
        <v>464000</v>
      </c>
      <c r="AG21" s="21">
        <v>69600</v>
      </c>
      <c r="AH21" s="21">
        <v>223500</v>
      </c>
      <c r="AI21" s="21">
        <v>119200</v>
      </c>
      <c r="AJ21" s="21">
        <v>89400</v>
      </c>
      <c r="AK21" s="21">
        <v>171350</v>
      </c>
      <c r="AL21" s="21">
        <v>69822</v>
      </c>
      <c r="AM21" s="22">
        <f t="shared" si="6"/>
        <v>43236446.170000002</v>
      </c>
      <c r="AN21" s="22">
        <f t="shared" si="7"/>
        <v>2565319</v>
      </c>
      <c r="AO21" s="22">
        <f t="shared" si="8"/>
        <v>45801765.170000002</v>
      </c>
      <c r="AP21" s="21">
        <v>49642751</v>
      </c>
      <c r="AQ21" s="26">
        <f>SUM(AP15:AP26)</f>
        <v>581522159</v>
      </c>
      <c r="AR21" s="26">
        <f>AQ21-SUM(AO15:AO20)</f>
        <v>306934072.53999996</v>
      </c>
      <c r="AS21" s="27">
        <v>6</v>
      </c>
      <c r="AT21" s="28">
        <f t="shared" si="9"/>
        <v>51155678.75666666</v>
      </c>
      <c r="AU21" s="29">
        <f t="shared" si="10"/>
        <v>5353913.5866666585</v>
      </c>
      <c r="AV21" s="26">
        <f t="shared" si="11"/>
        <v>261132307.36999995</v>
      </c>
      <c r="AW21" s="30">
        <f t="shared" si="12"/>
        <v>0.55095037509997968</v>
      </c>
      <c r="AX21" s="31" t="str">
        <f t="shared" si="13"/>
        <v>✓ Within Budget</v>
      </c>
    </row>
    <row r="22" spans="1:50" ht="15.1" customHeight="1" x14ac:dyDescent="0.35">
      <c r="A22" s="32" t="s">
        <v>146</v>
      </c>
      <c r="B22" s="33">
        <v>2023</v>
      </c>
      <c r="C22" s="34">
        <v>149</v>
      </c>
      <c r="D22" s="34">
        <v>4</v>
      </c>
      <c r="E22" s="34">
        <v>3</v>
      </c>
      <c r="F22" s="34">
        <v>3</v>
      </c>
      <c r="G22" s="35">
        <f t="shared" si="0"/>
        <v>150</v>
      </c>
      <c r="H22" s="34">
        <v>2</v>
      </c>
      <c r="I22" s="34">
        <v>276314</v>
      </c>
      <c r="J22" s="34">
        <v>7</v>
      </c>
      <c r="K22" s="34">
        <v>30</v>
      </c>
      <c r="L22" s="34">
        <v>53</v>
      </c>
      <c r="M22" s="34">
        <v>38</v>
      </c>
      <c r="N22" s="34">
        <v>22</v>
      </c>
      <c r="O22" s="36">
        <f t="shared" si="1"/>
        <v>0.24161073825503354</v>
      </c>
      <c r="P22" s="37">
        <v>9.7000000000000003E-2</v>
      </c>
      <c r="Q22" s="38">
        <v>84.48</v>
      </c>
      <c r="R22" s="33">
        <v>2072352</v>
      </c>
      <c r="S22" s="34">
        <v>90</v>
      </c>
      <c r="T22" s="35">
        <f t="shared" si="2"/>
        <v>58</v>
      </c>
      <c r="U22" s="41">
        <v>50108176</v>
      </c>
      <c r="V22" s="35">
        <f t="shared" si="3"/>
        <v>9019471.6799999997</v>
      </c>
      <c r="W22" s="35">
        <f t="shared" si="4"/>
        <v>4008654.08</v>
      </c>
      <c r="X22" s="35">
        <f t="shared" si="5"/>
        <v>6764603.7600000007</v>
      </c>
      <c r="Y22" s="34">
        <v>97440</v>
      </c>
      <c r="Z22" s="34">
        <v>201600</v>
      </c>
      <c r="AA22" s="41">
        <v>635986</v>
      </c>
      <c r="AB22" s="41">
        <v>182397</v>
      </c>
      <c r="AC22" s="34">
        <v>375000</v>
      </c>
      <c r="AD22" s="34">
        <v>480000</v>
      </c>
      <c r="AE22" s="34">
        <v>180000</v>
      </c>
      <c r="AF22" s="34">
        <v>464000</v>
      </c>
      <c r="AG22" s="34">
        <v>69600</v>
      </c>
      <c r="AH22" s="34">
        <v>225000</v>
      </c>
      <c r="AI22" s="34">
        <v>120000</v>
      </c>
      <c r="AJ22" s="34">
        <v>90000</v>
      </c>
      <c r="AK22" s="41">
        <v>226800</v>
      </c>
      <c r="AL22" s="34">
        <v>89757</v>
      </c>
      <c r="AM22" s="35">
        <f t="shared" si="6"/>
        <v>70835931.519999996</v>
      </c>
      <c r="AN22" s="35">
        <f t="shared" si="7"/>
        <v>2502554</v>
      </c>
      <c r="AO22" s="35">
        <f t="shared" si="8"/>
        <v>73338485.519999996</v>
      </c>
      <c r="AP22" s="34">
        <v>52760221</v>
      </c>
      <c r="AQ22" s="26">
        <f>SUM(AP15:AP26)</f>
        <v>581522159</v>
      </c>
      <c r="AR22" s="26">
        <f>AQ22-SUM(AO15:AO21)</f>
        <v>261132307.36999995</v>
      </c>
      <c r="AS22" s="39">
        <v>5</v>
      </c>
      <c r="AT22" s="28">
        <f t="shared" si="9"/>
        <v>52226461.473999992</v>
      </c>
      <c r="AU22" s="29">
        <f t="shared" si="10"/>
        <v>-21112024.046000004</v>
      </c>
      <c r="AV22" s="26">
        <f t="shared" si="11"/>
        <v>187793821.84999996</v>
      </c>
      <c r="AW22" s="30">
        <f t="shared" si="12"/>
        <v>0.6770650628809487</v>
      </c>
      <c r="AX22" s="31" t="str">
        <f t="shared" si="13"/>
        <v>⚠ Over Budget</v>
      </c>
    </row>
    <row r="23" spans="1:50" ht="15.1" customHeight="1" x14ac:dyDescent="0.35">
      <c r="A23" s="19" t="s">
        <v>147</v>
      </c>
      <c r="B23" s="20">
        <v>2023</v>
      </c>
      <c r="C23" s="21">
        <v>150</v>
      </c>
      <c r="D23" s="21">
        <v>5</v>
      </c>
      <c r="E23" s="21">
        <v>2</v>
      </c>
      <c r="F23" s="21">
        <v>2</v>
      </c>
      <c r="G23" s="22">
        <f t="shared" si="0"/>
        <v>153</v>
      </c>
      <c r="H23" s="21">
        <v>2</v>
      </c>
      <c r="I23" s="21">
        <v>280737</v>
      </c>
      <c r="J23" s="21">
        <v>7</v>
      </c>
      <c r="K23" s="21">
        <v>31</v>
      </c>
      <c r="L23" s="21">
        <v>53</v>
      </c>
      <c r="M23" s="21">
        <v>37</v>
      </c>
      <c r="N23" s="21">
        <v>25</v>
      </c>
      <c r="O23" s="23">
        <f t="shared" si="1"/>
        <v>0.16</v>
      </c>
      <c r="P23" s="24">
        <v>0.1028</v>
      </c>
      <c r="Q23" s="25">
        <v>84.03</v>
      </c>
      <c r="R23" s="20">
        <v>2105529</v>
      </c>
      <c r="S23" s="21">
        <v>92</v>
      </c>
      <c r="T23" s="22">
        <f t="shared" si="2"/>
        <v>59</v>
      </c>
      <c r="U23" s="21">
        <v>31749623</v>
      </c>
      <c r="V23" s="22">
        <f t="shared" si="3"/>
        <v>5714932.1399999997</v>
      </c>
      <c r="W23" s="22">
        <f t="shared" si="4"/>
        <v>2539969.84</v>
      </c>
      <c r="X23" s="22">
        <f t="shared" si="5"/>
        <v>4286199.1050000004</v>
      </c>
      <c r="Y23" s="21">
        <v>88500</v>
      </c>
      <c r="Z23" s="21">
        <v>183600</v>
      </c>
      <c r="AA23" s="21">
        <v>472170</v>
      </c>
      <c r="AB23" s="21">
        <v>175007</v>
      </c>
      <c r="AC23" s="21">
        <v>382500</v>
      </c>
      <c r="AD23" s="21">
        <v>489600</v>
      </c>
      <c r="AE23" s="21">
        <v>225000</v>
      </c>
      <c r="AF23" s="21">
        <v>472000</v>
      </c>
      <c r="AG23" s="21">
        <v>70800</v>
      </c>
      <c r="AH23" s="21">
        <v>229500</v>
      </c>
      <c r="AI23" s="21">
        <v>122400</v>
      </c>
      <c r="AJ23" s="21">
        <v>91800</v>
      </c>
      <c r="AK23" s="21">
        <v>153000</v>
      </c>
      <c r="AL23" s="21">
        <v>80226</v>
      </c>
      <c r="AM23" s="22">
        <f t="shared" si="6"/>
        <v>45034994.085000008</v>
      </c>
      <c r="AN23" s="22">
        <f t="shared" si="7"/>
        <v>2491833</v>
      </c>
      <c r="AO23" s="22">
        <f t="shared" si="8"/>
        <v>47526827.085000008</v>
      </c>
      <c r="AP23" s="21">
        <v>48083650</v>
      </c>
      <c r="AQ23" s="26">
        <f>SUM(AP15:AP26)</f>
        <v>581522159</v>
      </c>
      <c r="AR23" s="26">
        <f>AQ23-SUM(AO15:AO22)</f>
        <v>187793821.84999996</v>
      </c>
      <c r="AS23" s="27">
        <v>4</v>
      </c>
      <c r="AT23" s="28">
        <f t="shared" si="9"/>
        <v>46948455.462499991</v>
      </c>
      <c r="AU23" s="29">
        <f t="shared" si="10"/>
        <v>-578371.62250001729</v>
      </c>
      <c r="AV23" s="26">
        <f t="shared" si="11"/>
        <v>140266994.76499996</v>
      </c>
      <c r="AW23" s="30">
        <f t="shared" si="12"/>
        <v>0.75879337941961389</v>
      </c>
      <c r="AX23" s="31" t="str">
        <f t="shared" si="13"/>
        <v>⚠ Over Budget</v>
      </c>
    </row>
    <row r="24" spans="1:50" ht="15.1" customHeight="1" x14ac:dyDescent="0.35">
      <c r="A24" s="32" t="s">
        <v>148</v>
      </c>
      <c r="B24" s="33">
        <v>2024</v>
      </c>
      <c r="C24" s="34">
        <v>153</v>
      </c>
      <c r="D24" s="34">
        <v>2</v>
      </c>
      <c r="E24" s="34">
        <v>2</v>
      </c>
      <c r="F24" s="34">
        <v>2</v>
      </c>
      <c r="G24" s="35">
        <f t="shared" si="0"/>
        <v>153</v>
      </c>
      <c r="H24" s="34">
        <v>3</v>
      </c>
      <c r="I24" s="34">
        <v>423507</v>
      </c>
      <c r="J24" s="34">
        <v>9</v>
      </c>
      <c r="K24" s="34">
        <v>33</v>
      </c>
      <c r="L24" s="34">
        <v>51</v>
      </c>
      <c r="M24" s="34">
        <v>36</v>
      </c>
      <c r="N24" s="34">
        <v>24</v>
      </c>
      <c r="O24" s="36">
        <f t="shared" si="1"/>
        <v>0.15686274509803921</v>
      </c>
      <c r="P24" s="37">
        <v>0.1104</v>
      </c>
      <c r="Q24" s="38">
        <v>85.48</v>
      </c>
      <c r="R24" s="33">
        <v>2117533</v>
      </c>
      <c r="S24" s="34">
        <v>92</v>
      </c>
      <c r="T24" s="35">
        <f t="shared" si="2"/>
        <v>58</v>
      </c>
      <c r="U24" s="34">
        <v>31471834</v>
      </c>
      <c r="V24" s="35">
        <f t="shared" si="3"/>
        <v>5664930.1200000001</v>
      </c>
      <c r="W24" s="35">
        <f t="shared" si="4"/>
        <v>2517746.7200000002</v>
      </c>
      <c r="X24" s="35">
        <f t="shared" si="5"/>
        <v>4248697.59</v>
      </c>
      <c r="Y24" s="34">
        <v>93960</v>
      </c>
      <c r="Z24" s="34">
        <v>198288</v>
      </c>
      <c r="AA24" s="34">
        <v>460666</v>
      </c>
      <c r="AB24" s="34">
        <v>80050</v>
      </c>
      <c r="AC24" s="34">
        <v>382500</v>
      </c>
      <c r="AD24" s="34">
        <v>489600</v>
      </c>
      <c r="AE24" s="34">
        <v>90000</v>
      </c>
      <c r="AF24" s="34">
        <v>464000</v>
      </c>
      <c r="AG24" s="34">
        <v>69600</v>
      </c>
      <c r="AH24" s="34">
        <v>229500</v>
      </c>
      <c r="AI24" s="34">
        <v>122400</v>
      </c>
      <c r="AJ24" s="34">
        <v>91800</v>
      </c>
      <c r="AK24" s="34">
        <v>165240</v>
      </c>
      <c r="AL24" s="34">
        <v>81652</v>
      </c>
      <c r="AM24" s="35">
        <f t="shared" si="6"/>
        <v>44656122.429999992</v>
      </c>
      <c r="AN24" s="35">
        <f t="shared" si="7"/>
        <v>2266342</v>
      </c>
      <c r="AO24" s="35">
        <f t="shared" si="8"/>
        <v>46922464.429999992</v>
      </c>
      <c r="AP24" s="34">
        <v>48006362</v>
      </c>
      <c r="AQ24" s="26">
        <f>SUM(AP15:AP26)</f>
        <v>581522159</v>
      </c>
      <c r="AR24" s="26">
        <f>AQ24-SUM(AO15:AO23)</f>
        <v>140266994.76499999</v>
      </c>
      <c r="AS24" s="39">
        <v>3</v>
      </c>
      <c r="AT24" s="28">
        <f t="shared" si="9"/>
        <v>46755664.921666659</v>
      </c>
      <c r="AU24" s="29">
        <f t="shared" si="10"/>
        <v>-166799.50833333284</v>
      </c>
      <c r="AV24" s="26">
        <f t="shared" si="11"/>
        <v>93344530.334999993</v>
      </c>
      <c r="AW24" s="30">
        <f t="shared" si="12"/>
        <v>0.83948241887202102</v>
      </c>
      <c r="AX24" s="31" t="str">
        <f t="shared" si="13"/>
        <v>⚠ Over Budget</v>
      </c>
    </row>
    <row r="25" spans="1:50" ht="15.1" customHeight="1" x14ac:dyDescent="0.35">
      <c r="A25" s="19" t="s">
        <v>149</v>
      </c>
      <c r="B25" s="20">
        <v>2024</v>
      </c>
      <c r="C25" s="21">
        <v>153</v>
      </c>
      <c r="D25" s="21">
        <v>4</v>
      </c>
      <c r="E25" s="21">
        <v>2</v>
      </c>
      <c r="F25" s="21">
        <v>2</v>
      </c>
      <c r="G25" s="22">
        <f t="shared" si="0"/>
        <v>155</v>
      </c>
      <c r="H25" s="21">
        <v>2</v>
      </c>
      <c r="I25" s="21">
        <v>284269</v>
      </c>
      <c r="J25" s="21">
        <v>7</v>
      </c>
      <c r="K25" s="21">
        <v>32</v>
      </c>
      <c r="L25" s="21">
        <v>52</v>
      </c>
      <c r="M25" s="21">
        <v>39</v>
      </c>
      <c r="N25" s="21">
        <v>25</v>
      </c>
      <c r="O25" s="23">
        <f t="shared" si="1"/>
        <v>0.15686274509803921</v>
      </c>
      <c r="P25" s="24">
        <v>9.5899999999999999E-2</v>
      </c>
      <c r="Q25" s="25">
        <v>85.16</v>
      </c>
      <c r="R25" s="20">
        <v>2132020</v>
      </c>
      <c r="S25" s="21">
        <v>93</v>
      </c>
      <c r="T25" s="22">
        <f t="shared" si="2"/>
        <v>60</v>
      </c>
      <c r="U25" s="21">
        <v>32611023</v>
      </c>
      <c r="V25" s="22">
        <f t="shared" si="3"/>
        <v>5869984.1399999997</v>
      </c>
      <c r="W25" s="22">
        <f t="shared" si="4"/>
        <v>2608881.84</v>
      </c>
      <c r="X25" s="22">
        <f t="shared" si="5"/>
        <v>4402488.1050000004</v>
      </c>
      <c r="Y25" s="21">
        <v>97200</v>
      </c>
      <c r="Z25" s="21">
        <v>200880</v>
      </c>
      <c r="AA25" s="21">
        <v>482268</v>
      </c>
      <c r="AB25" s="21">
        <v>143239</v>
      </c>
      <c r="AC25" s="21">
        <v>387500</v>
      </c>
      <c r="AD25" s="21">
        <v>496000</v>
      </c>
      <c r="AE25" s="21">
        <v>180000</v>
      </c>
      <c r="AF25" s="21">
        <v>480000</v>
      </c>
      <c r="AG25" s="21">
        <v>72000</v>
      </c>
      <c r="AH25" s="21">
        <v>232500</v>
      </c>
      <c r="AI25" s="21">
        <v>124000</v>
      </c>
      <c r="AJ25" s="21">
        <v>93000</v>
      </c>
      <c r="AK25" s="21">
        <v>167400</v>
      </c>
      <c r="AL25" s="21">
        <v>78276</v>
      </c>
      <c r="AM25" s="22">
        <f t="shared" si="6"/>
        <v>46272725.085000008</v>
      </c>
      <c r="AN25" s="22">
        <f t="shared" si="7"/>
        <v>2453915</v>
      </c>
      <c r="AO25" s="22">
        <f t="shared" si="8"/>
        <v>48726640.085000008</v>
      </c>
      <c r="AP25" s="21">
        <v>51353830</v>
      </c>
      <c r="AQ25" s="26">
        <f>SUM(AP15:AP26)</f>
        <v>581522159</v>
      </c>
      <c r="AR25" s="26">
        <f>AQ25-SUM(AO15:AO24)</f>
        <v>93344530.334999979</v>
      </c>
      <c r="AS25" s="27">
        <v>2</v>
      </c>
      <c r="AT25" s="28">
        <f t="shared" si="9"/>
        <v>46672265.167499989</v>
      </c>
      <c r="AU25" s="29">
        <f t="shared" si="10"/>
        <v>-2054374.9175000191</v>
      </c>
      <c r="AV25" s="26">
        <f t="shared" si="11"/>
        <v>44617890.24999997</v>
      </c>
      <c r="AW25" s="30">
        <f t="shared" si="12"/>
        <v>0.92327396375277249</v>
      </c>
      <c r="AX25" s="31" t="str">
        <f t="shared" si="13"/>
        <v>⚠ Over Budget</v>
      </c>
    </row>
    <row r="26" spans="1:50" ht="15.1" customHeight="1" x14ac:dyDescent="0.35">
      <c r="A26" s="32" t="s">
        <v>150</v>
      </c>
      <c r="B26" s="33">
        <v>2024</v>
      </c>
      <c r="C26" s="34">
        <v>155</v>
      </c>
      <c r="D26" s="34">
        <v>6</v>
      </c>
      <c r="E26" s="34">
        <v>4</v>
      </c>
      <c r="F26" s="34">
        <v>4</v>
      </c>
      <c r="G26" s="35">
        <f t="shared" si="0"/>
        <v>157</v>
      </c>
      <c r="H26" s="34">
        <v>2</v>
      </c>
      <c r="I26" s="34">
        <v>285845</v>
      </c>
      <c r="J26" s="34">
        <v>7</v>
      </c>
      <c r="K26" s="34">
        <v>31</v>
      </c>
      <c r="L26" s="34">
        <v>56</v>
      </c>
      <c r="M26" s="34">
        <v>39</v>
      </c>
      <c r="N26" s="34">
        <v>24</v>
      </c>
      <c r="O26" s="36">
        <f t="shared" si="1"/>
        <v>0.30967741935483872</v>
      </c>
      <c r="P26" s="37">
        <v>9.9099999999999994E-2</v>
      </c>
      <c r="Q26" s="38">
        <v>85.38</v>
      </c>
      <c r="R26" s="33">
        <v>2143840</v>
      </c>
      <c r="S26" s="34">
        <v>94</v>
      </c>
      <c r="T26" s="35">
        <f t="shared" si="2"/>
        <v>61</v>
      </c>
      <c r="U26" s="34">
        <v>33024069</v>
      </c>
      <c r="V26" s="35">
        <f t="shared" si="3"/>
        <v>5944332.4199999999</v>
      </c>
      <c r="W26" s="35">
        <f t="shared" si="4"/>
        <v>2641925.52</v>
      </c>
      <c r="X26" s="35">
        <f t="shared" si="5"/>
        <v>4458249.3150000004</v>
      </c>
      <c r="Y26" s="34">
        <v>96990</v>
      </c>
      <c r="Z26" s="34">
        <v>199704</v>
      </c>
      <c r="AA26" s="34">
        <v>503000</v>
      </c>
      <c r="AB26" s="34">
        <v>209084</v>
      </c>
      <c r="AC26" s="34">
        <v>392500</v>
      </c>
      <c r="AD26" s="34">
        <v>502400</v>
      </c>
      <c r="AE26" s="34">
        <v>270000</v>
      </c>
      <c r="AF26" s="34">
        <v>488000</v>
      </c>
      <c r="AG26" s="34">
        <v>73200</v>
      </c>
      <c r="AH26" s="34">
        <v>235500</v>
      </c>
      <c r="AI26" s="34">
        <v>125600</v>
      </c>
      <c r="AJ26" s="34">
        <v>94200</v>
      </c>
      <c r="AK26" s="34">
        <v>166420</v>
      </c>
      <c r="AL26" s="34">
        <v>85137</v>
      </c>
      <c r="AM26" s="35">
        <f t="shared" si="6"/>
        <v>46868270.255000003</v>
      </c>
      <c r="AN26" s="35">
        <f t="shared" si="7"/>
        <v>2642041</v>
      </c>
      <c r="AO26" s="35">
        <f t="shared" si="8"/>
        <v>49510311.255000003</v>
      </c>
      <c r="AP26" s="34">
        <v>53710965</v>
      </c>
      <c r="AQ26" s="26">
        <f>SUM(AP15:AP26)</f>
        <v>581522159</v>
      </c>
      <c r="AR26" s="26">
        <f>AQ26-SUM(AO15:AO25)</f>
        <v>44617890.25</v>
      </c>
      <c r="AS26" s="39">
        <v>1</v>
      </c>
      <c r="AT26" s="28">
        <f t="shared" si="9"/>
        <v>44617890.25</v>
      </c>
      <c r="AU26" s="29">
        <f t="shared" si="10"/>
        <v>-4892421.0050000027</v>
      </c>
      <c r="AV26" s="26">
        <f t="shared" si="11"/>
        <v>-4892421.0050000027</v>
      </c>
      <c r="AW26" s="30">
        <f t="shared" si="12"/>
        <v>1.0084131291117318</v>
      </c>
      <c r="AX26" s="31" t="str">
        <f t="shared" si="13"/>
        <v>⚠ Over Budget</v>
      </c>
    </row>
    <row r="27" spans="1:50" ht="15.1" customHeight="1" x14ac:dyDescent="0.35">
      <c r="A27" s="19" t="s">
        <v>151</v>
      </c>
      <c r="B27" s="20">
        <v>2024</v>
      </c>
      <c r="C27" s="21">
        <v>157</v>
      </c>
      <c r="D27" s="21">
        <v>5</v>
      </c>
      <c r="E27" s="21">
        <v>3</v>
      </c>
      <c r="F27" s="21">
        <v>3</v>
      </c>
      <c r="G27" s="22">
        <f t="shared" si="0"/>
        <v>159</v>
      </c>
      <c r="H27" s="21">
        <v>2</v>
      </c>
      <c r="I27" s="21">
        <v>285936</v>
      </c>
      <c r="J27" s="21">
        <v>7</v>
      </c>
      <c r="K27" s="21">
        <v>31</v>
      </c>
      <c r="L27" s="21">
        <v>56</v>
      </c>
      <c r="M27" s="21">
        <v>40</v>
      </c>
      <c r="N27" s="21">
        <v>25</v>
      </c>
      <c r="O27" s="23">
        <f t="shared" si="1"/>
        <v>0.22929936305732485</v>
      </c>
      <c r="P27" s="24">
        <v>0.13139999999999999</v>
      </c>
      <c r="Q27" s="25">
        <v>85.31</v>
      </c>
      <c r="R27" s="20">
        <v>2144520</v>
      </c>
      <c r="S27" s="21">
        <v>95</v>
      </c>
      <c r="T27" s="22">
        <f t="shared" si="2"/>
        <v>62</v>
      </c>
      <c r="U27" s="21">
        <v>33624286</v>
      </c>
      <c r="V27" s="22">
        <f t="shared" si="3"/>
        <v>6052371.4799999995</v>
      </c>
      <c r="W27" s="22">
        <f t="shared" si="4"/>
        <v>2689942.88</v>
      </c>
      <c r="X27" s="22">
        <f t="shared" si="5"/>
        <v>4539278.6100000003</v>
      </c>
      <c r="Y27" s="21">
        <v>102300</v>
      </c>
      <c r="Z27" s="21">
        <v>209880</v>
      </c>
      <c r="AA27" s="21">
        <v>500550</v>
      </c>
      <c r="AB27" s="21">
        <v>174623</v>
      </c>
      <c r="AC27" s="21">
        <v>516750</v>
      </c>
      <c r="AD27" s="21">
        <v>508800</v>
      </c>
      <c r="AE27" s="21">
        <v>225000</v>
      </c>
      <c r="AF27" s="21">
        <v>496000</v>
      </c>
      <c r="AG27" s="21">
        <v>74400</v>
      </c>
      <c r="AH27" s="21">
        <v>238500</v>
      </c>
      <c r="AI27" s="21">
        <v>127200</v>
      </c>
      <c r="AJ27" s="21">
        <v>95400</v>
      </c>
      <c r="AK27" s="21">
        <v>174900</v>
      </c>
      <c r="AL27" s="21">
        <v>67592</v>
      </c>
      <c r="AM27" s="22">
        <f t="shared" si="6"/>
        <v>47718608.969999999</v>
      </c>
      <c r="AN27" s="22">
        <f t="shared" si="7"/>
        <v>2699165</v>
      </c>
      <c r="AO27" s="22">
        <f t="shared" si="8"/>
        <v>50417773.969999999</v>
      </c>
      <c r="AP27" s="21">
        <v>55336454</v>
      </c>
      <c r="AQ27" s="26">
        <f>SUM(AP27:AP38)</f>
        <v>702256173</v>
      </c>
      <c r="AR27" s="26">
        <f>AQ27</f>
        <v>702256173</v>
      </c>
      <c r="AS27" s="27">
        <v>12</v>
      </c>
      <c r="AT27" s="28">
        <f t="shared" si="9"/>
        <v>58521347.75</v>
      </c>
      <c r="AU27" s="29">
        <f t="shared" si="10"/>
        <v>8103573.7800000012</v>
      </c>
      <c r="AV27" s="26">
        <f t="shared" si="11"/>
        <v>651838399.02999997</v>
      </c>
      <c r="AW27" s="30">
        <f t="shared" si="12"/>
        <v>7.1793991862852624E-2</v>
      </c>
      <c r="AX27" s="31" t="str">
        <f t="shared" si="13"/>
        <v>✓ Within Budget</v>
      </c>
    </row>
    <row r="28" spans="1:50" ht="15.1" customHeight="1" x14ac:dyDescent="0.35">
      <c r="A28" s="32" t="s">
        <v>152</v>
      </c>
      <c r="B28" s="33">
        <v>2024</v>
      </c>
      <c r="C28" s="34">
        <v>159</v>
      </c>
      <c r="D28" s="34">
        <v>6</v>
      </c>
      <c r="E28" s="34">
        <v>3</v>
      </c>
      <c r="F28" s="34">
        <v>3</v>
      </c>
      <c r="G28" s="35">
        <f t="shared" si="0"/>
        <v>162</v>
      </c>
      <c r="H28" s="34">
        <v>2</v>
      </c>
      <c r="I28" s="34">
        <v>290642</v>
      </c>
      <c r="J28" s="34">
        <v>7</v>
      </c>
      <c r="K28" s="34">
        <v>34</v>
      </c>
      <c r="L28" s="34">
        <v>57</v>
      </c>
      <c r="M28" s="34">
        <v>40</v>
      </c>
      <c r="N28" s="34">
        <v>24</v>
      </c>
      <c r="O28" s="36">
        <f t="shared" si="1"/>
        <v>0.22641509433962265</v>
      </c>
      <c r="P28" s="37">
        <v>0.1048</v>
      </c>
      <c r="Q28" s="38">
        <v>85.19</v>
      </c>
      <c r="R28" s="33">
        <v>2179818</v>
      </c>
      <c r="S28" s="34">
        <v>97</v>
      </c>
      <c r="T28" s="35">
        <f t="shared" si="2"/>
        <v>63</v>
      </c>
      <c r="U28" s="34">
        <v>34450207</v>
      </c>
      <c r="V28" s="35">
        <f t="shared" si="3"/>
        <v>6201037.2599999998</v>
      </c>
      <c r="W28" s="35">
        <f t="shared" si="4"/>
        <v>2756016.56</v>
      </c>
      <c r="X28" s="35">
        <f t="shared" si="5"/>
        <v>4650777.9450000003</v>
      </c>
      <c r="Y28" s="34">
        <v>103950</v>
      </c>
      <c r="Z28" s="34">
        <v>213840</v>
      </c>
      <c r="AA28" s="34">
        <v>524032</v>
      </c>
      <c r="AB28" s="34">
        <v>213746</v>
      </c>
      <c r="AC28" s="34">
        <v>526500</v>
      </c>
      <c r="AD28" s="34">
        <v>518400</v>
      </c>
      <c r="AE28" s="34">
        <v>270000</v>
      </c>
      <c r="AF28" s="34">
        <v>504000</v>
      </c>
      <c r="AG28" s="34">
        <v>75600</v>
      </c>
      <c r="AH28" s="34">
        <v>243000</v>
      </c>
      <c r="AI28" s="34">
        <v>129600</v>
      </c>
      <c r="AJ28" s="34">
        <v>97200</v>
      </c>
      <c r="AK28" s="34">
        <v>178200</v>
      </c>
      <c r="AL28" s="34">
        <v>92198</v>
      </c>
      <c r="AM28" s="35">
        <f t="shared" si="6"/>
        <v>48899860.765000001</v>
      </c>
      <c r="AN28" s="35">
        <f t="shared" si="7"/>
        <v>2848444</v>
      </c>
      <c r="AO28" s="35">
        <f t="shared" si="8"/>
        <v>51748304.765000001</v>
      </c>
      <c r="AP28" s="34">
        <v>56281235</v>
      </c>
      <c r="AQ28" s="26">
        <f>SUM(AP27:AP38)</f>
        <v>702256173</v>
      </c>
      <c r="AR28" s="26">
        <f>AQ28-SUM(AO27:AO27)</f>
        <v>651838399.02999997</v>
      </c>
      <c r="AS28" s="39">
        <v>11</v>
      </c>
      <c r="AT28" s="28">
        <f t="shared" si="9"/>
        <v>59258036.275454544</v>
      </c>
      <c r="AU28" s="29">
        <f t="shared" si="10"/>
        <v>7509731.5104545429</v>
      </c>
      <c r="AV28" s="26">
        <f t="shared" si="11"/>
        <v>600090094.26499999</v>
      </c>
      <c r="AW28" s="30">
        <f t="shared" si="12"/>
        <v>0.14548263534452407</v>
      </c>
      <c r="AX28" s="31" t="str">
        <f t="shared" si="13"/>
        <v>✓ Within Budget</v>
      </c>
    </row>
    <row r="29" spans="1:50" ht="15.1" customHeight="1" x14ac:dyDescent="0.35">
      <c r="A29" s="19" t="s">
        <v>153</v>
      </c>
      <c r="B29" s="20">
        <v>2024</v>
      </c>
      <c r="C29" s="21">
        <v>162</v>
      </c>
      <c r="D29" s="21">
        <v>5</v>
      </c>
      <c r="E29" s="21">
        <v>3</v>
      </c>
      <c r="F29" s="21">
        <v>3</v>
      </c>
      <c r="G29" s="22">
        <f t="shared" si="0"/>
        <v>164</v>
      </c>
      <c r="H29" s="21">
        <v>2</v>
      </c>
      <c r="I29" s="21">
        <v>291136</v>
      </c>
      <c r="J29" s="21">
        <v>9</v>
      </c>
      <c r="K29" s="21">
        <v>34</v>
      </c>
      <c r="L29" s="21">
        <v>56</v>
      </c>
      <c r="M29" s="21">
        <v>40</v>
      </c>
      <c r="N29" s="21">
        <v>25</v>
      </c>
      <c r="O29" s="23">
        <f t="shared" si="1"/>
        <v>0.22222222222222221</v>
      </c>
      <c r="P29" s="24">
        <v>9.6799999999999997E-2</v>
      </c>
      <c r="Q29" s="25">
        <v>85.22</v>
      </c>
      <c r="R29" s="20">
        <v>2183519</v>
      </c>
      <c r="S29" s="21">
        <v>98</v>
      </c>
      <c r="T29" s="22">
        <f t="shared" si="2"/>
        <v>64</v>
      </c>
      <c r="U29" s="40">
        <v>50565296</v>
      </c>
      <c r="V29" s="22">
        <f t="shared" si="3"/>
        <v>9101753.2799999993</v>
      </c>
      <c r="W29" s="22">
        <f t="shared" si="4"/>
        <v>4045223.68</v>
      </c>
      <c r="X29" s="22">
        <f t="shared" si="5"/>
        <v>6826314.9600000009</v>
      </c>
      <c r="Y29" s="21">
        <v>100800</v>
      </c>
      <c r="Z29" s="21">
        <v>206640</v>
      </c>
      <c r="AA29" s="40">
        <v>735775</v>
      </c>
      <c r="AB29" s="40">
        <v>213713</v>
      </c>
      <c r="AC29" s="21">
        <v>410000</v>
      </c>
      <c r="AD29" s="21">
        <v>524800</v>
      </c>
      <c r="AE29" s="21">
        <v>225000</v>
      </c>
      <c r="AF29" s="21">
        <v>512000</v>
      </c>
      <c r="AG29" s="21">
        <v>76800</v>
      </c>
      <c r="AH29" s="21">
        <v>246000</v>
      </c>
      <c r="AI29" s="21">
        <v>131200</v>
      </c>
      <c r="AJ29" s="21">
        <v>98400</v>
      </c>
      <c r="AK29" s="40">
        <v>232470</v>
      </c>
      <c r="AL29" s="21">
        <v>84886</v>
      </c>
      <c r="AM29" s="22">
        <f t="shared" si="6"/>
        <v>71581802.920000002</v>
      </c>
      <c r="AN29" s="22">
        <f t="shared" si="7"/>
        <v>2755269</v>
      </c>
      <c r="AO29" s="22">
        <f t="shared" si="8"/>
        <v>74337071.920000002</v>
      </c>
      <c r="AP29" s="21">
        <v>55165059</v>
      </c>
      <c r="AQ29" s="26">
        <f>SUM(AP27:AP38)</f>
        <v>702256173</v>
      </c>
      <c r="AR29" s="26">
        <f>AQ29-SUM(AO27:AO28)</f>
        <v>600090094.26499999</v>
      </c>
      <c r="AS29" s="27">
        <v>10</v>
      </c>
      <c r="AT29" s="28">
        <f t="shared" si="9"/>
        <v>60009009.4265</v>
      </c>
      <c r="AU29" s="29">
        <f t="shared" si="10"/>
        <v>-14328062.493500002</v>
      </c>
      <c r="AV29" s="26">
        <f t="shared" si="11"/>
        <v>525753022.34499997</v>
      </c>
      <c r="AW29" s="30">
        <f t="shared" si="12"/>
        <v>0.2513372718405425</v>
      </c>
      <c r="AX29" s="31" t="str">
        <f t="shared" si="13"/>
        <v>⚠ Over Budget</v>
      </c>
    </row>
    <row r="30" spans="1:50" ht="15.1" customHeight="1" x14ac:dyDescent="0.35">
      <c r="A30" s="32" t="s">
        <v>154</v>
      </c>
      <c r="B30" s="33">
        <v>2024</v>
      </c>
      <c r="C30" s="34">
        <v>164</v>
      </c>
      <c r="D30" s="34">
        <v>4</v>
      </c>
      <c r="E30" s="34">
        <v>3</v>
      </c>
      <c r="F30" s="34">
        <v>3</v>
      </c>
      <c r="G30" s="35">
        <f t="shared" si="0"/>
        <v>165</v>
      </c>
      <c r="H30" s="34">
        <v>3</v>
      </c>
      <c r="I30" s="34">
        <v>441422</v>
      </c>
      <c r="J30" s="34">
        <v>8</v>
      </c>
      <c r="K30" s="34">
        <v>32</v>
      </c>
      <c r="L30" s="34">
        <v>61</v>
      </c>
      <c r="M30" s="34">
        <v>40</v>
      </c>
      <c r="N30" s="34">
        <v>24</v>
      </c>
      <c r="O30" s="36">
        <f t="shared" si="1"/>
        <v>0.21951219512195119</v>
      </c>
      <c r="P30" s="37">
        <v>9.6799999999999997E-2</v>
      </c>
      <c r="Q30" s="38">
        <v>85.62</v>
      </c>
      <c r="R30" s="33">
        <v>2207111</v>
      </c>
      <c r="S30" s="34">
        <v>99</v>
      </c>
      <c r="T30" s="35">
        <f t="shared" si="2"/>
        <v>63</v>
      </c>
      <c r="U30" s="34">
        <v>35424132</v>
      </c>
      <c r="V30" s="35">
        <f t="shared" si="3"/>
        <v>6376343.7599999998</v>
      </c>
      <c r="W30" s="35">
        <f t="shared" si="4"/>
        <v>2833930.56</v>
      </c>
      <c r="X30" s="35">
        <f t="shared" si="5"/>
        <v>4782257.82</v>
      </c>
      <c r="Y30" s="34">
        <v>94500</v>
      </c>
      <c r="Z30" s="34">
        <v>198000</v>
      </c>
      <c r="AA30" s="34">
        <v>531730</v>
      </c>
      <c r="AB30" s="34">
        <v>145674</v>
      </c>
      <c r="AC30" s="34">
        <v>412500</v>
      </c>
      <c r="AD30" s="34">
        <v>528000</v>
      </c>
      <c r="AE30" s="34">
        <v>180000</v>
      </c>
      <c r="AF30" s="34">
        <v>504000</v>
      </c>
      <c r="AG30" s="34">
        <v>75600</v>
      </c>
      <c r="AH30" s="34">
        <v>247500</v>
      </c>
      <c r="AI30" s="34">
        <v>132000</v>
      </c>
      <c r="AJ30" s="34">
        <v>99000</v>
      </c>
      <c r="AK30" s="34">
        <v>165000</v>
      </c>
      <c r="AL30" s="34">
        <v>84325</v>
      </c>
      <c r="AM30" s="35">
        <f t="shared" si="6"/>
        <v>50240894.140000001</v>
      </c>
      <c r="AN30" s="35">
        <f t="shared" si="7"/>
        <v>2573599</v>
      </c>
      <c r="AO30" s="35">
        <f t="shared" si="8"/>
        <v>52814493.140000001</v>
      </c>
      <c r="AP30" s="34">
        <v>52315409</v>
      </c>
      <c r="AQ30" s="26">
        <f>SUM(AP27:AP38)</f>
        <v>702256173</v>
      </c>
      <c r="AR30" s="26">
        <f>AQ30-SUM(AO27:AO29)</f>
        <v>525753022.34500003</v>
      </c>
      <c r="AS30" s="39">
        <v>9</v>
      </c>
      <c r="AT30" s="28">
        <f t="shared" si="9"/>
        <v>58417002.482777782</v>
      </c>
      <c r="AU30" s="29">
        <f t="shared" si="10"/>
        <v>5602509.3427777812</v>
      </c>
      <c r="AV30" s="26">
        <f t="shared" si="11"/>
        <v>472938529.20500004</v>
      </c>
      <c r="AW30" s="30">
        <f t="shared" si="12"/>
        <v>0.32654414814948157</v>
      </c>
      <c r="AX30" s="31" t="str">
        <f t="shared" si="13"/>
        <v>✓ Within Budget</v>
      </c>
    </row>
    <row r="31" spans="1:50" ht="15.1" customHeight="1" x14ac:dyDescent="0.35">
      <c r="A31" s="19" t="s">
        <v>155</v>
      </c>
      <c r="B31" s="20">
        <v>2024</v>
      </c>
      <c r="C31" s="21">
        <v>165</v>
      </c>
      <c r="D31" s="21">
        <v>3</v>
      </c>
      <c r="E31" s="21">
        <v>3</v>
      </c>
      <c r="F31" s="21">
        <v>3</v>
      </c>
      <c r="G31" s="22">
        <f t="shared" si="0"/>
        <v>165</v>
      </c>
      <c r="H31" s="21">
        <v>3</v>
      </c>
      <c r="I31" s="21">
        <v>445650</v>
      </c>
      <c r="J31" s="21">
        <v>10</v>
      </c>
      <c r="K31" s="21">
        <v>32</v>
      </c>
      <c r="L31" s="21">
        <v>57</v>
      </c>
      <c r="M31" s="21">
        <v>41</v>
      </c>
      <c r="N31" s="21">
        <v>25</v>
      </c>
      <c r="O31" s="23">
        <f t="shared" si="1"/>
        <v>0.21818181818181817</v>
      </c>
      <c r="P31" s="24">
        <v>0.10009999999999999</v>
      </c>
      <c r="Q31" s="25">
        <v>85.19</v>
      </c>
      <c r="R31" s="20">
        <v>2228250</v>
      </c>
      <c r="S31" s="21">
        <v>99</v>
      </c>
      <c r="T31" s="22">
        <f t="shared" si="2"/>
        <v>63</v>
      </c>
      <c r="U31" s="21">
        <v>35837688</v>
      </c>
      <c r="V31" s="22">
        <f t="shared" si="3"/>
        <v>6450783.8399999999</v>
      </c>
      <c r="W31" s="22">
        <f t="shared" si="4"/>
        <v>2867015.04</v>
      </c>
      <c r="X31" s="22">
        <f t="shared" si="5"/>
        <v>4838087.88</v>
      </c>
      <c r="Y31" s="21">
        <v>94500</v>
      </c>
      <c r="Z31" s="21">
        <v>198000</v>
      </c>
      <c r="AA31" s="21">
        <v>544097</v>
      </c>
      <c r="AB31" s="21">
        <v>110652</v>
      </c>
      <c r="AC31" s="21">
        <v>412500</v>
      </c>
      <c r="AD31" s="21">
        <v>528000</v>
      </c>
      <c r="AE31" s="21">
        <v>135000</v>
      </c>
      <c r="AF31" s="21">
        <v>504000</v>
      </c>
      <c r="AG31" s="21">
        <v>75600</v>
      </c>
      <c r="AH31" s="21">
        <v>247500</v>
      </c>
      <c r="AI31" s="21">
        <v>132000</v>
      </c>
      <c r="AJ31" s="21">
        <v>99000</v>
      </c>
      <c r="AK31" s="21">
        <v>165000</v>
      </c>
      <c r="AL31" s="21">
        <v>100497</v>
      </c>
      <c r="AM31" s="22">
        <f t="shared" si="6"/>
        <v>50830171.760000005</v>
      </c>
      <c r="AN31" s="22">
        <f t="shared" si="7"/>
        <v>2509749</v>
      </c>
      <c r="AO31" s="22">
        <f t="shared" si="8"/>
        <v>53339920.760000005</v>
      </c>
      <c r="AP31" s="21">
        <v>52829510</v>
      </c>
      <c r="AQ31" s="26">
        <f>SUM(AP27:AP38)</f>
        <v>702256173</v>
      </c>
      <c r="AR31" s="26">
        <f>AQ31-SUM(AO27:AO30)</f>
        <v>472938529.20499998</v>
      </c>
      <c r="AS31" s="27">
        <v>8</v>
      </c>
      <c r="AT31" s="28">
        <f t="shared" si="9"/>
        <v>59117316.150624998</v>
      </c>
      <c r="AU31" s="29">
        <f t="shared" si="10"/>
        <v>5777395.3906249925</v>
      </c>
      <c r="AV31" s="26">
        <f t="shared" si="11"/>
        <v>419598608.44499999</v>
      </c>
      <c r="AW31" s="30">
        <f t="shared" si="12"/>
        <v>0.40249922381956765</v>
      </c>
      <c r="AX31" s="31" t="str">
        <f t="shared" si="13"/>
        <v>✓ Within Budget</v>
      </c>
    </row>
    <row r="32" spans="1:50" ht="15.1" customHeight="1" x14ac:dyDescent="0.35">
      <c r="A32" s="32" t="s">
        <v>156</v>
      </c>
      <c r="B32" s="33">
        <v>2024</v>
      </c>
      <c r="C32" s="34">
        <v>165</v>
      </c>
      <c r="D32" s="34">
        <v>4</v>
      </c>
      <c r="E32" s="34">
        <v>3</v>
      </c>
      <c r="F32" s="34">
        <v>3</v>
      </c>
      <c r="G32" s="35">
        <f t="shared" si="0"/>
        <v>166</v>
      </c>
      <c r="H32" s="34">
        <v>3</v>
      </c>
      <c r="I32" s="34">
        <v>445263</v>
      </c>
      <c r="J32" s="34">
        <v>7</v>
      </c>
      <c r="K32" s="34">
        <v>34</v>
      </c>
      <c r="L32" s="34">
        <v>63</v>
      </c>
      <c r="M32" s="34">
        <v>39</v>
      </c>
      <c r="N32" s="34">
        <v>23</v>
      </c>
      <c r="O32" s="36">
        <f t="shared" si="1"/>
        <v>0.21818181818181817</v>
      </c>
      <c r="P32" s="37">
        <v>9.3100000000000002E-2</v>
      </c>
      <c r="Q32" s="38">
        <v>86.12</v>
      </c>
      <c r="R32" s="33">
        <v>2226316</v>
      </c>
      <c r="S32" s="34">
        <v>100</v>
      </c>
      <c r="T32" s="35">
        <f t="shared" si="2"/>
        <v>63</v>
      </c>
      <c r="U32" s="34">
        <v>35685990</v>
      </c>
      <c r="V32" s="35">
        <f t="shared" si="3"/>
        <v>6423478.2000000002</v>
      </c>
      <c r="W32" s="35">
        <f t="shared" si="4"/>
        <v>2854879.2</v>
      </c>
      <c r="X32" s="35">
        <f t="shared" si="5"/>
        <v>4817608.6500000004</v>
      </c>
      <c r="Y32" s="34">
        <v>108675</v>
      </c>
      <c r="Z32" s="34">
        <v>229080</v>
      </c>
      <c r="AA32" s="34">
        <v>533015</v>
      </c>
      <c r="AB32" s="34">
        <v>134182</v>
      </c>
      <c r="AC32" s="34">
        <v>415000</v>
      </c>
      <c r="AD32" s="34">
        <v>531200</v>
      </c>
      <c r="AE32" s="34">
        <v>180000</v>
      </c>
      <c r="AF32" s="34">
        <v>504000</v>
      </c>
      <c r="AG32" s="34">
        <v>75600</v>
      </c>
      <c r="AH32" s="34">
        <v>249000</v>
      </c>
      <c r="AI32" s="34">
        <v>132800</v>
      </c>
      <c r="AJ32" s="34">
        <v>99600</v>
      </c>
      <c r="AK32" s="34">
        <v>190900</v>
      </c>
      <c r="AL32" s="34">
        <v>87888</v>
      </c>
      <c r="AM32" s="35">
        <f t="shared" si="6"/>
        <v>50652726.050000004</v>
      </c>
      <c r="AN32" s="35">
        <f t="shared" si="7"/>
        <v>2600170</v>
      </c>
      <c r="AO32" s="35">
        <f t="shared" si="8"/>
        <v>53252896.050000004</v>
      </c>
      <c r="AP32" s="34">
        <v>59692466</v>
      </c>
      <c r="AQ32" s="26">
        <f>SUM(AP27:AP38)</f>
        <v>702256173</v>
      </c>
      <c r="AR32" s="26">
        <f>AQ32-SUM(AO27:AO31)</f>
        <v>419598608.44499999</v>
      </c>
      <c r="AS32" s="39">
        <v>7</v>
      </c>
      <c r="AT32" s="28">
        <f t="shared" si="9"/>
        <v>59942658.349285714</v>
      </c>
      <c r="AU32" s="29">
        <f t="shared" si="10"/>
        <v>6689762.2992857099</v>
      </c>
      <c r="AV32" s="26">
        <f t="shared" si="11"/>
        <v>366345712.39499998</v>
      </c>
      <c r="AW32" s="30">
        <f t="shared" si="12"/>
        <v>0.47833037788761457</v>
      </c>
      <c r="AX32" s="31" t="str">
        <f t="shared" si="13"/>
        <v>✓ Within Budget</v>
      </c>
    </row>
    <row r="33" spans="1:50" ht="15.1" customHeight="1" x14ac:dyDescent="0.35">
      <c r="A33" s="19" t="s">
        <v>157</v>
      </c>
      <c r="B33" s="20">
        <v>2024</v>
      </c>
      <c r="C33" s="21">
        <v>166</v>
      </c>
      <c r="D33" s="21">
        <v>7</v>
      </c>
      <c r="E33" s="21">
        <v>2</v>
      </c>
      <c r="F33" s="21">
        <v>2</v>
      </c>
      <c r="G33" s="22">
        <f t="shared" si="0"/>
        <v>171</v>
      </c>
      <c r="H33" s="21">
        <v>2</v>
      </c>
      <c r="I33" s="21">
        <v>300967</v>
      </c>
      <c r="J33" s="21">
        <v>9</v>
      </c>
      <c r="K33" s="21">
        <v>34</v>
      </c>
      <c r="L33" s="21">
        <v>61</v>
      </c>
      <c r="M33" s="21">
        <v>43</v>
      </c>
      <c r="N33" s="21">
        <v>24</v>
      </c>
      <c r="O33" s="23">
        <f t="shared" si="1"/>
        <v>0.14457831325301207</v>
      </c>
      <c r="P33" s="24">
        <v>9.7199999999999995E-2</v>
      </c>
      <c r="Q33" s="25">
        <v>85.73</v>
      </c>
      <c r="R33" s="20">
        <v>2257250</v>
      </c>
      <c r="S33" s="21">
        <v>103</v>
      </c>
      <c r="T33" s="22">
        <f t="shared" si="2"/>
        <v>66</v>
      </c>
      <c r="U33" s="40">
        <v>58006152</v>
      </c>
      <c r="V33" s="22">
        <f t="shared" si="3"/>
        <v>10441107.359999999</v>
      </c>
      <c r="W33" s="22">
        <f t="shared" si="4"/>
        <v>4640492.16</v>
      </c>
      <c r="X33" s="22">
        <f t="shared" si="5"/>
        <v>7830830.5200000005</v>
      </c>
      <c r="Y33" s="21">
        <v>113850</v>
      </c>
      <c r="Z33" s="21">
        <v>235980</v>
      </c>
      <c r="AA33" s="40">
        <v>791263</v>
      </c>
      <c r="AB33" s="40">
        <v>317723</v>
      </c>
      <c r="AC33" s="21">
        <v>555750</v>
      </c>
      <c r="AD33" s="21">
        <v>547200</v>
      </c>
      <c r="AE33" s="21">
        <v>315000</v>
      </c>
      <c r="AF33" s="21">
        <v>528000</v>
      </c>
      <c r="AG33" s="21">
        <v>79200</v>
      </c>
      <c r="AH33" s="21">
        <v>256500</v>
      </c>
      <c r="AI33" s="21">
        <v>136800</v>
      </c>
      <c r="AJ33" s="21">
        <v>102600</v>
      </c>
      <c r="AK33" s="40">
        <v>265477</v>
      </c>
      <c r="AL33" s="21">
        <v>92457</v>
      </c>
      <c r="AM33" s="22">
        <f t="shared" si="6"/>
        <v>82059675.039999992</v>
      </c>
      <c r="AN33" s="22">
        <f t="shared" si="7"/>
        <v>3196707</v>
      </c>
      <c r="AO33" s="22">
        <f t="shared" si="8"/>
        <v>85256382.039999992</v>
      </c>
      <c r="AP33" s="21">
        <v>64085388</v>
      </c>
      <c r="AQ33" s="26">
        <f>SUM(AP27:AP38)</f>
        <v>702256173</v>
      </c>
      <c r="AR33" s="26">
        <f>AQ33-SUM(AO27:AO32)</f>
        <v>366345712.39499998</v>
      </c>
      <c r="AS33" s="27">
        <v>6</v>
      </c>
      <c r="AT33" s="28">
        <f t="shared" si="9"/>
        <v>61057618.732499994</v>
      </c>
      <c r="AU33" s="29">
        <f t="shared" si="10"/>
        <v>-24198763.307499997</v>
      </c>
      <c r="AV33" s="26">
        <f t="shared" si="11"/>
        <v>281089330.35500002</v>
      </c>
      <c r="AW33" s="30">
        <f t="shared" si="12"/>
        <v>0.5997339131186249</v>
      </c>
      <c r="AX33" s="31" t="str">
        <f t="shared" si="13"/>
        <v>⚠ Over Budget</v>
      </c>
    </row>
    <row r="34" spans="1:50" ht="15.1" customHeight="1" x14ac:dyDescent="0.35">
      <c r="A34" s="32" t="s">
        <v>158</v>
      </c>
      <c r="B34" s="33">
        <v>2024</v>
      </c>
      <c r="C34" s="34">
        <v>171</v>
      </c>
      <c r="D34" s="34">
        <v>4</v>
      </c>
      <c r="E34" s="34">
        <v>3</v>
      </c>
      <c r="F34" s="34">
        <v>3</v>
      </c>
      <c r="G34" s="35">
        <f t="shared" si="0"/>
        <v>172</v>
      </c>
      <c r="H34" s="34">
        <v>3</v>
      </c>
      <c r="I34" s="34">
        <v>455086</v>
      </c>
      <c r="J34" s="34">
        <v>9</v>
      </c>
      <c r="K34" s="34">
        <v>34</v>
      </c>
      <c r="L34" s="34">
        <v>60</v>
      </c>
      <c r="M34" s="34">
        <v>44</v>
      </c>
      <c r="N34" s="34">
        <v>25</v>
      </c>
      <c r="O34" s="36">
        <f t="shared" si="1"/>
        <v>0.21052631578947367</v>
      </c>
      <c r="P34" s="37">
        <v>0.1017</v>
      </c>
      <c r="Q34" s="38">
        <v>85.43</v>
      </c>
      <c r="R34" s="33">
        <v>2275432</v>
      </c>
      <c r="S34" s="34">
        <v>103</v>
      </c>
      <c r="T34" s="35">
        <f t="shared" si="2"/>
        <v>66</v>
      </c>
      <c r="U34" s="34">
        <v>38160891</v>
      </c>
      <c r="V34" s="35">
        <f t="shared" si="3"/>
        <v>6868960.3799999999</v>
      </c>
      <c r="W34" s="35">
        <f t="shared" si="4"/>
        <v>3052871.2800000003</v>
      </c>
      <c r="X34" s="35">
        <f t="shared" si="5"/>
        <v>5151720.2850000001</v>
      </c>
      <c r="Y34" s="34">
        <v>110880</v>
      </c>
      <c r="Z34" s="34">
        <v>231168</v>
      </c>
      <c r="AA34" s="34">
        <v>559094</v>
      </c>
      <c r="AB34" s="34">
        <v>136113</v>
      </c>
      <c r="AC34" s="34">
        <v>430000</v>
      </c>
      <c r="AD34" s="34">
        <v>550400</v>
      </c>
      <c r="AE34" s="34">
        <v>180000</v>
      </c>
      <c r="AF34" s="34">
        <v>528000</v>
      </c>
      <c r="AG34" s="34">
        <v>79200</v>
      </c>
      <c r="AH34" s="34">
        <v>258000</v>
      </c>
      <c r="AI34" s="34">
        <v>137600</v>
      </c>
      <c r="AJ34" s="34">
        <v>103200</v>
      </c>
      <c r="AK34" s="34">
        <v>192640</v>
      </c>
      <c r="AL34" s="34">
        <v>94469</v>
      </c>
      <c r="AM34" s="35">
        <f t="shared" si="6"/>
        <v>54135584.945000008</v>
      </c>
      <c r="AN34" s="35">
        <f t="shared" si="7"/>
        <v>2689622</v>
      </c>
      <c r="AO34" s="35">
        <f t="shared" si="8"/>
        <v>56825206.945000008</v>
      </c>
      <c r="AP34" s="34">
        <v>61490170</v>
      </c>
      <c r="AQ34" s="26">
        <f>SUM(AP27:AP38)</f>
        <v>702256173</v>
      </c>
      <c r="AR34" s="26">
        <f>AQ34-SUM(AO27:AO33)</f>
        <v>281089330.35500002</v>
      </c>
      <c r="AS34" s="39">
        <v>5</v>
      </c>
      <c r="AT34" s="28">
        <f t="shared" si="9"/>
        <v>56217866.071000002</v>
      </c>
      <c r="AU34" s="29">
        <f t="shared" si="10"/>
        <v>-607340.87400000542</v>
      </c>
      <c r="AV34" s="26">
        <f t="shared" si="11"/>
        <v>224264123.41000003</v>
      </c>
      <c r="AW34" s="30">
        <f t="shared" si="12"/>
        <v>0.68065197283783785</v>
      </c>
      <c r="AX34" s="31" t="str">
        <f t="shared" si="13"/>
        <v>⚠ Over Budget</v>
      </c>
    </row>
    <row r="35" spans="1:50" ht="15.1" customHeight="1" x14ac:dyDescent="0.35">
      <c r="A35" s="19" t="s">
        <v>159</v>
      </c>
      <c r="B35" s="20">
        <v>2024</v>
      </c>
      <c r="C35" s="21">
        <v>172</v>
      </c>
      <c r="D35" s="21">
        <v>4</v>
      </c>
      <c r="E35" s="21">
        <v>3</v>
      </c>
      <c r="F35" s="21">
        <v>3</v>
      </c>
      <c r="G35" s="22">
        <f t="shared" si="0"/>
        <v>173</v>
      </c>
      <c r="H35" s="21">
        <v>2</v>
      </c>
      <c r="I35" s="21">
        <v>304173</v>
      </c>
      <c r="J35" s="21">
        <v>10</v>
      </c>
      <c r="K35" s="21">
        <v>36</v>
      </c>
      <c r="L35" s="21">
        <v>58</v>
      </c>
      <c r="M35" s="21">
        <v>42</v>
      </c>
      <c r="N35" s="21">
        <v>27</v>
      </c>
      <c r="O35" s="23">
        <f t="shared" si="1"/>
        <v>0.20930232558139533</v>
      </c>
      <c r="P35" s="24">
        <v>9.35E-2</v>
      </c>
      <c r="Q35" s="25">
        <v>85.98</v>
      </c>
      <c r="R35" s="20">
        <v>2281296</v>
      </c>
      <c r="S35" s="21">
        <v>104</v>
      </c>
      <c r="T35" s="22">
        <f t="shared" si="2"/>
        <v>67</v>
      </c>
      <c r="U35" s="21">
        <v>38477859</v>
      </c>
      <c r="V35" s="22">
        <f t="shared" si="3"/>
        <v>6926014.6200000001</v>
      </c>
      <c r="W35" s="22">
        <f t="shared" si="4"/>
        <v>3078228.72</v>
      </c>
      <c r="X35" s="22">
        <f t="shared" si="5"/>
        <v>5194510.9650000008</v>
      </c>
      <c r="Y35" s="21">
        <v>100500</v>
      </c>
      <c r="Z35" s="21">
        <v>207600</v>
      </c>
      <c r="AA35" s="21">
        <v>584086</v>
      </c>
      <c r="AB35" s="21">
        <v>138884</v>
      </c>
      <c r="AC35" s="21">
        <v>432500</v>
      </c>
      <c r="AD35" s="21">
        <v>553600</v>
      </c>
      <c r="AE35" s="21">
        <v>180000</v>
      </c>
      <c r="AF35" s="21">
        <v>536000</v>
      </c>
      <c r="AG35" s="21">
        <v>80400</v>
      </c>
      <c r="AH35" s="21">
        <v>259500</v>
      </c>
      <c r="AI35" s="21">
        <v>138400</v>
      </c>
      <c r="AJ35" s="21">
        <v>103800</v>
      </c>
      <c r="AK35" s="21">
        <v>173000</v>
      </c>
      <c r="AL35" s="21">
        <v>87262</v>
      </c>
      <c r="AM35" s="22">
        <f t="shared" si="6"/>
        <v>54568799.305</v>
      </c>
      <c r="AN35" s="22">
        <f t="shared" si="7"/>
        <v>2683346</v>
      </c>
      <c r="AO35" s="22">
        <f t="shared" si="8"/>
        <v>57252145.305</v>
      </c>
      <c r="AP35" s="21">
        <v>55918057</v>
      </c>
      <c r="AQ35" s="26">
        <f>SUM(AP27:AP38)</f>
        <v>702256173</v>
      </c>
      <c r="AR35" s="26">
        <f>AQ35-SUM(AO27:AO34)</f>
        <v>224264123.41000003</v>
      </c>
      <c r="AS35" s="27">
        <v>4</v>
      </c>
      <c r="AT35" s="28">
        <f t="shared" si="9"/>
        <v>56066030.852500007</v>
      </c>
      <c r="AU35" s="29">
        <f t="shared" si="10"/>
        <v>-1186114.4524999931</v>
      </c>
      <c r="AV35" s="26">
        <f t="shared" si="11"/>
        <v>167011978.10500002</v>
      </c>
      <c r="AW35" s="30">
        <f t="shared" si="12"/>
        <v>0.76217798500576506</v>
      </c>
      <c r="AX35" s="31" t="str">
        <f t="shared" si="13"/>
        <v>⚠ Over Budget</v>
      </c>
    </row>
    <row r="36" spans="1:50" ht="15.1" customHeight="1" x14ac:dyDescent="0.35">
      <c r="A36" s="32" t="s">
        <v>160</v>
      </c>
      <c r="B36" s="33">
        <v>2025</v>
      </c>
      <c r="C36" s="34">
        <v>173</v>
      </c>
      <c r="D36" s="34">
        <v>6</v>
      </c>
      <c r="E36" s="34">
        <v>3</v>
      </c>
      <c r="F36" s="34">
        <v>3</v>
      </c>
      <c r="G36" s="35">
        <f t="shared" si="0"/>
        <v>176</v>
      </c>
      <c r="H36" s="34">
        <v>3</v>
      </c>
      <c r="I36" s="34">
        <v>459486</v>
      </c>
      <c r="J36" s="34">
        <v>8</v>
      </c>
      <c r="K36" s="34">
        <v>35</v>
      </c>
      <c r="L36" s="34">
        <v>64</v>
      </c>
      <c r="M36" s="34">
        <v>44</v>
      </c>
      <c r="N36" s="34">
        <v>25</v>
      </c>
      <c r="O36" s="36">
        <f t="shared" si="1"/>
        <v>0.20809248554913293</v>
      </c>
      <c r="P36" s="37">
        <v>0.124</v>
      </c>
      <c r="Q36" s="38">
        <v>86.92</v>
      </c>
      <c r="R36" s="33">
        <v>2297431</v>
      </c>
      <c r="S36" s="34">
        <v>106</v>
      </c>
      <c r="T36" s="35">
        <f t="shared" si="2"/>
        <v>67</v>
      </c>
      <c r="U36" s="34">
        <v>39343506</v>
      </c>
      <c r="V36" s="35">
        <f t="shared" si="3"/>
        <v>7081831.0800000001</v>
      </c>
      <c r="W36" s="35">
        <f t="shared" si="4"/>
        <v>3147480.48</v>
      </c>
      <c r="X36" s="35">
        <f t="shared" si="5"/>
        <v>5311373.3100000005</v>
      </c>
      <c r="Y36" s="34">
        <v>108540</v>
      </c>
      <c r="Z36" s="34">
        <v>228096</v>
      </c>
      <c r="AA36" s="34">
        <v>597476</v>
      </c>
      <c r="AB36" s="34">
        <v>214190</v>
      </c>
      <c r="AC36" s="34">
        <v>440000</v>
      </c>
      <c r="AD36" s="34">
        <v>563200</v>
      </c>
      <c r="AE36" s="34">
        <v>270000</v>
      </c>
      <c r="AF36" s="34">
        <v>536000</v>
      </c>
      <c r="AG36" s="34">
        <v>80400</v>
      </c>
      <c r="AH36" s="34">
        <v>264000</v>
      </c>
      <c r="AI36" s="34">
        <v>140800</v>
      </c>
      <c r="AJ36" s="34">
        <v>105600</v>
      </c>
      <c r="AK36" s="34">
        <v>190080</v>
      </c>
      <c r="AL36" s="34">
        <v>95424</v>
      </c>
      <c r="AM36" s="35">
        <f t="shared" si="6"/>
        <v>55818302.869999997</v>
      </c>
      <c r="AN36" s="35">
        <f t="shared" si="7"/>
        <v>2899694</v>
      </c>
      <c r="AO36" s="35">
        <f t="shared" si="8"/>
        <v>58717996.869999997</v>
      </c>
      <c r="AP36" s="34">
        <v>64266978</v>
      </c>
      <c r="AQ36" s="26">
        <f>SUM(AP27:AP38)</f>
        <v>702256173</v>
      </c>
      <c r="AR36" s="26">
        <f>AQ36-SUM(AO27:AO35)</f>
        <v>167011978.10500002</v>
      </c>
      <c r="AS36" s="39">
        <v>3</v>
      </c>
      <c r="AT36" s="28">
        <f t="shared" si="9"/>
        <v>55670659.36833334</v>
      </c>
      <c r="AU36" s="29">
        <f t="shared" si="10"/>
        <v>-3047337.5016666576</v>
      </c>
      <c r="AV36" s="26">
        <f t="shared" si="11"/>
        <v>108293981.23500001</v>
      </c>
      <c r="AW36" s="30">
        <f t="shared" si="12"/>
        <v>0.8457913431043631</v>
      </c>
      <c r="AX36" s="31" t="str">
        <f t="shared" si="13"/>
        <v>⚠ Over Budget</v>
      </c>
    </row>
    <row r="37" spans="1:50" ht="15.1" customHeight="1" x14ac:dyDescent="0.35">
      <c r="A37" s="19" t="s">
        <v>161</v>
      </c>
      <c r="B37" s="20">
        <v>2025</v>
      </c>
      <c r="C37" s="21">
        <v>176</v>
      </c>
      <c r="D37" s="21">
        <v>5</v>
      </c>
      <c r="E37" s="21">
        <v>4</v>
      </c>
      <c r="F37" s="21">
        <v>4</v>
      </c>
      <c r="G37" s="22">
        <f t="shared" si="0"/>
        <v>177</v>
      </c>
      <c r="H37" s="21">
        <v>3</v>
      </c>
      <c r="I37" s="21">
        <v>463856</v>
      </c>
      <c r="J37" s="21">
        <v>8</v>
      </c>
      <c r="K37" s="21">
        <v>35</v>
      </c>
      <c r="L37" s="21">
        <v>63</v>
      </c>
      <c r="M37" s="21">
        <v>44</v>
      </c>
      <c r="N37" s="21">
        <v>27</v>
      </c>
      <c r="O37" s="23">
        <f t="shared" si="1"/>
        <v>0.27272727272727271</v>
      </c>
      <c r="P37" s="24">
        <v>0.1062</v>
      </c>
      <c r="Q37" s="25">
        <v>86.65</v>
      </c>
      <c r="R37" s="20">
        <v>2319281</v>
      </c>
      <c r="S37" s="21">
        <v>106</v>
      </c>
      <c r="T37" s="22">
        <f t="shared" si="2"/>
        <v>68</v>
      </c>
      <c r="U37" s="40">
        <v>55557217</v>
      </c>
      <c r="V37" s="22">
        <f t="shared" si="3"/>
        <v>10000299.060000001</v>
      </c>
      <c r="W37" s="22">
        <f t="shared" si="4"/>
        <v>4444577.3600000003</v>
      </c>
      <c r="X37" s="22">
        <f t="shared" si="5"/>
        <v>7500224.2950000009</v>
      </c>
      <c r="Y37" s="21">
        <v>110160</v>
      </c>
      <c r="Z37" s="21">
        <v>229392</v>
      </c>
      <c r="AA37" s="40">
        <v>845427</v>
      </c>
      <c r="AB37" s="40">
        <v>220847</v>
      </c>
      <c r="AC37" s="21">
        <v>442500</v>
      </c>
      <c r="AD37" s="21">
        <v>566400</v>
      </c>
      <c r="AE37" s="21">
        <v>225000</v>
      </c>
      <c r="AF37" s="21">
        <v>544000</v>
      </c>
      <c r="AG37" s="21">
        <v>81600</v>
      </c>
      <c r="AH37" s="21">
        <v>265500</v>
      </c>
      <c r="AI37" s="21">
        <v>141600</v>
      </c>
      <c r="AJ37" s="21">
        <v>106200</v>
      </c>
      <c r="AK37" s="40">
        <v>258066</v>
      </c>
      <c r="AL37" s="21">
        <v>77209</v>
      </c>
      <c r="AM37" s="22">
        <f t="shared" si="6"/>
        <v>78687296.715000004</v>
      </c>
      <c r="AN37" s="22">
        <f t="shared" si="7"/>
        <v>2928922</v>
      </c>
      <c r="AO37" s="22">
        <f t="shared" si="8"/>
        <v>81616218.715000004</v>
      </c>
      <c r="AP37" s="21">
        <v>63096490</v>
      </c>
      <c r="AQ37" s="26">
        <f>SUM(AP27:AP38)</f>
        <v>702256173</v>
      </c>
      <c r="AR37" s="26">
        <f>AQ37-SUM(AO27:AO36)</f>
        <v>108293981.23500001</v>
      </c>
      <c r="AS37" s="27">
        <v>2</v>
      </c>
      <c r="AT37" s="28">
        <f t="shared" si="9"/>
        <v>54146990.617500007</v>
      </c>
      <c r="AU37" s="29">
        <f t="shared" si="10"/>
        <v>-27469228.097499996</v>
      </c>
      <c r="AV37" s="26">
        <f t="shared" si="11"/>
        <v>26677762.520000011</v>
      </c>
      <c r="AW37" s="30">
        <f t="shared" si="12"/>
        <v>0.96201135205969923</v>
      </c>
      <c r="AX37" s="31" t="str">
        <f t="shared" si="13"/>
        <v>⚠ Over Budget</v>
      </c>
    </row>
    <row r="38" spans="1:50" ht="15.1" customHeight="1" x14ac:dyDescent="0.35">
      <c r="A38" s="32" t="s">
        <v>162</v>
      </c>
      <c r="B38" s="33">
        <v>2025</v>
      </c>
      <c r="C38" s="34">
        <v>177</v>
      </c>
      <c r="D38" s="34">
        <v>3</v>
      </c>
      <c r="E38" s="34">
        <v>4</v>
      </c>
      <c r="F38" s="34">
        <v>4</v>
      </c>
      <c r="G38" s="35">
        <f t="shared" si="0"/>
        <v>176</v>
      </c>
      <c r="H38" s="34">
        <v>3</v>
      </c>
      <c r="I38" s="34">
        <v>461757</v>
      </c>
      <c r="J38" s="34">
        <v>9</v>
      </c>
      <c r="K38" s="34">
        <v>35</v>
      </c>
      <c r="L38" s="34">
        <v>61</v>
      </c>
      <c r="M38" s="34">
        <v>45</v>
      </c>
      <c r="N38" s="34">
        <v>26</v>
      </c>
      <c r="O38" s="36">
        <f t="shared" si="1"/>
        <v>0.2711864406779661</v>
      </c>
      <c r="P38" s="37">
        <v>9.8599999999999993E-2</v>
      </c>
      <c r="Q38" s="38">
        <v>86.54</v>
      </c>
      <c r="R38" s="33">
        <v>2308787</v>
      </c>
      <c r="S38" s="34">
        <v>106</v>
      </c>
      <c r="T38" s="35">
        <f t="shared" si="2"/>
        <v>67</v>
      </c>
      <c r="U38" s="34">
        <v>39701516</v>
      </c>
      <c r="V38" s="35">
        <f t="shared" si="3"/>
        <v>7146272.8799999999</v>
      </c>
      <c r="W38" s="35">
        <f t="shared" si="4"/>
        <v>3176121.2800000003</v>
      </c>
      <c r="X38" s="35">
        <f t="shared" si="5"/>
        <v>5359704.66</v>
      </c>
      <c r="Y38" s="34">
        <v>106530</v>
      </c>
      <c r="Z38" s="34">
        <v>223872</v>
      </c>
      <c r="AA38" s="34">
        <v>602275</v>
      </c>
      <c r="AB38" s="34">
        <v>110944</v>
      </c>
      <c r="AC38" s="34">
        <v>440000</v>
      </c>
      <c r="AD38" s="34">
        <v>563200</v>
      </c>
      <c r="AE38" s="34">
        <v>135000</v>
      </c>
      <c r="AF38" s="34">
        <v>536000</v>
      </c>
      <c r="AG38" s="34">
        <v>80400</v>
      </c>
      <c r="AH38" s="34">
        <v>264000</v>
      </c>
      <c r="AI38" s="34">
        <v>140800</v>
      </c>
      <c r="AJ38" s="34">
        <v>105600</v>
      </c>
      <c r="AK38" s="34">
        <v>186560</v>
      </c>
      <c r="AL38" s="34">
        <v>87949</v>
      </c>
      <c r="AM38" s="35">
        <f t="shared" si="6"/>
        <v>56316291.820000008</v>
      </c>
      <c r="AN38" s="35">
        <f t="shared" si="7"/>
        <v>2650453</v>
      </c>
      <c r="AO38" s="35">
        <f t="shared" si="8"/>
        <v>58966744.820000008</v>
      </c>
      <c r="AP38" s="34">
        <v>61778957</v>
      </c>
      <c r="AQ38" s="26">
        <f>SUM(AP27:AP38)</f>
        <v>702256173</v>
      </c>
      <c r="AR38" s="26">
        <f>AQ38-SUM(AO27:AO37)</f>
        <v>26677762.519999981</v>
      </c>
      <c r="AS38" s="39">
        <v>1</v>
      </c>
      <c r="AT38" s="28">
        <f t="shared" si="9"/>
        <v>26677762.519999981</v>
      </c>
      <c r="AU38" s="29">
        <f t="shared" si="10"/>
        <v>-32288982.300000027</v>
      </c>
      <c r="AV38" s="26">
        <f t="shared" si="11"/>
        <v>-32288982.300000027</v>
      </c>
      <c r="AW38" s="30">
        <f t="shared" si="12"/>
        <v>1.045978922708594</v>
      </c>
      <c r="AX38" s="31" t="str">
        <f t="shared" si="13"/>
        <v>⚠ Over Budget</v>
      </c>
    </row>
  </sheetData>
  <mergeCells count="1">
    <mergeCell ref="A1:AV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8"/>
  <sheetViews>
    <sheetView zoomScaleNormal="100" workbookViewId="0">
      <pane xSplit="2" ySplit="2" topLeftCell="C32" activePane="bottomRight" state="frozen"/>
      <selection pane="topRight" activeCell="C1" sqref="C1"/>
      <selection pane="bottomLeft" activeCell="A3" sqref="A3"/>
      <selection pane="bottomRight" activeCell="A40" sqref="A40"/>
    </sheetView>
  </sheetViews>
  <sheetFormatPr defaultColWidth="8.6328125" defaultRowHeight="14.85" x14ac:dyDescent="0.35"/>
  <cols>
    <col min="1" max="1" width="10" customWidth="1"/>
    <col min="2" max="48" width="16" customWidth="1"/>
    <col min="49" max="50" width="18" customWidth="1"/>
  </cols>
  <sheetData>
    <row r="1" spans="1:50" ht="21.7" customHeight="1" x14ac:dyDescent="0.35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50" ht="30" customHeight="1" x14ac:dyDescent="0.35">
      <c r="A2" s="18" t="s">
        <v>37</v>
      </c>
      <c r="B2" s="18" t="s">
        <v>78</v>
      </c>
      <c r="C2" s="18" t="s">
        <v>79</v>
      </c>
      <c r="D2" s="18" t="s">
        <v>80</v>
      </c>
      <c r="E2" s="18" t="s">
        <v>81</v>
      </c>
      <c r="F2" s="18" t="s">
        <v>82</v>
      </c>
      <c r="G2" s="18" t="s">
        <v>83</v>
      </c>
      <c r="H2" s="18" t="s">
        <v>84</v>
      </c>
      <c r="I2" s="18" t="s">
        <v>85</v>
      </c>
      <c r="J2" s="18" t="s">
        <v>86</v>
      </c>
      <c r="K2" s="18" t="s">
        <v>87</v>
      </c>
      <c r="L2" s="18" t="s">
        <v>88</v>
      </c>
      <c r="M2" s="18" t="s">
        <v>89</v>
      </c>
      <c r="N2" s="18" t="s">
        <v>90</v>
      </c>
      <c r="O2" s="18" t="s">
        <v>91</v>
      </c>
      <c r="P2" s="18" t="s">
        <v>92</v>
      </c>
      <c r="Q2" s="18" t="s">
        <v>93</v>
      </c>
      <c r="R2" s="18" t="s">
        <v>94</v>
      </c>
      <c r="S2" s="18" t="s">
        <v>95</v>
      </c>
      <c r="T2" s="18" t="s">
        <v>96</v>
      </c>
      <c r="U2" s="18" t="s">
        <v>97</v>
      </c>
      <c r="V2" s="18" t="s">
        <v>98</v>
      </c>
      <c r="W2" s="18" t="s">
        <v>99</v>
      </c>
      <c r="X2" s="18" t="s">
        <v>100</v>
      </c>
      <c r="Y2" s="18" t="s">
        <v>101</v>
      </c>
      <c r="Z2" s="18" t="s">
        <v>102</v>
      </c>
      <c r="AA2" s="18" t="s">
        <v>103</v>
      </c>
      <c r="AB2" s="18" t="s">
        <v>104</v>
      </c>
      <c r="AC2" s="18" t="s">
        <v>105</v>
      </c>
      <c r="AD2" s="18" t="s">
        <v>106</v>
      </c>
      <c r="AE2" s="18" t="s">
        <v>107</v>
      </c>
      <c r="AF2" s="18" t="s">
        <v>108</v>
      </c>
      <c r="AG2" s="18" t="s">
        <v>109</v>
      </c>
      <c r="AH2" s="18" t="s">
        <v>110</v>
      </c>
      <c r="AI2" s="18" t="s">
        <v>111</v>
      </c>
      <c r="AJ2" s="18" t="s">
        <v>112</v>
      </c>
      <c r="AK2" s="18" t="s">
        <v>113</v>
      </c>
      <c r="AL2" s="18" t="s">
        <v>114</v>
      </c>
      <c r="AM2" s="18" t="s">
        <v>115</v>
      </c>
      <c r="AN2" s="18" t="s">
        <v>116</v>
      </c>
      <c r="AO2" s="18" t="s">
        <v>117</v>
      </c>
      <c r="AP2" s="18" t="s">
        <v>118</v>
      </c>
      <c r="AQ2" s="18" t="s">
        <v>119</v>
      </c>
      <c r="AR2" s="18" t="s">
        <v>120</v>
      </c>
      <c r="AS2" s="18" t="s">
        <v>121</v>
      </c>
      <c r="AT2" s="18" t="s">
        <v>122</v>
      </c>
      <c r="AU2" s="18" t="s">
        <v>123</v>
      </c>
      <c r="AV2" s="18" t="s">
        <v>124</v>
      </c>
      <c r="AW2" s="18" t="s">
        <v>125</v>
      </c>
      <c r="AX2" s="18" t="s">
        <v>126</v>
      </c>
    </row>
    <row r="3" spans="1:50" ht="15.1" customHeight="1" x14ac:dyDescent="0.35">
      <c r="A3" s="19" t="s">
        <v>127</v>
      </c>
      <c r="B3" s="20">
        <v>2022</v>
      </c>
      <c r="C3" s="21">
        <v>90</v>
      </c>
      <c r="D3" s="21">
        <v>4</v>
      </c>
      <c r="E3" s="21">
        <v>1</v>
      </c>
      <c r="F3" s="21">
        <v>1</v>
      </c>
      <c r="G3" s="22">
        <f t="shared" ref="G3:G38" si="0">C3+D3-E3</f>
        <v>93</v>
      </c>
      <c r="H3" s="21">
        <v>1</v>
      </c>
      <c r="I3" s="21">
        <v>79659</v>
      </c>
      <c r="J3" s="21">
        <v>9</v>
      </c>
      <c r="K3" s="21">
        <v>23</v>
      </c>
      <c r="L3" s="21">
        <v>32</v>
      </c>
      <c r="M3" s="21">
        <v>20</v>
      </c>
      <c r="N3" s="21">
        <v>9</v>
      </c>
      <c r="O3" s="23">
        <f t="shared" ref="O3:O38" si="1">F3/(C3)*12</f>
        <v>0.13333333333333333</v>
      </c>
      <c r="P3" s="24">
        <v>0.1196</v>
      </c>
      <c r="Q3" s="25">
        <v>82.18</v>
      </c>
      <c r="R3" s="20">
        <v>1194879</v>
      </c>
      <c r="S3" s="21">
        <v>23</v>
      </c>
      <c r="T3" s="22">
        <f t="shared" ref="T3:T38" si="2">G3-H3-S3</f>
        <v>69</v>
      </c>
      <c r="U3" s="21">
        <v>10002133</v>
      </c>
      <c r="V3" s="22">
        <f t="shared" ref="V3:V38" si="3">U3*0.18</f>
        <v>1800383.94</v>
      </c>
      <c r="W3" s="22">
        <f t="shared" ref="W3:W38" si="4">U3*0.08</f>
        <v>800170.64</v>
      </c>
      <c r="X3" s="22">
        <f t="shared" ref="X3:X38" si="5">U3*0.135</f>
        <v>1350287.9550000001</v>
      </c>
      <c r="Y3" s="21">
        <v>113850</v>
      </c>
      <c r="Z3" s="21">
        <v>122760</v>
      </c>
      <c r="AA3" s="21">
        <v>136950</v>
      </c>
      <c r="AB3" s="21">
        <v>146900</v>
      </c>
      <c r="AC3" s="21">
        <v>302250</v>
      </c>
      <c r="AD3" s="21">
        <v>297600</v>
      </c>
      <c r="AE3" s="21">
        <v>180000</v>
      </c>
      <c r="AF3" s="21">
        <v>552000</v>
      </c>
      <c r="AG3" s="21">
        <v>82800</v>
      </c>
      <c r="AH3" s="21">
        <v>139500</v>
      </c>
      <c r="AI3" s="21">
        <v>74400</v>
      </c>
      <c r="AJ3" s="21">
        <v>55800</v>
      </c>
      <c r="AK3" s="21">
        <v>102300</v>
      </c>
      <c r="AL3" s="21">
        <v>54724</v>
      </c>
      <c r="AM3" s="22">
        <f t="shared" ref="AM3:AM38" si="6">SUM(U3:AA3)</f>
        <v>14326535.535</v>
      </c>
      <c r="AN3" s="22">
        <f t="shared" ref="AN3:AN38" si="7">SUM(AB3:AL3)</f>
        <v>1988274</v>
      </c>
      <c r="AO3" s="22">
        <f t="shared" ref="AO3:AO38" si="8">AM3+AN3</f>
        <v>16314809.535</v>
      </c>
      <c r="AP3" s="21">
        <v>18466141</v>
      </c>
      <c r="AQ3" s="26">
        <f>SUM(AP3:AP14)</f>
        <v>226858673</v>
      </c>
      <c r="AR3" s="26">
        <f>AQ3</f>
        <v>226858673</v>
      </c>
      <c r="AS3" s="27">
        <v>12</v>
      </c>
      <c r="AT3" s="28">
        <f t="shared" ref="AT3:AT38" si="9">IF(AM3&gt;0,AR3/AS3,0)</f>
        <v>18904889.416666668</v>
      </c>
      <c r="AU3" s="29">
        <f t="shared" ref="AU3:AU38" si="10">AT3-AO3</f>
        <v>2590079.8816666678</v>
      </c>
      <c r="AV3" s="26">
        <f t="shared" ref="AV3:AV38" si="11">AR3-AO3</f>
        <v>210543863.465</v>
      </c>
      <c r="AW3" s="30">
        <f t="shared" ref="AW3:AW38" si="12">IF(AQ3&gt;0,(AQ3-AV3)/AQ3,0)</f>
        <v>7.191618164406699E-2</v>
      </c>
      <c r="AX3" s="31" t="str">
        <f t="shared" ref="AX3:AX38" si="13">IF(AU3&lt;0,"⚠ Over Budget","✓ Within Budget")</f>
        <v>✓ Within Budget</v>
      </c>
    </row>
    <row r="4" spans="1:50" ht="15.1" customHeight="1" x14ac:dyDescent="0.35">
      <c r="A4" s="32" t="s">
        <v>128</v>
      </c>
      <c r="B4" s="33">
        <v>2022</v>
      </c>
      <c r="C4" s="34">
        <v>93</v>
      </c>
      <c r="D4" s="34">
        <v>2</v>
      </c>
      <c r="E4" s="34">
        <v>3</v>
      </c>
      <c r="F4" s="34">
        <v>3</v>
      </c>
      <c r="G4" s="35">
        <f t="shared" si="0"/>
        <v>92</v>
      </c>
      <c r="H4" s="34">
        <v>2</v>
      </c>
      <c r="I4" s="34">
        <v>159324</v>
      </c>
      <c r="J4" s="34">
        <v>9</v>
      </c>
      <c r="K4" s="34">
        <v>22</v>
      </c>
      <c r="L4" s="34">
        <v>34</v>
      </c>
      <c r="M4" s="34">
        <v>19</v>
      </c>
      <c r="N4" s="34">
        <v>8</v>
      </c>
      <c r="O4" s="36">
        <f t="shared" si="1"/>
        <v>0.38709677419354838</v>
      </c>
      <c r="P4" s="37">
        <v>9.98E-2</v>
      </c>
      <c r="Q4" s="38">
        <v>82.73</v>
      </c>
      <c r="R4" s="33">
        <v>1194932</v>
      </c>
      <c r="S4" s="34">
        <v>23</v>
      </c>
      <c r="T4" s="35">
        <f t="shared" si="2"/>
        <v>67</v>
      </c>
      <c r="U4" s="34">
        <v>9793464</v>
      </c>
      <c r="V4" s="35">
        <f t="shared" si="3"/>
        <v>1762823.52</v>
      </c>
      <c r="W4" s="35">
        <f t="shared" si="4"/>
        <v>783477.12</v>
      </c>
      <c r="X4" s="35">
        <f t="shared" si="5"/>
        <v>1322117.6400000001</v>
      </c>
      <c r="Y4" s="34">
        <v>110550</v>
      </c>
      <c r="Z4" s="34">
        <v>121440</v>
      </c>
      <c r="AA4" s="34">
        <v>166959</v>
      </c>
      <c r="AB4" s="34">
        <v>77834</v>
      </c>
      <c r="AC4" s="34">
        <v>299000</v>
      </c>
      <c r="AD4" s="34">
        <v>294400</v>
      </c>
      <c r="AE4" s="34">
        <v>90000</v>
      </c>
      <c r="AF4" s="34">
        <v>536000</v>
      </c>
      <c r="AG4" s="34">
        <v>80400</v>
      </c>
      <c r="AH4" s="34">
        <v>138000</v>
      </c>
      <c r="AI4" s="34">
        <v>73600</v>
      </c>
      <c r="AJ4" s="34">
        <v>55200</v>
      </c>
      <c r="AK4" s="34">
        <v>101200</v>
      </c>
      <c r="AL4" s="34">
        <v>36103</v>
      </c>
      <c r="AM4" s="35">
        <f t="shared" si="6"/>
        <v>14060831.279999999</v>
      </c>
      <c r="AN4" s="35">
        <f t="shared" si="7"/>
        <v>1781737</v>
      </c>
      <c r="AO4" s="35">
        <f t="shared" si="8"/>
        <v>15842568.279999999</v>
      </c>
      <c r="AP4" s="34">
        <v>16770295</v>
      </c>
      <c r="AQ4" s="26">
        <f>SUM(AP3:AP14)</f>
        <v>226858673</v>
      </c>
      <c r="AR4" s="26">
        <f>AQ4-SUM(AO3:AO3)</f>
        <v>210543863.465</v>
      </c>
      <c r="AS4" s="39">
        <v>11</v>
      </c>
      <c r="AT4" s="28">
        <f t="shared" si="9"/>
        <v>19140351.224090908</v>
      </c>
      <c r="AU4" s="29">
        <f t="shared" si="10"/>
        <v>3297782.9440909084</v>
      </c>
      <c r="AV4" s="26">
        <f t="shared" si="11"/>
        <v>194701295.185</v>
      </c>
      <c r="AW4" s="30">
        <f t="shared" si="12"/>
        <v>0.1417507093281816</v>
      </c>
      <c r="AX4" s="31" t="str">
        <f t="shared" si="13"/>
        <v>✓ Within Budget</v>
      </c>
    </row>
    <row r="5" spans="1:50" ht="15.1" customHeight="1" x14ac:dyDescent="0.35">
      <c r="A5" s="19" t="s">
        <v>129</v>
      </c>
      <c r="B5" s="20">
        <v>2022</v>
      </c>
      <c r="C5" s="21">
        <v>92</v>
      </c>
      <c r="D5" s="21">
        <v>2</v>
      </c>
      <c r="E5" s="21">
        <v>1</v>
      </c>
      <c r="F5" s="21">
        <v>1</v>
      </c>
      <c r="G5" s="22">
        <f t="shared" si="0"/>
        <v>93</v>
      </c>
      <c r="H5" s="21">
        <v>1</v>
      </c>
      <c r="I5" s="21">
        <v>81183</v>
      </c>
      <c r="J5" s="21">
        <v>7</v>
      </c>
      <c r="K5" s="21">
        <v>23</v>
      </c>
      <c r="L5" s="21">
        <v>37</v>
      </c>
      <c r="M5" s="21">
        <v>17</v>
      </c>
      <c r="N5" s="21">
        <v>9</v>
      </c>
      <c r="O5" s="23">
        <f t="shared" si="1"/>
        <v>0.13043478260869565</v>
      </c>
      <c r="P5" s="24">
        <v>9.2600000000000002E-2</v>
      </c>
      <c r="Q5" s="25">
        <v>82.69</v>
      </c>
      <c r="R5" s="20">
        <v>1217747</v>
      </c>
      <c r="S5" s="21">
        <v>23</v>
      </c>
      <c r="T5" s="22">
        <f t="shared" si="2"/>
        <v>69</v>
      </c>
      <c r="U5" s="21">
        <v>10163114</v>
      </c>
      <c r="V5" s="22">
        <f t="shared" si="3"/>
        <v>1829360.52</v>
      </c>
      <c r="W5" s="22">
        <f t="shared" si="4"/>
        <v>813049.12</v>
      </c>
      <c r="X5" s="22">
        <f t="shared" si="5"/>
        <v>1372020.3900000001</v>
      </c>
      <c r="Y5" s="21">
        <v>108675</v>
      </c>
      <c r="Z5" s="21">
        <v>117180</v>
      </c>
      <c r="AA5" s="21">
        <v>171854</v>
      </c>
      <c r="AB5" s="21">
        <v>71034</v>
      </c>
      <c r="AC5" s="21">
        <v>232500</v>
      </c>
      <c r="AD5" s="21">
        <v>297600</v>
      </c>
      <c r="AE5" s="21">
        <v>90000</v>
      </c>
      <c r="AF5" s="21">
        <v>552000</v>
      </c>
      <c r="AG5" s="21">
        <v>82800</v>
      </c>
      <c r="AH5" s="21">
        <v>139500</v>
      </c>
      <c r="AI5" s="21">
        <v>74400</v>
      </c>
      <c r="AJ5" s="21">
        <v>55800</v>
      </c>
      <c r="AK5" s="21">
        <v>97650</v>
      </c>
      <c r="AL5" s="21">
        <v>43523</v>
      </c>
      <c r="AM5" s="22">
        <f t="shared" si="6"/>
        <v>14575253.029999999</v>
      </c>
      <c r="AN5" s="22">
        <f t="shared" si="7"/>
        <v>1736807</v>
      </c>
      <c r="AO5" s="22">
        <f t="shared" si="8"/>
        <v>16312060.029999999</v>
      </c>
      <c r="AP5" s="21">
        <v>17453800</v>
      </c>
      <c r="AQ5" s="26">
        <f>SUM(AP3:AP14)</f>
        <v>226858673</v>
      </c>
      <c r="AR5" s="26">
        <f>AQ5-SUM(AO3:AO4)</f>
        <v>194701295.185</v>
      </c>
      <c r="AS5" s="27">
        <v>10</v>
      </c>
      <c r="AT5" s="28">
        <f t="shared" si="9"/>
        <v>19470129.5185</v>
      </c>
      <c r="AU5" s="29">
        <f t="shared" si="10"/>
        <v>3158069.4885000009</v>
      </c>
      <c r="AV5" s="26">
        <f t="shared" si="11"/>
        <v>178389235.155</v>
      </c>
      <c r="AW5" s="30">
        <f t="shared" si="12"/>
        <v>0.21365477106973996</v>
      </c>
      <c r="AX5" s="31" t="str">
        <f t="shared" si="13"/>
        <v>✓ Within Budget</v>
      </c>
    </row>
    <row r="6" spans="1:50" ht="15.1" customHeight="1" x14ac:dyDescent="0.35">
      <c r="A6" s="32" t="s">
        <v>130</v>
      </c>
      <c r="B6" s="33">
        <v>2022</v>
      </c>
      <c r="C6" s="34">
        <v>93</v>
      </c>
      <c r="D6" s="34">
        <v>2</v>
      </c>
      <c r="E6" s="34">
        <v>1</v>
      </c>
      <c r="F6" s="34">
        <v>1</v>
      </c>
      <c r="G6" s="35">
        <f t="shared" si="0"/>
        <v>94</v>
      </c>
      <c r="H6" s="34">
        <v>2</v>
      </c>
      <c r="I6" s="34">
        <v>166317</v>
      </c>
      <c r="J6" s="34">
        <v>9</v>
      </c>
      <c r="K6" s="34">
        <v>24</v>
      </c>
      <c r="L6" s="34">
        <v>33</v>
      </c>
      <c r="M6" s="34">
        <v>18</v>
      </c>
      <c r="N6" s="34">
        <v>10</v>
      </c>
      <c r="O6" s="36">
        <f t="shared" si="1"/>
        <v>0.12903225806451613</v>
      </c>
      <c r="P6" s="37">
        <v>0.1087</v>
      </c>
      <c r="Q6" s="38">
        <v>82.27</v>
      </c>
      <c r="R6" s="33">
        <v>1247374</v>
      </c>
      <c r="S6" s="34">
        <v>24</v>
      </c>
      <c r="T6" s="35">
        <f t="shared" si="2"/>
        <v>68</v>
      </c>
      <c r="U6" s="41">
        <v>14959860</v>
      </c>
      <c r="V6" s="35">
        <f t="shared" si="3"/>
        <v>2692774.8</v>
      </c>
      <c r="W6" s="35">
        <f t="shared" si="4"/>
        <v>1196788.8</v>
      </c>
      <c r="X6" s="35">
        <f t="shared" si="5"/>
        <v>2019581.1</v>
      </c>
      <c r="Y6" s="34">
        <v>102000</v>
      </c>
      <c r="Z6" s="34">
        <v>112800</v>
      </c>
      <c r="AA6" s="41">
        <v>217838</v>
      </c>
      <c r="AB6" s="41">
        <v>86017</v>
      </c>
      <c r="AC6" s="34">
        <v>235000</v>
      </c>
      <c r="AD6" s="34">
        <v>300800</v>
      </c>
      <c r="AE6" s="34">
        <v>90000</v>
      </c>
      <c r="AF6" s="34">
        <v>544000</v>
      </c>
      <c r="AG6" s="34">
        <v>81600</v>
      </c>
      <c r="AH6" s="34">
        <v>141000</v>
      </c>
      <c r="AI6" s="34">
        <v>75200</v>
      </c>
      <c r="AJ6" s="34">
        <v>56400</v>
      </c>
      <c r="AK6" s="41">
        <v>126900</v>
      </c>
      <c r="AL6" s="34">
        <v>66418</v>
      </c>
      <c r="AM6" s="35">
        <f t="shared" si="6"/>
        <v>21301642.700000003</v>
      </c>
      <c r="AN6" s="35">
        <f t="shared" si="7"/>
        <v>1803335</v>
      </c>
      <c r="AO6" s="35">
        <f t="shared" si="8"/>
        <v>23104977.700000003</v>
      </c>
      <c r="AP6" s="34">
        <v>16895678</v>
      </c>
      <c r="AQ6" s="26">
        <f>SUM(AP3:AP14)</f>
        <v>226858673</v>
      </c>
      <c r="AR6" s="26">
        <f>AQ6-SUM(AO3:AO5)</f>
        <v>178389235.155</v>
      </c>
      <c r="AS6" s="39">
        <v>9</v>
      </c>
      <c r="AT6" s="28">
        <f t="shared" si="9"/>
        <v>19821026.128333334</v>
      </c>
      <c r="AU6" s="29">
        <f t="shared" si="10"/>
        <v>-3283951.5716666691</v>
      </c>
      <c r="AV6" s="26">
        <f t="shared" si="11"/>
        <v>155284257.45499998</v>
      </c>
      <c r="AW6" s="30">
        <f t="shared" si="12"/>
        <v>0.31550222258859822</v>
      </c>
      <c r="AX6" s="31" t="str">
        <f t="shared" si="13"/>
        <v>⚠ Over Budget</v>
      </c>
    </row>
    <row r="7" spans="1:50" ht="15.1" customHeight="1" x14ac:dyDescent="0.35">
      <c r="A7" s="19" t="s">
        <v>131</v>
      </c>
      <c r="B7" s="20">
        <v>2022</v>
      </c>
      <c r="C7" s="21">
        <v>94</v>
      </c>
      <c r="D7" s="21">
        <v>4</v>
      </c>
      <c r="E7" s="21">
        <v>2</v>
      </c>
      <c r="F7" s="21">
        <v>2</v>
      </c>
      <c r="G7" s="22">
        <f t="shared" si="0"/>
        <v>96</v>
      </c>
      <c r="H7" s="21">
        <v>1</v>
      </c>
      <c r="I7" s="21">
        <v>82463</v>
      </c>
      <c r="J7" s="21">
        <v>10</v>
      </c>
      <c r="K7" s="21">
        <v>23</v>
      </c>
      <c r="L7" s="21">
        <v>36</v>
      </c>
      <c r="M7" s="21">
        <v>17</v>
      </c>
      <c r="N7" s="21">
        <v>10</v>
      </c>
      <c r="O7" s="23">
        <f t="shared" si="1"/>
        <v>0.25531914893617019</v>
      </c>
      <c r="P7" s="24">
        <v>0.10299999999999999</v>
      </c>
      <c r="Q7" s="25">
        <v>82.82</v>
      </c>
      <c r="R7" s="20">
        <v>1236942</v>
      </c>
      <c r="S7" s="21">
        <v>24</v>
      </c>
      <c r="T7" s="22">
        <f t="shared" si="2"/>
        <v>71</v>
      </c>
      <c r="U7" s="21">
        <v>10586162</v>
      </c>
      <c r="V7" s="22">
        <f t="shared" si="3"/>
        <v>1905509.16</v>
      </c>
      <c r="W7" s="22">
        <f t="shared" si="4"/>
        <v>846892.96</v>
      </c>
      <c r="X7" s="22">
        <f t="shared" si="5"/>
        <v>1429131.87</v>
      </c>
      <c r="Y7" s="21">
        <v>106500</v>
      </c>
      <c r="Z7" s="21">
        <v>115200</v>
      </c>
      <c r="AA7" s="21">
        <v>150807</v>
      </c>
      <c r="AB7" s="21">
        <v>135066</v>
      </c>
      <c r="AC7" s="21">
        <v>240000</v>
      </c>
      <c r="AD7" s="21">
        <v>307200</v>
      </c>
      <c r="AE7" s="21">
        <v>180000</v>
      </c>
      <c r="AF7" s="21">
        <v>568000</v>
      </c>
      <c r="AG7" s="21">
        <v>85200</v>
      </c>
      <c r="AH7" s="21">
        <v>144000</v>
      </c>
      <c r="AI7" s="21">
        <v>76800</v>
      </c>
      <c r="AJ7" s="21">
        <v>57600</v>
      </c>
      <c r="AK7" s="21">
        <v>96000</v>
      </c>
      <c r="AL7" s="21">
        <v>43559</v>
      </c>
      <c r="AM7" s="22">
        <f t="shared" si="6"/>
        <v>15140202.990000002</v>
      </c>
      <c r="AN7" s="22">
        <f t="shared" si="7"/>
        <v>1933425</v>
      </c>
      <c r="AO7" s="22">
        <f t="shared" si="8"/>
        <v>17073627.990000002</v>
      </c>
      <c r="AP7" s="21">
        <v>16544488</v>
      </c>
      <c r="AQ7" s="26">
        <f>SUM(AP3:AP14)</f>
        <v>226858673</v>
      </c>
      <c r="AR7" s="26">
        <f>AQ7-SUM(AO3:AO6)</f>
        <v>155284257.45499998</v>
      </c>
      <c r="AS7" s="27">
        <v>8</v>
      </c>
      <c r="AT7" s="28">
        <f t="shared" si="9"/>
        <v>19410532.181874998</v>
      </c>
      <c r="AU7" s="29">
        <f t="shared" si="10"/>
        <v>2336904.1918749958</v>
      </c>
      <c r="AV7" s="26">
        <f t="shared" si="11"/>
        <v>138210629.46499997</v>
      </c>
      <c r="AW7" s="30">
        <f t="shared" si="12"/>
        <v>0.39076329929427045</v>
      </c>
      <c r="AX7" s="31" t="str">
        <f t="shared" si="13"/>
        <v>✓ Within Budget</v>
      </c>
    </row>
    <row r="8" spans="1:50" ht="15.1" customHeight="1" x14ac:dyDescent="0.35">
      <c r="A8" s="32" t="s">
        <v>132</v>
      </c>
      <c r="B8" s="33">
        <v>2022</v>
      </c>
      <c r="C8" s="34">
        <v>96</v>
      </c>
      <c r="D8" s="34">
        <v>2</v>
      </c>
      <c r="E8" s="34">
        <v>2</v>
      </c>
      <c r="F8" s="34">
        <v>2</v>
      </c>
      <c r="G8" s="35">
        <f t="shared" si="0"/>
        <v>96</v>
      </c>
      <c r="H8" s="34">
        <v>1</v>
      </c>
      <c r="I8" s="34">
        <v>83081</v>
      </c>
      <c r="J8" s="34">
        <v>9</v>
      </c>
      <c r="K8" s="34">
        <v>23</v>
      </c>
      <c r="L8" s="34">
        <v>34</v>
      </c>
      <c r="M8" s="34">
        <v>20</v>
      </c>
      <c r="N8" s="34">
        <v>10</v>
      </c>
      <c r="O8" s="36">
        <f t="shared" si="1"/>
        <v>0.25</v>
      </c>
      <c r="P8" s="37">
        <v>0.1024</v>
      </c>
      <c r="Q8" s="38">
        <v>82.3</v>
      </c>
      <c r="R8" s="33">
        <v>1246213</v>
      </c>
      <c r="S8" s="34">
        <v>24</v>
      </c>
      <c r="T8" s="35">
        <f t="shared" si="2"/>
        <v>71</v>
      </c>
      <c r="U8" s="34">
        <v>10836861</v>
      </c>
      <c r="V8" s="35">
        <f t="shared" si="3"/>
        <v>1950634.98</v>
      </c>
      <c r="W8" s="35">
        <f t="shared" si="4"/>
        <v>866948.88</v>
      </c>
      <c r="X8" s="35">
        <f t="shared" si="5"/>
        <v>1462976.2350000001</v>
      </c>
      <c r="Y8" s="34">
        <v>122475</v>
      </c>
      <c r="Z8" s="34">
        <v>132480</v>
      </c>
      <c r="AA8" s="34">
        <v>165320</v>
      </c>
      <c r="AB8" s="34">
        <v>73206</v>
      </c>
      <c r="AC8" s="34">
        <v>240000</v>
      </c>
      <c r="AD8" s="34">
        <v>307200</v>
      </c>
      <c r="AE8" s="34">
        <v>90000</v>
      </c>
      <c r="AF8" s="34">
        <v>568000</v>
      </c>
      <c r="AG8" s="34">
        <v>85200</v>
      </c>
      <c r="AH8" s="34">
        <v>144000</v>
      </c>
      <c r="AI8" s="34">
        <v>76800</v>
      </c>
      <c r="AJ8" s="34">
        <v>57600</v>
      </c>
      <c r="AK8" s="34">
        <v>110400</v>
      </c>
      <c r="AL8" s="34">
        <v>35216</v>
      </c>
      <c r="AM8" s="35">
        <f t="shared" si="6"/>
        <v>15537696.095000001</v>
      </c>
      <c r="AN8" s="35">
        <f t="shared" si="7"/>
        <v>1787622</v>
      </c>
      <c r="AO8" s="35">
        <f t="shared" si="8"/>
        <v>17325318.094999999</v>
      </c>
      <c r="AP8" s="34">
        <v>20169523</v>
      </c>
      <c r="AQ8" s="26">
        <f>SUM(AP3:AP14)</f>
        <v>226858673</v>
      </c>
      <c r="AR8" s="26">
        <f>AQ8-SUM(AO3:AO7)</f>
        <v>138210629.465</v>
      </c>
      <c r="AS8" s="39">
        <v>7</v>
      </c>
      <c r="AT8" s="28">
        <f t="shared" si="9"/>
        <v>19744375.637857143</v>
      </c>
      <c r="AU8" s="29">
        <f t="shared" si="10"/>
        <v>2419057.542857144</v>
      </c>
      <c r="AV8" s="26">
        <f t="shared" si="11"/>
        <v>120885311.37</v>
      </c>
      <c r="AW8" s="30">
        <f t="shared" si="12"/>
        <v>0.46713383371505479</v>
      </c>
      <c r="AX8" s="31" t="str">
        <f t="shared" si="13"/>
        <v>✓ Within Budget</v>
      </c>
    </row>
    <row r="9" spans="1:50" ht="15.1" customHeight="1" x14ac:dyDescent="0.35">
      <c r="A9" s="19" t="s">
        <v>133</v>
      </c>
      <c r="B9" s="20">
        <v>2022</v>
      </c>
      <c r="C9" s="21">
        <v>96</v>
      </c>
      <c r="D9" s="21">
        <v>5</v>
      </c>
      <c r="E9" s="21">
        <v>2</v>
      </c>
      <c r="F9" s="21">
        <v>2</v>
      </c>
      <c r="G9" s="22">
        <f t="shared" si="0"/>
        <v>99</v>
      </c>
      <c r="H9" s="21">
        <v>1</v>
      </c>
      <c r="I9" s="21">
        <v>84835</v>
      </c>
      <c r="J9" s="21">
        <v>10</v>
      </c>
      <c r="K9" s="21">
        <v>25</v>
      </c>
      <c r="L9" s="21">
        <v>34</v>
      </c>
      <c r="M9" s="21">
        <v>20</v>
      </c>
      <c r="N9" s="21">
        <v>10</v>
      </c>
      <c r="O9" s="23">
        <f t="shared" si="1"/>
        <v>0.25</v>
      </c>
      <c r="P9" s="24">
        <v>9.6100000000000005E-2</v>
      </c>
      <c r="Q9" s="25">
        <v>82.85</v>
      </c>
      <c r="R9" s="20">
        <v>1272531</v>
      </c>
      <c r="S9" s="21">
        <v>25</v>
      </c>
      <c r="T9" s="22">
        <f t="shared" si="2"/>
        <v>73</v>
      </c>
      <c r="U9" s="21">
        <v>11293713</v>
      </c>
      <c r="V9" s="22">
        <f t="shared" si="3"/>
        <v>2032868.3399999999</v>
      </c>
      <c r="W9" s="22">
        <f t="shared" si="4"/>
        <v>903497.04</v>
      </c>
      <c r="X9" s="22">
        <f t="shared" si="5"/>
        <v>1524651.2550000001</v>
      </c>
      <c r="Y9" s="21">
        <v>125925</v>
      </c>
      <c r="Z9" s="21">
        <v>136620</v>
      </c>
      <c r="AA9" s="21">
        <v>167364</v>
      </c>
      <c r="AB9" s="21">
        <v>174157</v>
      </c>
      <c r="AC9" s="21">
        <v>321750</v>
      </c>
      <c r="AD9" s="21">
        <v>316800</v>
      </c>
      <c r="AE9" s="21">
        <v>225000</v>
      </c>
      <c r="AF9" s="21">
        <v>584000</v>
      </c>
      <c r="AG9" s="21">
        <v>87600</v>
      </c>
      <c r="AH9" s="21">
        <v>148500</v>
      </c>
      <c r="AI9" s="21">
        <v>79200</v>
      </c>
      <c r="AJ9" s="21">
        <v>59400</v>
      </c>
      <c r="AK9" s="21">
        <v>113850</v>
      </c>
      <c r="AL9" s="21">
        <v>45568</v>
      </c>
      <c r="AM9" s="22">
        <f t="shared" si="6"/>
        <v>16184638.635</v>
      </c>
      <c r="AN9" s="22">
        <f t="shared" si="7"/>
        <v>2155825</v>
      </c>
      <c r="AO9" s="22">
        <f t="shared" si="8"/>
        <v>18340463.634999998</v>
      </c>
      <c r="AP9" s="21">
        <v>21749155</v>
      </c>
      <c r="AQ9" s="26">
        <f>SUM(AP3:AP14)</f>
        <v>226858673</v>
      </c>
      <c r="AR9" s="26">
        <f>AQ9-SUM(AO3:AO8)</f>
        <v>120885311.37</v>
      </c>
      <c r="AS9" s="27">
        <v>6</v>
      </c>
      <c r="AT9" s="28">
        <f t="shared" si="9"/>
        <v>20147551.895</v>
      </c>
      <c r="AU9" s="29">
        <f t="shared" si="10"/>
        <v>1807088.2600000016</v>
      </c>
      <c r="AV9" s="26">
        <f t="shared" si="11"/>
        <v>102544847.73500001</v>
      </c>
      <c r="AW9" s="30">
        <f t="shared" si="12"/>
        <v>0.54797916086285137</v>
      </c>
      <c r="AX9" s="31" t="str">
        <f t="shared" si="13"/>
        <v>✓ Within Budget</v>
      </c>
    </row>
    <row r="10" spans="1:50" ht="15.1" customHeight="1" x14ac:dyDescent="0.35">
      <c r="A10" s="32" t="s">
        <v>134</v>
      </c>
      <c r="B10" s="33">
        <v>2022</v>
      </c>
      <c r="C10" s="34">
        <v>99</v>
      </c>
      <c r="D10" s="34">
        <v>2</v>
      </c>
      <c r="E10" s="34">
        <v>2</v>
      </c>
      <c r="F10" s="34">
        <v>2</v>
      </c>
      <c r="G10" s="35">
        <f t="shared" si="0"/>
        <v>99</v>
      </c>
      <c r="H10" s="34">
        <v>1</v>
      </c>
      <c r="I10" s="34">
        <v>84060</v>
      </c>
      <c r="J10" s="34">
        <v>9</v>
      </c>
      <c r="K10" s="34">
        <v>25</v>
      </c>
      <c r="L10" s="34">
        <v>34</v>
      </c>
      <c r="M10" s="34">
        <v>20</v>
      </c>
      <c r="N10" s="34">
        <v>11</v>
      </c>
      <c r="O10" s="36">
        <f t="shared" si="1"/>
        <v>0.24242424242424243</v>
      </c>
      <c r="P10" s="37">
        <v>9.7900000000000001E-2</v>
      </c>
      <c r="Q10" s="38">
        <v>83.13</v>
      </c>
      <c r="R10" s="33">
        <v>1260902</v>
      </c>
      <c r="S10" s="34">
        <v>25</v>
      </c>
      <c r="T10" s="35">
        <f t="shared" si="2"/>
        <v>73</v>
      </c>
      <c r="U10" s="41">
        <v>16998535</v>
      </c>
      <c r="V10" s="35">
        <f t="shared" si="3"/>
        <v>3059736.3</v>
      </c>
      <c r="W10" s="35">
        <f t="shared" si="4"/>
        <v>1359882.8</v>
      </c>
      <c r="X10" s="35">
        <f t="shared" si="5"/>
        <v>2294802.2250000001</v>
      </c>
      <c r="Y10" s="34">
        <v>122640</v>
      </c>
      <c r="Z10" s="34">
        <v>133056</v>
      </c>
      <c r="AA10" s="41">
        <v>255607</v>
      </c>
      <c r="AB10" s="41">
        <v>95110</v>
      </c>
      <c r="AC10" s="34">
        <v>247500</v>
      </c>
      <c r="AD10" s="34">
        <v>316800</v>
      </c>
      <c r="AE10" s="34">
        <v>90000</v>
      </c>
      <c r="AF10" s="34">
        <v>584000</v>
      </c>
      <c r="AG10" s="34">
        <v>87600</v>
      </c>
      <c r="AH10" s="34">
        <v>148500</v>
      </c>
      <c r="AI10" s="34">
        <v>79200</v>
      </c>
      <c r="AJ10" s="34">
        <v>59400</v>
      </c>
      <c r="AK10" s="41">
        <v>149688</v>
      </c>
      <c r="AL10" s="34">
        <v>53792</v>
      </c>
      <c r="AM10" s="35">
        <f t="shared" si="6"/>
        <v>24224259.325000003</v>
      </c>
      <c r="AN10" s="35">
        <f t="shared" si="7"/>
        <v>1911590</v>
      </c>
      <c r="AO10" s="35">
        <f t="shared" si="8"/>
        <v>26135849.325000003</v>
      </c>
      <c r="AP10" s="34">
        <v>20506252</v>
      </c>
      <c r="AQ10" s="26">
        <f>SUM(AP3:AP14)</f>
        <v>226858673</v>
      </c>
      <c r="AR10" s="26">
        <f>AQ10-SUM(AO3:AO9)</f>
        <v>102544847.73500001</v>
      </c>
      <c r="AS10" s="39">
        <v>5</v>
      </c>
      <c r="AT10" s="28">
        <f t="shared" si="9"/>
        <v>20508969.547000002</v>
      </c>
      <c r="AU10" s="29">
        <f t="shared" si="10"/>
        <v>-5626879.7780000009</v>
      </c>
      <c r="AV10" s="26">
        <f t="shared" si="11"/>
        <v>76408998.410000011</v>
      </c>
      <c r="AW10" s="30">
        <f t="shared" si="12"/>
        <v>0.66318678761732852</v>
      </c>
      <c r="AX10" s="31" t="str">
        <f t="shared" si="13"/>
        <v>⚠ Over Budget</v>
      </c>
    </row>
    <row r="11" spans="1:50" ht="15.1" customHeight="1" x14ac:dyDescent="0.35">
      <c r="A11" s="19" t="s">
        <v>135</v>
      </c>
      <c r="B11" s="20">
        <v>2022</v>
      </c>
      <c r="C11" s="21">
        <v>99</v>
      </c>
      <c r="D11" s="21">
        <v>2</v>
      </c>
      <c r="E11" s="21">
        <v>2</v>
      </c>
      <c r="F11" s="21">
        <v>2</v>
      </c>
      <c r="G11" s="22">
        <f t="shared" si="0"/>
        <v>99</v>
      </c>
      <c r="H11" s="21">
        <v>2</v>
      </c>
      <c r="I11" s="21">
        <v>168191</v>
      </c>
      <c r="J11" s="21">
        <v>10</v>
      </c>
      <c r="K11" s="21">
        <v>25</v>
      </c>
      <c r="L11" s="21">
        <v>35</v>
      </c>
      <c r="M11" s="21">
        <v>20</v>
      </c>
      <c r="N11" s="21">
        <v>9</v>
      </c>
      <c r="O11" s="23">
        <f t="shared" si="1"/>
        <v>0.24242424242424243</v>
      </c>
      <c r="P11" s="24">
        <v>9.4600000000000004E-2</v>
      </c>
      <c r="Q11" s="25">
        <v>83.05</v>
      </c>
      <c r="R11" s="20">
        <v>1261435</v>
      </c>
      <c r="S11" s="21">
        <v>25</v>
      </c>
      <c r="T11" s="22">
        <f t="shared" si="2"/>
        <v>72</v>
      </c>
      <c r="U11" s="21">
        <v>11100628</v>
      </c>
      <c r="V11" s="22">
        <f t="shared" si="3"/>
        <v>1998113.04</v>
      </c>
      <c r="W11" s="22">
        <f t="shared" si="4"/>
        <v>888050.24</v>
      </c>
      <c r="X11" s="22">
        <f t="shared" si="5"/>
        <v>1498584.78</v>
      </c>
      <c r="Y11" s="21">
        <v>108000</v>
      </c>
      <c r="Z11" s="21">
        <v>118800</v>
      </c>
      <c r="AA11" s="21">
        <v>173495</v>
      </c>
      <c r="AB11" s="21">
        <v>74260</v>
      </c>
      <c r="AC11" s="21">
        <v>247500</v>
      </c>
      <c r="AD11" s="21">
        <v>316800</v>
      </c>
      <c r="AE11" s="21">
        <v>90000</v>
      </c>
      <c r="AF11" s="21">
        <v>576000</v>
      </c>
      <c r="AG11" s="21">
        <v>86400</v>
      </c>
      <c r="AH11" s="21">
        <v>148500</v>
      </c>
      <c r="AI11" s="21">
        <v>79200</v>
      </c>
      <c r="AJ11" s="21">
        <v>59400</v>
      </c>
      <c r="AK11" s="21">
        <v>99000</v>
      </c>
      <c r="AL11" s="21">
        <v>49073</v>
      </c>
      <c r="AM11" s="22">
        <f t="shared" si="6"/>
        <v>15885671.059999999</v>
      </c>
      <c r="AN11" s="22">
        <f t="shared" si="7"/>
        <v>1826133</v>
      </c>
      <c r="AO11" s="22">
        <f t="shared" si="8"/>
        <v>17711804.059999999</v>
      </c>
      <c r="AP11" s="21">
        <v>17183754</v>
      </c>
      <c r="AQ11" s="26">
        <f>SUM(AP3:AP14)</f>
        <v>226858673</v>
      </c>
      <c r="AR11" s="26">
        <f>AQ11-SUM(AO3:AO10)</f>
        <v>76408998.410000026</v>
      </c>
      <c r="AS11" s="27">
        <v>4</v>
      </c>
      <c r="AT11" s="28">
        <f t="shared" si="9"/>
        <v>19102249.602500007</v>
      </c>
      <c r="AU11" s="29">
        <f t="shared" si="10"/>
        <v>1390445.5425000079</v>
      </c>
      <c r="AV11" s="26">
        <f t="shared" si="11"/>
        <v>58697194.350000024</v>
      </c>
      <c r="AW11" s="30">
        <f t="shared" si="12"/>
        <v>0.7412609640452229</v>
      </c>
      <c r="AX11" s="31" t="str">
        <f t="shared" si="13"/>
        <v>✓ Within Budget</v>
      </c>
    </row>
    <row r="12" spans="1:50" ht="15.1" customHeight="1" x14ac:dyDescent="0.35">
      <c r="A12" s="32" t="s">
        <v>136</v>
      </c>
      <c r="B12" s="33">
        <v>2023</v>
      </c>
      <c r="C12" s="34">
        <v>99</v>
      </c>
      <c r="D12" s="34">
        <v>2</v>
      </c>
      <c r="E12" s="34">
        <v>2</v>
      </c>
      <c r="F12" s="34">
        <v>2</v>
      </c>
      <c r="G12" s="35">
        <f t="shared" si="0"/>
        <v>99</v>
      </c>
      <c r="H12" s="34">
        <v>1</v>
      </c>
      <c r="I12" s="34">
        <v>86012</v>
      </c>
      <c r="J12" s="34">
        <v>10</v>
      </c>
      <c r="K12" s="34">
        <v>25</v>
      </c>
      <c r="L12" s="34">
        <v>35</v>
      </c>
      <c r="M12" s="34">
        <v>19</v>
      </c>
      <c r="N12" s="34">
        <v>10</v>
      </c>
      <c r="O12" s="36">
        <f t="shared" si="1"/>
        <v>0.24242424242424243</v>
      </c>
      <c r="P12" s="37">
        <v>0.12180000000000001</v>
      </c>
      <c r="Q12" s="38">
        <v>83.83</v>
      </c>
      <c r="R12" s="33">
        <v>1290184</v>
      </c>
      <c r="S12" s="34">
        <v>25</v>
      </c>
      <c r="T12" s="35">
        <f t="shared" si="2"/>
        <v>73</v>
      </c>
      <c r="U12" s="34">
        <v>11407377</v>
      </c>
      <c r="V12" s="35">
        <f t="shared" si="3"/>
        <v>2053327.8599999999</v>
      </c>
      <c r="W12" s="35">
        <f t="shared" si="4"/>
        <v>912590.16</v>
      </c>
      <c r="X12" s="35">
        <f t="shared" si="5"/>
        <v>1539995.895</v>
      </c>
      <c r="Y12" s="34">
        <v>118260</v>
      </c>
      <c r="Z12" s="34">
        <v>128304</v>
      </c>
      <c r="AA12" s="34">
        <v>164213</v>
      </c>
      <c r="AB12" s="34">
        <v>67694</v>
      </c>
      <c r="AC12" s="34">
        <v>247500</v>
      </c>
      <c r="AD12" s="34">
        <v>316800</v>
      </c>
      <c r="AE12" s="34">
        <v>90000</v>
      </c>
      <c r="AF12" s="34">
        <v>584000</v>
      </c>
      <c r="AG12" s="34">
        <v>87600</v>
      </c>
      <c r="AH12" s="34">
        <v>148500</v>
      </c>
      <c r="AI12" s="34">
        <v>79200</v>
      </c>
      <c r="AJ12" s="34">
        <v>59400</v>
      </c>
      <c r="AK12" s="34">
        <v>106920</v>
      </c>
      <c r="AL12" s="34">
        <v>50956</v>
      </c>
      <c r="AM12" s="35">
        <f t="shared" si="6"/>
        <v>16324067.914999999</v>
      </c>
      <c r="AN12" s="35">
        <f t="shared" si="7"/>
        <v>1838570</v>
      </c>
      <c r="AO12" s="35">
        <f t="shared" si="8"/>
        <v>18162637.914999999</v>
      </c>
      <c r="AP12" s="34">
        <v>20613954</v>
      </c>
      <c r="AQ12" s="26">
        <f>SUM(AP3:AP14)</f>
        <v>226858673</v>
      </c>
      <c r="AR12" s="26">
        <f>AQ12-SUM(AO3:AO11)</f>
        <v>58697194.350000024</v>
      </c>
      <c r="AS12" s="39">
        <v>3</v>
      </c>
      <c r="AT12" s="28">
        <f t="shared" si="9"/>
        <v>19565731.450000007</v>
      </c>
      <c r="AU12" s="29">
        <f t="shared" si="10"/>
        <v>1403093.5350000076</v>
      </c>
      <c r="AV12" s="26">
        <f t="shared" si="11"/>
        <v>40534556.435000025</v>
      </c>
      <c r="AW12" s="30">
        <f t="shared" si="12"/>
        <v>0.8213224299562043</v>
      </c>
      <c r="AX12" s="31" t="str">
        <f t="shared" si="13"/>
        <v>✓ Within Budget</v>
      </c>
    </row>
    <row r="13" spans="1:50" ht="15.1" customHeight="1" x14ac:dyDescent="0.35">
      <c r="A13" s="19" t="s">
        <v>137</v>
      </c>
      <c r="B13" s="20">
        <v>2023</v>
      </c>
      <c r="C13" s="21">
        <v>99</v>
      </c>
      <c r="D13" s="21">
        <v>2</v>
      </c>
      <c r="E13" s="21">
        <v>1</v>
      </c>
      <c r="F13" s="21">
        <v>1</v>
      </c>
      <c r="G13" s="22">
        <f t="shared" si="0"/>
        <v>100</v>
      </c>
      <c r="H13" s="21">
        <v>1</v>
      </c>
      <c r="I13" s="21">
        <v>85792</v>
      </c>
      <c r="J13" s="21">
        <v>8</v>
      </c>
      <c r="K13" s="21">
        <v>25</v>
      </c>
      <c r="L13" s="21">
        <v>40</v>
      </c>
      <c r="M13" s="21">
        <v>19</v>
      </c>
      <c r="N13" s="21">
        <v>8</v>
      </c>
      <c r="O13" s="23">
        <f t="shared" si="1"/>
        <v>0.12121212121212122</v>
      </c>
      <c r="P13" s="24">
        <v>9.4399999999999998E-2</v>
      </c>
      <c r="Q13" s="25">
        <v>83.77</v>
      </c>
      <c r="R13" s="20">
        <v>1286886</v>
      </c>
      <c r="S13" s="21">
        <v>25</v>
      </c>
      <c r="T13" s="22">
        <f t="shared" si="2"/>
        <v>74</v>
      </c>
      <c r="U13" s="40">
        <v>16513964</v>
      </c>
      <c r="V13" s="22">
        <f t="shared" si="3"/>
        <v>2972513.52</v>
      </c>
      <c r="W13" s="22">
        <f t="shared" si="4"/>
        <v>1321117.1200000001</v>
      </c>
      <c r="X13" s="22">
        <f t="shared" si="5"/>
        <v>2229385.14</v>
      </c>
      <c r="Y13" s="21">
        <v>119880</v>
      </c>
      <c r="Z13" s="21">
        <v>129600</v>
      </c>
      <c r="AA13" s="40">
        <v>214673</v>
      </c>
      <c r="AB13" s="40">
        <v>92158</v>
      </c>
      <c r="AC13" s="21">
        <v>250000</v>
      </c>
      <c r="AD13" s="21">
        <v>320000</v>
      </c>
      <c r="AE13" s="21">
        <v>90000</v>
      </c>
      <c r="AF13" s="21">
        <v>592000</v>
      </c>
      <c r="AG13" s="21">
        <v>88800</v>
      </c>
      <c r="AH13" s="21">
        <v>150000</v>
      </c>
      <c r="AI13" s="21">
        <v>80000</v>
      </c>
      <c r="AJ13" s="21">
        <v>60000</v>
      </c>
      <c r="AK13" s="40">
        <v>145800</v>
      </c>
      <c r="AL13" s="21">
        <v>47271</v>
      </c>
      <c r="AM13" s="22">
        <f t="shared" si="6"/>
        <v>23501132.780000001</v>
      </c>
      <c r="AN13" s="22">
        <f t="shared" si="7"/>
        <v>1916029</v>
      </c>
      <c r="AO13" s="22">
        <f t="shared" si="8"/>
        <v>25417161.780000001</v>
      </c>
      <c r="AP13" s="21">
        <v>19932999</v>
      </c>
      <c r="AQ13" s="26">
        <f>SUM(AP3:AP14)</f>
        <v>226858673</v>
      </c>
      <c r="AR13" s="26">
        <f>AQ13-SUM(AO3:AO12)</f>
        <v>40534556.435000032</v>
      </c>
      <c r="AS13" s="27">
        <v>2</v>
      </c>
      <c r="AT13" s="28">
        <f t="shared" si="9"/>
        <v>20267278.217500016</v>
      </c>
      <c r="AU13" s="29">
        <f t="shared" si="10"/>
        <v>-5149883.5624999851</v>
      </c>
      <c r="AV13" s="26">
        <f t="shared" si="11"/>
        <v>15117394.655000031</v>
      </c>
      <c r="AW13" s="30">
        <f t="shared" si="12"/>
        <v>0.93336205993323418</v>
      </c>
      <c r="AX13" s="31" t="str">
        <f t="shared" si="13"/>
        <v>⚠ Over Budget</v>
      </c>
    </row>
    <row r="14" spans="1:50" ht="15.1" customHeight="1" x14ac:dyDescent="0.35">
      <c r="A14" s="32" t="s">
        <v>138</v>
      </c>
      <c r="B14" s="33">
        <v>2023</v>
      </c>
      <c r="C14" s="34">
        <v>100</v>
      </c>
      <c r="D14" s="34">
        <v>3</v>
      </c>
      <c r="E14" s="34">
        <v>2</v>
      </c>
      <c r="F14" s="34">
        <v>2</v>
      </c>
      <c r="G14" s="35">
        <f t="shared" si="0"/>
        <v>101</v>
      </c>
      <c r="H14" s="34">
        <v>1</v>
      </c>
      <c r="I14" s="34">
        <v>87344</v>
      </c>
      <c r="J14" s="34">
        <v>10</v>
      </c>
      <c r="K14" s="34">
        <v>26</v>
      </c>
      <c r="L14" s="34">
        <v>35</v>
      </c>
      <c r="M14" s="34">
        <v>19</v>
      </c>
      <c r="N14" s="34">
        <v>11</v>
      </c>
      <c r="O14" s="36">
        <f t="shared" si="1"/>
        <v>0.24</v>
      </c>
      <c r="P14" s="37">
        <v>9.7900000000000001E-2</v>
      </c>
      <c r="Q14" s="38">
        <v>83.58</v>
      </c>
      <c r="R14" s="33">
        <v>1310160</v>
      </c>
      <c r="S14" s="34">
        <v>25</v>
      </c>
      <c r="T14" s="35">
        <f t="shared" si="2"/>
        <v>75</v>
      </c>
      <c r="U14" s="34">
        <v>11878784</v>
      </c>
      <c r="V14" s="35">
        <f t="shared" si="3"/>
        <v>2138181.12</v>
      </c>
      <c r="W14" s="35">
        <f t="shared" si="4"/>
        <v>950302.71999999997</v>
      </c>
      <c r="X14" s="35">
        <f t="shared" si="5"/>
        <v>1603635.84</v>
      </c>
      <c r="Y14" s="34">
        <v>119250</v>
      </c>
      <c r="Z14" s="34">
        <v>128472</v>
      </c>
      <c r="AA14" s="34">
        <v>188486</v>
      </c>
      <c r="AB14" s="34">
        <v>106318</v>
      </c>
      <c r="AC14" s="34">
        <v>252500</v>
      </c>
      <c r="AD14" s="34">
        <v>323200</v>
      </c>
      <c r="AE14" s="34">
        <v>135000</v>
      </c>
      <c r="AF14" s="34">
        <v>600000</v>
      </c>
      <c r="AG14" s="34">
        <v>90000</v>
      </c>
      <c r="AH14" s="34">
        <v>151500</v>
      </c>
      <c r="AI14" s="34">
        <v>80800</v>
      </c>
      <c r="AJ14" s="34">
        <v>60600</v>
      </c>
      <c r="AK14" s="34">
        <v>107060</v>
      </c>
      <c r="AL14" s="34">
        <v>47834</v>
      </c>
      <c r="AM14" s="35">
        <f t="shared" si="6"/>
        <v>17007111.68</v>
      </c>
      <c r="AN14" s="35">
        <f t="shared" si="7"/>
        <v>1954812</v>
      </c>
      <c r="AO14" s="35">
        <f t="shared" si="8"/>
        <v>18961923.68</v>
      </c>
      <c r="AP14" s="34">
        <v>20572634</v>
      </c>
      <c r="AQ14" s="26">
        <f>SUM(AP3:AP14)</f>
        <v>226858673</v>
      </c>
      <c r="AR14" s="26">
        <f>AQ14-SUM(AO3:AO13)</f>
        <v>15117394.655000031</v>
      </c>
      <c r="AS14" s="39">
        <v>1</v>
      </c>
      <c r="AT14" s="28">
        <f t="shared" si="9"/>
        <v>15117394.655000031</v>
      </c>
      <c r="AU14" s="29">
        <f t="shared" si="10"/>
        <v>-3844529.0249999687</v>
      </c>
      <c r="AV14" s="26">
        <f t="shared" si="11"/>
        <v>-3844529.0249999687</v>
      </c>
      <c r="AW14" s="30">
        <f t="shared" si="12"/>
        <v>1.0169468020515133</v>
      </c>
      <c r="AX14" s="31" t="str">
        <f t="shared" si="13"/>
        <v>⚠ Over Budget</v>
      </c>
    </row>
    <row r="15" spans="1:50" ht="15.1" customHeight="1" x14ac:dyDescent="0.35">
      <c r="A15" s="19" t="s">
        <v>139</v>
      </c>
      <c r="B15" s="20">
        <v>2023</v>
      </c>
      <c r="C15" s="21">
        <v>101</v>
      </c>
      <c r="D15" s="21">
        <v>6</v>
      </c>
      <c r="E15" s="21">
        <v>3</v>
      </c>
      <c r="F15" s="21">
        <v>3</v>
      </c>
      <c r="G15" s="22">
        <f t="shared" si="0"/>
        <v>104</v>
      </c>
      <c r="H15" s="21">
        <v>2</v>
      </c>
      <c r="I15" s="21">
        <v>174097</v>
      </c>
      <c r="J15" s="21">
        <v>9</v>
      </c>
      <c r="K15" s="21">
        <v>30</v>
      </c>
      <c r="L15" s="21">
        <v>35</v>
      </c>
      <c r="M15" s="21">
        <v>20</v>
      </c>
      <c r="N15" s="21">
        <v>10</v>
      </c>
      <c r="O15" s="23">
        <f t="shared" si="1"/>
        <v>0.35643564356435642</v>
      </c>
      <c r="P15" s="24">
        <v>0.12809999999999999</v>
      </c>
      <c r="Q15" s="25">
        <v>83.93</v>
      </c>
      <c r="R15" s="20">
        <v>1305729</v>
      </c>
      <c r="S15" s="21">
        <v>26</v>
      </c>
      <c r="T15" s="22">
        <f t="shared" si="2"/>
        <v>76</v>
      </c>
      <c r="U15" s="21">
        <v>12072553</v>
      </c>
      <c r="V15" s="22">
        <f t="shared" si="3"/>
        <v>2173059.54</v>
      </c>
      <c r="W15" s="22">
        <f t="shared" si="4"/>
        <v>965804.24</v>
      </c>
      <c r="X15" s="22">
        <f t="shared" si="5"/>
        <v>1629794.655</v>
      </c>
      <c r="Y15" s="21">
        <v>125400</v>
      </c>
      <c r="Z15" s="21">
        <v>137280</v>
      </c>
      <c r="AA15" s="21">
        <v>183764</v>
      </c>
      <c r="AB15" s="21">
        <v>212735</v>
      </c>
      <c r="AC15" s="21">
        <v>338000</v>
      </c>
      <c r="AD15" s="21">
        <v>332800</v>
      </c>
      <c r="AE15" s="21">
        <v>270000</v>
      </c>
      <c r="AF15" s="21">
        <v>608000</v>
      </c>
      <c r="AG15" s="21">
        <v>91200</v>
      </c>
      <c r="AH15" s="21">
        <v>156000</v>
      </c>
      <c r="AI15" s="21">
        <v>83200</v>
      </c>
      <c r="AJ15" s="21">
        <v>62400</v>
      </c>
      <c r="AK15" s="21">
        <v>114400</v>
      </c>
      <c r="AL15" s="21">
        <v>49452</v>
      </c>
      <c r="AM15" s="22">
        <f t="shared" si="6"/>
        <v>17287655.434999999</v>
      </c>
      <c r="AN15" s="22">
        <f t="shared" si="7"/>
        <v>2318187</v>
      </c>
      <c r="AO15" s="22">
        <f t="shared" si="8"/>
        <v>19605842.434999999</v>
      </c>
      <c r="AP15" s="21">
        <v>20879323</v>
      </c>
      <c r="AQ15" s="26">
        <f>SUM(AP15:AP26)</f>
        <v>271551207</v>
      </c>
      <c r="AR15" s="26">
        <f>AQ15</f>
        <v>271551207</v>
      </c>
      <c r="AS15" s="27">
        <v>12</v>
      </c>
      <c r="AT15" s="28">
        <f t="shared" si="9"/>
        <v>22629267.25</v>
      </c>
      <c r="AU15" s="29">
        <f t="shared" si="10"/>
        <v>3023424.8150000013</v>
      </c>
      <c r="AV15" s="26">
        <f t="shared" si="11"/>
        <v>251945364.565</v>
      </c>
      <c r="AW15" s="30">
        <f t="shared" si="12"/>
        <v>7.2199430271727733E-2</v>
      </c>
      <c r="AX15" s="31" t="str">
        <f t="shared" si="13"/>
        <v>✓ Within Budget</v>
      </c>
    </row>
    <row r="16" spans="1:50" ht="15.1" customHeight="1" x14ac:dyDescent="0.35">
      <c r="A16" s="32" t="s">
        <v>140</v>
      </c>
      <c r="B16" s="33">
        <v>2023</v>
      </c>
      <c r="C16" s="34">
        <v>104</v>
      </c>
      <c r="D16" s="34">
        <v>3</v>
      </c>
      <c r="E16" s="34">
        <v>2</v>
      </c>
      <c r="F16" s="34">
        <v>2</v>
      </c>
      <c r="G16" s="35">
        <f t="shared" si="0"/>
        <v>105</v>
      </c>
      <c r="H16" s="34">
        <v>2</v>
      </c>
      <c r="I16" s="34">
        <v>180454</v>
      </c>
      <c r="J16" s="34">
        <v>10</v>
      </c>
      <c r="K16" s="34">
        <v>27</v>
      </c>
      <c r="L16" s="34">
        <v>39</v>
      </c>
      <c r="M16" s="34">
        <v>19</v>
      </c>
      <c r="N16" s="34">
        <v>10</v>
      </c>
      <c r="O16" s="36">
        <f t="shared" si="1"/>
        <v>0.23076923076923078</v>
      </c>
      <c r="P16" s="37">
        <v>0.1067</v>
      </c>
      <c r="Q16" s="38">
        <v>83.73</v>
      </c>
      <c r="R16" s="33">
        <v>1353408</v>
      </c>
      <c r="S16" s="34">
        <v>26</v>
      </c>
      <c r="T16" s="35">
        <f t="shared" si="2"/>
        <v>77</v>
      </c>
      <c r="U16" s="34">
        <v>12597973</v>
      </c>
      <c r="V16" s="35">
        <f t="shared" si="3"/>
        <v>2267635.14</v>
      </c>
      <c r="W16" s="35">
        <f t="shared" si="4"/>
        <v>1007837.84</v>
      </c>
      <c r="X16" s="35">
        <f t="shared" si="5"/>
        <v>1700726.3550000002</v>
      </c>
      <c r="Y16" s="34">
        <v>127050</v>
      </c>
      <c r="Z16" s="34">
        <v>138600</v>
      </c>
      <c r="AA16" s="34">
        <v>193884</v>
      </c>
      <c r="AB16" s="34">
        <v>99178</v>
      </c>
      <c r="AC16" s="34">
        <v>341250</v>
      </c>
      <c r="AD16" s="34">
        <v>336000</v>
      </c>
      <c r="AE16" s="34">
        <v>135000</v>
      </c>
      <c r="AF16" s="34">
        <v>616000</v>
      </c>
      <c r="AG16" s="34">
        <v>92400</v>
      </c>
      <c r="AH16" s="34">
        <v>157500</v>
      </c>
      <c r="AI16" s="34">
        <v>84000</v>
      </c>
      <c r="AJ16" s="34">
        <v>63000</v>
      </c>
      <c r="AK16" s="34">
        <v>115500</v>
      </c>
      <c r="AL16" s="34">
        <v>45826</v>
      </c>
      <c r="AM16" s="35">
        <f t="shared" si="6"/>
        <v>18033706.335000001</v>
      </c>
      <c r="AN16" s="35">
        <f t="shared" si="7"/>
        <v>2085654</v>
      </c>
      <c r="AO16" s="35">
        <f t="shared" si="8"/>
        <v>20119360.335000001</v>
      </c>
      <c r="AP16" s="34">
        <v>22404552</v>
      </c>
      <c r="AQ16" s="26">
        <f>SUM(AP15:AP26)</f>
        <v>271551207</v>
      </c>
      <c r="AR16" s="26">
        <f>AQ16-SUM(AO15:AO15)</f>
        <v>251945364.565</v>
      </c>
      <c r="AS16" s="39">
        <v>11</v>
      </c>
      <c r="AT16" s="28">
        <f t="shared" si="9"/>
        <v>22904124.051363636</v>
      </c>
      <c r="AU16" s="29">
        <f t="shared" si="10"/>
        <v>2784763.7163636349</v>
      </c>
      <c r="AV16" s="26">
        <f t="shared" si="11"/>
        <v>231826004.22999999</v>
      </c>
      <c r="AW16" s="30">
        <f t="shared" si="12"/>
        <v>0.14628991418918647</v>
      </c>
      <c r="AX16" s="31" t="str">
        <f t="shared" si="13"/>
        <v>✓ Within Budget</v>
      </c>
    </row>
    <row r="17" spans="1:50" ht="15.1" customHeight="1" x14ac:dyDescent="0.35">
      <c r="A17" s="19" t="s">
        <v>141</v>
      </c>
      <c r="B17" s="20">
        <v>2023</v>
      </c>
      <c r="C17" s="21">
        <v>105</v>
      </c>
      <c r="D17" s="21">
        <v>1</v>
      </c>
      <c r="E17" s="21">
        <v>3</v>
      </c>
      <c r="F17" s="21">
        <v>3</v>
      </c>
      <c r="G17" s="22">
        <f t="shared" si="0"/>
        <v>103</v>
      </c>
      <c r="H17" s="21">
        <v>1</v>
      </c>
      <c r="I17" s="21">
        <v>89371</v>
      </c>
      <c r="J17" s="21">
        <v>11</v>
      </c>
      <c r="K17" s="21">
        <v>27</v>
      </c>
      <c r="L17" s="21">
        <v>35</v>
      </c>
      <c r="M17" s="21">
        <v>20</v>
      </c>
      <c r="N17" s="21">
        <v>10</v>
      </c>
      <c r="O17" s="23">
        <f t="shared" si="1"/>
        <v>0.34285714285714286</v>
      </c>
      <c r="P17" s="24">
        <v>0.1018</v>
      </c>
      <c r="Q17" s="25">
        <v>84.26</v>
      </c>
      <c r="R17" s="20">
        <v>1340567</v>
      </c>
      <c r="S17" s="21">
        <v>26</v>
      </c>
      <c r="T17" s="22">
        <f t="shared" si="2"/>
        <v>76</v>
      </c>
      <c r="U17" s="21">
        <v>12249431</v>
      </c>
      <c r="V17" s="22">
        <f t="shared" si="3"/>
        <v>2204897.58</v>
      </c>
      <c r="W17" s="22">
        <f t="shared" si="4"/>
        <v>979954.48</v>
      </c>
      <c r="X17" s="22">
        <f t="shared" si="5"/>
        <v>1653673.1850000001</v>
      </c>
      <c r="Y17" s="21">
        <v>119700</v>
      </c>
      <c r="Z17" s="21">
        <v>129780</v>
      </c>
      <c r="AA17" s="21">
        <v>169739</v>
      </c>
      <c r="AB17" s="21">
        <v>35212</v>
      </c>
      <c r="AC17" s="21">
        <v>257500</v>
      </c>
      <c r="AD17" s="21">
        <v>329600</v>
      </c>
      <c r="AE17" s="21">
        <v>45000</v>
      </c>
      <c r="AF17" s="21">
        <v>608000</v>
      </c>
      <c r="AG17" s="21">
        <v>91200</v>
      </c>
      <c r="AH17" s="21">
        <v>154500</v>
      </c>
      <c r="AI17" s="21">
        <v>82400</v>
      </c>
      <c r="AJ17" s="21">
        <v>61800</v>
      </c>
      <c r="AK17" s="21">
        <v>108150</v>
      </c>
      <c r="AL17" s="21">
        <v>46113</v>
      </c>
      <c r="AM17" s="22">
        <f t="shared" si="6"/>
        <v>17507175.245000001</v>
      </c>
      <c r="AN17" s="22">
        <f t="shared" si="7"/>
        <v>1819475</v>
      </c>
      <c r="AO17" s="22">
        <f t="shared" si="8"/>
        <v>19326650.245000001</v>
      </c>
      <c r="AP17" s="21">
        <v>19011930</v>
      </c>
      <c r="AQ17" s="26">
        <f>SUM(AP15:AP26)</f>
        <v>271551207</v>
      </c>
      <c r="AR17" s="26">
        <f>AQ17-SUM(AO15:AO16)</f>
        <v>231826004.23000002</v>
      </c>
      <c r="AS17" s="27">
        <v>10</v>
      </c>
      <c r="AT17" s="28">
        <f t="shared" si="9"/>
        <v>23182600.423</v>
      </c>
      <c r="AU17" s="29">
        <f t="shared" si="10"/>
        <v>3855950.1779999994</v>
      </c>
      <c r="AV17" s="26">
        <f t="shared" si="11"/>
        <v>212499353.98500001</v>
      </c>
      <c r="AW17" s="30">
        <f t="shared" si="12"/>
        <v>0.21746120618421699</v>
      </c>
      <c r="AX17" s="31" t="str">
        <f t="shared" si="13"/>
        <v>✓ Within Budget</v>
      </c>
    </row>
    <row r="18" spans="1:50" ht="15.1" customHeight="1" x14ac:dyDescent="0.35">
      <c r="A18" s="32" t="s">
        <v>142</v>
      </c>
      <c r="B18" s="33">
        <v>2023</v>
      </c>
      <c r="C18" s="34">
        <v>103</v>
      </c>
      <c r="D18" s="34">
        <v>2</v>
      </c>
      <c r="E18" s="34">
        <v>1</v>
      </c>
      <c r="F18" s="34">
        <v>1</v>
      </c>
      <c r="G18" s="35">
        <f t="shared" si="0"/>
        <v>104</v>
      </c>
      <c r="H18" s="34">
        <v>2</v>
      </c>
      <c r="I18" s="34">
        <v>179810</v>
      </c>
      <c r="J18" s="34">
        <v>12</v>
      </c>
      <c r="K18" s="34">
        <v>28</v>
      </c>
      <c r="L18" s="34">
        <v>33</v>
      </c>
      <c r="M18" s="34">
        <v>20</v>
      </c>
      <c r="N18" s="34">
        <v>11</v>
      </c>
      <c r="O18" s="36">
        <f t="shared" si="1"/>
        <v>0.11650485436893203</v>
      </c>
      <c r="P18" s="37">
        <v>0.1053</v>
      </c>
      <c r="Q18" s="38">
        <v>83.97</v>
      </c>
      <c r="R18" s="33">
        <v>1348574</v>
      </c>
      <c r="S18" s="34">
        <v>26</v>
      </c>
      <c r="T18" s="35">
        <f t="shared" si="2"/>
        <v>76</v>
      </c>
      <c r="U18" s="41">
        <v>18445345</v>
      </c>
      <c r="V18" s="35">
        <f t="shared" si="3"/>
        <v>3320162.1</v>
      </c>
      <c r="W18" s="35">
        <f t="shared" si="4"/>
        <v>1475627.6</v>
      </c>
      <c r="X18" s="35">
        <f t="shared" si="5"/>
        <v>2490121.5750000002</v>
      </c>
      <c r="Y18" s="34">
        <v>114000</v>
      </c>
      <c r="Z18" s="34">
        <v>124800</v>
      </c>
      <c r="AA18" s="41">
        <v>292621</v>
      </c>
      <c r="AB18" s="41">
        <v>90301</v>
      </c>
      <c r="AC18" s="34">
        <v>260000</v>
      </c>
      <c r="AD18" s="34">
        <v>332800</v>
      </c>
      <c r="AE18" s="34">
        <v>90000</v>
      </c>
      <c r="AF18" s="34">
        <v>608000</v>
      </c>
      <c r="AG18" s="34">
        <v>91200</v>
      </c>
      <c r="AH18" s="34">
        <v>156000</v>
      </c>
      <c r="AI18" s="34">
        <v>83200</v>
      </c>
      <c r="AJ18" s="34">
        <v>62400</v>
      </c>
      <c r="AK18" s="41">
        <v>140400</v>
      </c>
      <c r="AL18" s="34">
        <v>48117</v>
      </c>
      <c r="AM18" s="35">
        <f t="shared" si="6"/>
        <v>26262677.275000002</v>
      </c>
      <c r="AN18" s="35">
        <f t="shared" si="7"/>
        <v>1962418</v>
      </c>
      <c r="AO18" s="35">
        <f t="shared" si="8"/>
        <v>28225095.275000002</v>
      </c>
      <c r="AP18" s="34">
        <v>19809989</v>
      </c>
      <c r="AQ18" s="26">
        <f>SUM(AP15:AP26)</f>
        <v>271551207</v>
      </c>
      <c r="AR18" s="26">
        <f>AQ18-SUM(AO15:AO17)</f>
        <v>212499353.98500001</v>
      </c>
      <c r="AS18" s="39">
        <v>9</v>
      </c>
      <c r="AT18" s="28">
        <f t="shared" si="9"/>
        <v>23611039.331666667</v>
      </c>
      <c r="AU18" s="29">
        <f t="shared" si="10"/>
        <v>-4614055.9433333352</v>
      </c>
      <c r="AV18" s="26">
        <f t="shared" si="11"/>
        <v>184274258.71000001</v>
      </c>
      <c r="AW18" s="30">
        <f t="shared" si="12"/>
        <v>0.32140143751966455</v>
      </c>
      <c r="AX18" s="31" t="str">
        <f t="shared" si="13"/>
        <v>⚠ Over Budget</v>
      </c>
    </row>
    <row r="19" spans="1:50" ht="15.1" customHeight="1" x14ac:dyDescent="0.35">
      <c r="A19" s="19" t="s">
        <v>143</v>
      </c>
      <c r="B19" s="20">
        <v>2023</v>
      </c>
      <c r="C19" s="21">
        <v>104</v>
      </c>
      <c r="D19" s="21">
        <v>3</v>
      </c>
      <c r="E19" s="21">
        <v>1</v>
      </c>
      <c r="F19" s="21">
        <v>1</v>
      </c>
      <c r="G19" s="22">
        <f t="shared" si="0"/>
        <v>106</v>
      </c>
      <c r="H19" s="21">
        <v>2</v>
      </c>
      <c r="I19" s="21">
        <v>182734</v>
      </c>
      <c r="J19" s="21">
        <v>9</v>
      </c>
      <c r="K19" s="21">
        <v>26</v>
      </c>
      <c r="L19" s="21">
        <v>38</v>
      </c>
      <c r="M19" s="21">
        <v>22</v>
      </c>
      <c r="N19" s="21">
        <v>11</v>
      </c>
      <c r="O19" s="23">
        <f t="shared" si="1"/>
        <v>0.11538461538461539</v>
      </c>
      <c r="P19" s="24">
        <v>9.5299999999999996E-2</v>
      </c>
      <c r="Q19" s="25">
        <v>84.11</v>
      </c>
      <c r="R19" s="20">
        <v>1370507</v>
      </c>
      <c r="S19" s="21">
        <v>26</v>
      </c>
      <c r="T19" s="22">
        <f t="shared" si="2"/>
        <v>78</v>
      </c>
      <c r="U19" s="21">
        <v>13185419</v>
      </c>
      <c r="V19" s="22">
        <f t="shared" si="3"/>
        <v>2373375.42</v>
      </c>
      <c r="W19" s="22">
        <f t="shared" si="4"/>
        <v>1054833.52</v>
      </c>
      <c r="X19" s="22">
        <f t="shared" si="5"/>
        <v>1780031.5650000002</v>
      </c>
      <c r="Y19" s="21">
        <v>117000</v>
      </c>
      <c r="Z19" s="21">
        <v>127200</v>
      </c>
      <c r="AA19" s="21">
        <v>192164</v>
      </c>
      <c r="AB19" s="21">
        <v>112252</v>
      </c>
      <c r="AC19" s="21">
        <v>265000</v>
      </c>
      <c r="AD19" s="21">
        <v>339200</v>
      </c>
      <c r="AE19" s="21">
        <v>135000</v>
      </c>
      <c r="AF19" s="21">
        <v>624000</v>
      </c>
      <c r="AG19" s="21">
        <v>93600</v>
      </c>
      <c r="AH19" s="21">
        <v>159000</v>
      </c>
      <c r="AI19" s="21">
        <v>84800</v>
      </c>
      <c r="AJ19" s="21">
        <v>63600</v>
      </c>
      <c r="AK19" s="21">
        <v>106000</v>
      </c>
      <c r="AL19" s="21">
        <v>42011</v>
      </c>
      <c r="AM19" s="22">
        <f t="shared" si="6"/>
        <v>18830023.504999999</v>
      </c>
      <c r="AN19" s="22">
        <f t="shared" si="7"/>
        <v>2024463</v>
      </c>
      <c r="AO19" s="22">
        <f t="shared" si="8"/>
        <v>20854486.504999999</v>
      </c>
      <c r="AP19" s="21">
        <v>20673024</v>
      </c>
      <c r="AQ19" s="26">
        <f>SUM(AP15:AP26)</f>
        <v>271551207</v>
      </c>
      <c r="AR19" s="26">
        <f>AQ19-SUM(AO15:AO18)</f>
        <v>184274258.70999998</v>
      </c>
      <c r="AS19" s="27">
        <v>8</v>
      </c>
      <c r="AT19" s="28">
        <f t="shared" si="9"/>
        <v>23034282.338749997</v>
      </c>
      <c r="AU19" s="29">
        <f t="shared" si="10"/>
        <v>2179795.8337499984</v>
      </c>
      <c r="AV19" s="26">
        <f t="shared" si="11"/>
        <v>163419772.20499998</v>
      </c>
      <c r="AW19" s="30">
        <f t="shared" si="12"/>
        <v>0.39819905788524085</v>
      </c>
      <c r="AX19" s="31" t="str">
        <f t="shared" si="13"/>
        <v>✓ Within Budget</v>
      </c>
    </row>
    <row r="20" spans="1:50" ht="15.1" customHeight="1" x14ac:dyDescent="0.35">
      <c r="A20" s="32" t="s">
        <v>144</v>
      </c>
      <c r="B20" s="33">
        <v>2023</v>
      </c>
      <c r="C20" s="34">
        <v>106</v>
      </c>
      <c r="D20" s="34">
        <v>4</v>
      </c>
      <c r="E20" s="34">
        <v>1</v>
      </c>
      <c r="F20" s="34">
        <v>1</v>
      </c>
      <c r="G20" s="35">
        <f t="shared" si="0"/>
        <v>109</v>
      </c>
      <c r="H20" s="34">
        <v>2</v>
      </c>
      <c r="I20" s="34">
        <v>182716</v>
      </c>
      <c r="J20" s="34">
        <v>9</v>
      </c>
      <c r="K20" s="34">
        <v>27</v>
      </c>
      <c r="L20" s="34">
        <v>42</v>
      </c>
      <c r="M20" s="34">
        <v>23</v>
      </c>
      <c r="N20" s="34">
        <v>8</v>
      </c>
      <c r="O20" s="36">
        <f t="shared" si="1"/>
        <v>0.11320754716981132</v>
      </c>
      <c r="P20" s="37">
        <v>9.0399999999999994E-2</v>
      </c>
      <c r="Q20" s="38">
        <v>84.13</v>
      </c>
      <c r="R20" s="33">
        <v>1370369</v>
      </c>
      <c r="S20" s="34">
        <v>27</v>
      </c>
      <c r="T20" s="35">
        <f t="shared" si="2"/>
        <v>80</v>
      </c>
      <c r="U20" s="34">
        <v>13241190</v>
      </c>
      <c r="V20" s="35">
        <f t="shared" si="3"/>
        <v>2383414.1999999997</v>
      </c>
      <c r="W20" s="35">
        <f t="shared" si="4"/>
        <v>1059295.2</v>
      </c>
      <c r="X20" s="35">
        <f t="shared" si="5"/>
        <v>1787560.6500000001</v>
      </c>
      <c r="Y20" s="34">
        <v>138000</v>
      </c>
      <c r="Z20" s="34">
        <v>150420</v>
      </c>
      <c r="AA20" s="34">
        <v>189686</v>
      </c>
      <c r="AB20" s="34">
        <v>138896</v>
      </c>
      <c r="AC20" s="34">
        <v>272500</v>
      </c>
      <c r="AD20" s="34">
        <v>348800</v>
      </c>
      <c r="AE20" s="34">
        <v>180000</v>
      </c>
      <c r="AF20" s="34">
        <v>640000</v>
      </c>
      <c r="AG20" s="34">
        <v>96000</v>
      </c>
      <c r="AH20" s="34">
        <v>163500</v>
      </c>
      <c r="AI20" s="34">
        <v>87200</v>
      </c>
      <c r="AJ20" s="34">
        <v>65400</v>
      </c>
      <c r="AK20" s="34">
        <v>125350</v>
      </c>
      <c r="AL20" s="34">
        <v>45011</v>
      </c>
      <c r="AM20" s="35">
        <f t="shared" si="6"/>
        <v>18949566.049999997</v>
      </c>
      <c r="AN20" s="35">
        <f t="shared" si="7"/>
        <v>2162657</v>
      </c>
      <c r="AO20" s="35">
        <f t="shared" si="8"/>
        <v>21112223.049999997</v>
      </c>
      <c r="AP20" s="34">
        <v>24167309</v>
      </c>
      <c r="AQ20" s="26">
        <f>SUM(AP15:AP26)</f>
        <v>271551207</v>
      </c>
      <c r="AR20" s="26">
        <f>AQ20-SUM(AO15:AO19)</f>
        <v>163419772.20499998</v>
      </c>
      <c r="AS20" s="39">
        <v>7</v>
      </c>
      <c r="AT20" s="28">
        <f t="shared" si="9"/>
        <v>23345681.743571427</v>
      </c>
      <c r="AU20" s="29">
        <f t="shared" si="10"/>
        <v>2233458.6935714297</v>
      </c>
      <c r="AV20" s="26">
        <f t="shared" si="11"/>
        <v>142307549.15499997</v>
      </c>
      <c r="AW20" s="30">
        <f t="shared" si="12"/>
        <v>0.4759458051129194</v>
      </c>
      <c r="AX20" s="31" t="str">
        <f t="shared" si="13"/>
        <v>✓ Within Budget</v>
      </c>
    </row>
    <row r="21" spans="1:50" ht="15.1" customHeight="1" x14ac:dyDescent="0.35">
      <c r="A21" s="19" t="s">
        <v>145</v>
      </c>
      <c r="B21" s="20">
        <v>2023</v>
      </c>
      <c r="C21" s="21">
        <v>109</v>
      </c>
      <c r="D21" s="21">
        <v>3</v>
      </c>
      <c r="E21" s="21">
        <v>2</v>
      </c>
      <c r="F21" s="21">
        <v>2</v>
      </c>
      <c r="G21" s="22">
        <f t="shared" si="0"/>
        <v>110</v>
      </c>
      <c r="H21" s="21">
        <v>2</v>
      </c>
      <c r="I21" s="21">
        <v>184496</v>
      </c>
      <c r="J21" s="21">
        <v>12</v>
      </c>
      <c r="K21" s="21">
        <v>27</v>
      </c>
      <c r="L21" s="21">
        <v>38</v>
      </c>
      <c r="M21" s="21">
        <v>22</v>
      </c>
      <c r="N21" s="21">
        <v>11</v>
      </c>
      <c r="O21" s="23">
        <f t="shared" si="1"/>
        <v>0.22018348623853212</v>
      </c>
      <c r="P21" s="24">
        <v>9.9699999999999997E-2</v>
      </c>
      <c r="Q21" s="25">
        <v>83.93</v>
      </c>
      <c r="R21" s="20">
        <v>1383718</v>
      </c>
      <c r="S21" s="21">
        <v>28</v>
      </c>
      <c r="T21" s="22">
        <f t="shared" si="2"/>
        <v>80</v>
      </c>
      <c r="U21" s="21">
        <v>13595029</v>
      </c>
      <c r="V21" s="22">
        <f t="shared" si="3"/>
        <v>2447105.2199999997</v>
      </c>
      <c r="W21" s="22">
        <f t="shared" si="4"/>
        <v>1087602.32</v>
      </c>
      <c r="X21" s="22">
        <f t="shared" si="5"/>
        <v>1835328.915</v>
      </c>
      <c r="Y21" s="21">
        <v>138000</v>
      </c>
      <c r="Z21" s="21">
        <v>151800</v>
      </c>
      <c r="AA21" s="21">
        <v>194774</v>
      </c>
      <c r="AB21" s="21">
        <v>100215</v>
      </c>
      <c r="AC21" s="21">
        <v>357500</v>
      </c>
      <c r="AD21" s="21">
        <v>352000</v>
      </c>
      <c r="AE21" s="21">
        <v>135000</v>
      </c>
      <c r="AF21" s="21">
        <v>640000</v>
      </c>
      <c r="AG21" s="21">
        <v>96000</v>
      </c>
      <c r="AH21" s="21">
        <v>165000</v>
      </c>
      <c r="AI21" s="21">
        <v>88000</v>
      </c>
      <c r="AJ21" s="21">
        <v>66000</v>
      </c>
      <c r="AK21" s="21">
        <v>126500</v>
      </c>
      <c r="AL21" s="21">
        <v>42295</v>
      </c>
      <c r="AM21" s="22">
        <f t="shared" si="6"/>
        <v>19449639.454999998</v>
      </c>
      <c r="AN21" s="22">
        <f t="shared" si="7"/>
        <v>2168510</v>
      </c>
      <c r="AO21" s="22">
        <f t="shared" si="8"/>
        <v>21618149.454999998</v>
      </c>
      <c r="AP21" s="21">
        <v>25920923</v>
      </c>
      <c r="AQ21" s="26">
        <f>SUM(AP15:AP26)</f>
        <v>271551207</v>
      </c>
      <c r="AR21" s="26">
        <f>AQ21-SUM(AO15:AO20)</f>
        <v>142307549.155</v>
      </c>
      <c r="AS21" s="27">
        <v>6</v>
      </c>
      <c r="AT21" s="28">
        <f t="shared" si="9"/>
        <v>23717924.859166667</v>
      </c>
      <c r="AU21" s="29">
        <f t="shared" si="10"/>
        <v>2099775.4041666687</v>
      </c>
      <c r="AV21" s="26">
        <f t="shared" si="11"/>
        <v>120689399.7</v>
      </c>
      <c r="AW21" s="30">
        <f t="shared" si="12"/>
        <v>0.55555564995150253</v>
      </c>
      <c r="AX21" s="31" t="str">
        <f t="shared" si="13"/>
        <v>✓ Within Budget</v>
      </c>
    </row>
    <row r="22" spans="1:50" ht="15.1" customHeight="1" x14ac:dyDescent="0.35">
      <c r="A22" s="32" t="s">
        <v>146</v>
      </c>
      <c r="B22" s="33">
        <v>2023</v>
      </c>
      <c r="C22" s="34">
        <v>110</v>
      </c>
      <c r="D22" s="34">
        <v>3</v>
      </c>
      <c r="E22" s="34">
        <v>3</v>
      </c>
      <c r="F22" s="34">
        <v>3</v>
      </c>
      <c r="G22" s="35">
        <f t="shared" si="0"/>
        <v>110</v>
      </c>
      <c r="H22" s="34">
        <v>2</v>
      </c>
      <c r="I22" s="34">
        <v>183984</v>
      </c>
      <c r="J22" s="34">
        <v>9</v>
      </c>
      <c r="K22" s="34">
        <v>26</v>
      </c>
      <c r="L22" s="34">
        <v>44</v>
      </c>
      <c r="M22" s="34">
        <v>21</v>
      </c>
      <c r="N22" s="34">
        <v>10</v>
      </c>
      <c r="O22" s="36">
        <f t="shared" si="1"/>
        <v>0.32727272727272727</v>
      </c>
      <c r="P22" s="37">
        <v>9.9099999999999994E-2</v>
      </c>
      <c r="Q22" s="38">
        <v>84.45</v>
      </c>
      <c r="R22" s="33">
        <v>1379881</v>
      </c>
      <c r="S22" s="34">
        <v>28</v>
      </c>
      <c r="T22" s="35">
        <f t="shared" si="2"/>
        <v>80</v>
      </c>
      <c r="U22" s="34">
        <v>13586078</v>
      </c>
      <c r="V22" s="35">
        <f t="shared" si="3"/>
        <v>2445494.04</v>
      </c>
      <c r="W22" s="35">
        <f t="shared" si="4"/>
        <v>1086886.24</v>
      </c>
      <c r="X22" s="35">
        <f t="shared" si="5"/>
        <v>1834120.53</v>
      </c>
      <c r="Y22" s="34">
        <v>134400</v>
      </c>
      <c r="Z22" s="34">
        <v>147840</v>
      </c>
      <c r="AA22" s="34">
        <v>200530</v>
      </c>
      <c r="AB22" s="34">
        <v>102608</v>
      </c>
      <c r="AC22" s="34">
        <v>275000</v>
      </c>
      <c r="AD22" s="34">
        <v>352000</v>
      </c>
      <c r="AE22" s="34">
        <v>135000</v>
      </c>
      <c r="AF22" s="34">
        <v>640000</v>
      </c>
      <c r="AG22" s="34">
        <v>96000</v>
      </c>
      <c r="AH22" s="34">
        <v>165000</v>
      </c>
      <c r="AI22" s="34">
        <v>88000</v>
      </c>
      <c r="AJ22" s="34">
        <v>66000</v>
      </c>
      <c r="AK22" s="34">
        <v>123200</v>
      </c>
      <c r="AL22" s="34">
        <v>34280</v>
      </c>
      <c r="AM22" s="35">
        <f t="shared" si="6"/>
        <v>19435348.809999999</v>
      </c>
      <c r="AN22" s="35">
        <f t="shared" si="7"/>
        <v>2077088</v>
      </c>
      <c r="AO22" s="35">
        <f t="shared" si="8"/>
        <v>21512436.809999999</v>
      </c>
      <c r="AP22" s="34">
        <v>24605545</v>
      </c>
      <c r="AQ22" s="26">
        <f>SUM(AP15:AP26)</f>
        <v>271551207</v>
      </c>
      <c r="AR22" s="26">
        <f>AQ22-SUM(AO15:AO21)</f>
        <v>120689399.69999999</v>
      </c>
      <c r="AS22" s="39">
        <v>5</v>
      </c>
      <c r="AT22" s="28">
        <f t="shared" si="9"/>
        <v>24137879.939999998</v>
      </c>
      <c r="AU22" s="29">
        <f t="shared" si="10"/>
        <v>2625443.129999999</v>
      </c>
      <c r="AV22" s="26">
        <f t="shared" si="11"/>
        <v>99176962.889999986</v>
      </c>
      <c r="AW22" s="30">
        <f t="shared" si="12"/>
        <v>0.6347762030385673</v>
      </c>
      <c r="AX22" s="31" t="str">
        <f t="shared" si="13"/>
        <v>✓ Within Budget</v>
      </c>
    </row>
    <row r="23" spans="1:50" ht="15.1" customHeight="1" x14ac:dyDescent="0.35">
      <c r="A23" s="19" t="s">
        <v>147</v>
      </c>
      <c r="B23" s="20">
        <v>2023</v>
      </c>
      <c r="C23" s="21">
        <v>110</v>
      </c>
      <c r="D23" s="21">
        <v>2</v>
      </c>
      <c r="E23" s="21">
        <v>3</v>
      </c>
      <c r="F23" s="21">
        <v>3</v>
      </c>
      <c r="G23" s="22">
        <f t="shared" si="0"/>
        <v>109</v>
      </c>
      <c r="H23" s="21">
        <v>1</v>
      </c>
      <c r="I23" s="21">
        <v>93459</v>
      </c>
      <c r="J23" s="21">
        <v>9</v>
      </c>
      <c r="K23" s="21">
        <v>28</v>
      </c>
      <c r="L23" s="21">
        <v>40</v>
      </c>
      <c r="M23" s="21">
        <v>21</v>
      </c>
      <c r="N23" s="21">
        <v>11</v>
      </c>
      <c r="O23" s="23">
        <f t="shared" si="1"/>
        <v>0.32727272727272727</v>
      </c>
      <c r="P23" s="24">
        <v>9.8400000000000001E-2</v>
      </c>
      <c r="Q23" s="25">
        <v>84.1</v>
      </c>
      <c r="R23" s="20">
        <v>1401880</v>
      </c>
      <c r="S23" s="21">
        <v>27</v>
      </c>
      <c r="T23" s="22">
        <f t="shared" si="2"/>
        <v>81</v>
      </c>
      <c r="U23" s="40">
        <v>20891282</v>
      </c>
      <c r="V23" s="22">
        <f t="shared" si="3"/>
        <v>3760430.76</v>
      </c>
      <c r="W23" s="22">
        <f t="shared" si="4"/>
        <v>1671302.56</v>
      </c>
      <c r="X23" s="22">
        <f t="shared" si="5"/>
        <v>2820323.0700000003</v>
      </c>
      <c r="Y23" s="21">
        <v>121500</v>
      </c>
      <c r="Z23" s="21">
        <v>130800</v>
      </c>
      <c r="AA23" s="40">
        <v>285909</v>
      </c>
      <c r="AB23" s="40">
        <v>99344</v>
      </c>
      <c r="AC23" s="21">
        <v>272500</v>
      </c>
      <c r="AD23" s="21">
        <v>348800</v>
      </c>
      <c r="AE23" s="21">
        <v>90000</v>
      </c>
      <c r="AF23" s="21">
        <v>648000</v>
      </c>
      <c r="AG23" s="21">
        <v>97200</v>
      </c>
      <c r="AH23" s="21">
        <v>163500</v>
      </c>
      <c r="AI23" s="21">
        <v>87200</v>
      </c>
      <c r="AJ23" s="21">
        <v>65400</v>
      </c>
      <c r="AK23" s="40">
        <v>147150</v>
      </c>
      <c r="AL23" s="21">
        <v>59209</v>
      </c>
      <c r="AM23" s="22">
        <f t="shared" si="6"/>
        <v>29681547.389999997</v>
      </c>
      <c r="AN23" s="22">
        <f t="shared" si="7"/>
        <v>2078303</v>
      </c>
      <c r="AO23" s="22">
        <f t="shared" si="8"/>
        <v>31759850.389999997</v>
      </c>
      <c r="AP23" s="21">
        <v>23618422</v>
      </c>
      <c r="AQ23" s="26">
        <f>SUM(AP15:AP26)</f>
        <v>271551207</v>
      </c>
      <c r="AR23" s="26">
        <f>AQ23-SUM(AO15:AO22)</f>
        <v>99176962.889999986</v>
      </c>
      <c r="AS23" s="27">
        <v>4</v>
      </c>
      <c r="AT23" s="28">
        <f t="shared" si="9"/>
        <v>24794240.722499996</v>
      </c>
      <c r="AU23" s="29">
        <f t="shared" si="10"/>
        <v>-6965609.6675000004</v>
      </c>
      <c r="AV23" s="26">
        <f t="shared" si="11"/>
        <v>67417112.499999985</v>
      </c>
      <c r="AW23" s="30">
        <f t="shared" si="12"/>
        <v>0.75173333514220031</v>
      </c>
      <c r="AX23" s="31" t="str">
        <f t="shared" si="13"/>
        <v>⚠ Over Budget</v>
      </c>
    </row>
    <row r="24" spans="1:50" ht="15.1" customHeight="1" x14ac:dyDescent="0.35">
      <c r="A24" s="32" t="s">
        <v>148</v>
      </c>
      <c r="B24" s="33">
        <v>2024</v>
      </c>
      <c r="C24" s="34">
        <v>109</v>
      </c>
      <c r="D24" s="34">
        <v>1</v>
      </c>
      <c r="E24" s="34">
        <v>2</v>
      </c>
      <c r="F24" s="34">
        <v>2</v>
      </c>
      <c r="G24" s="35">
        <f t="shared" si="0"/>
        <v>108</v>
      </c>
      <c r="H24" s="34">
        <v>1</v>
      </c>
      <c r="I24" s="34">
        <v>94339</v>
      </c>
      <c r="J24" s="34">
        <v>12</v>
      </c>
      <c r="K24" s="34">
        <v>28</v>
      </c>
      <c r="L24" s="34">
        <v>37</v>
      </c>
      <c r="M24" s="34">
        <v>21</v>
      </c>
      <c r="N24" s="34">
        <v>10</v>
      </c>
      <c r="O24" s="36">
        <f t="shared" si="1"/>
        <v>0.22018348623853212</v>
      </c>
      <c r="P24" s="37">
        <v>0.1099</v>
      </c>
      <c r="Q24" s="38">
        <v>85.51</v>
      </c>
      <c r="R24" s="33">
        <v>1415082</v>
      </c>
      <c r="S24" s="34">
        <v>27</v>
      </c>
      <c r="T24" s="35">
        <f t="shared" si="2"/>
        <v>80</v>
      </c>
      <c r="U24" s="34">
        <v>13490448</v>
      </c>
      <c r="V24" s="35">
        <f t="shared" si="3"/>
        <v>2428280.64</v>
      </c>
      <c r="W24" s="35">
        <f t="shared" si="4"/>
        <v>1079235.8400000001</v>
      </c>
      <c r="X24" s="35">
        <f t="shared" si="5"/>
        <v>1821210.4800000002</v>
      </c>
      <c r="Y24" s="34">
        <v>129600</v>
      </c>
      <c r="Z24" s="34">
        <v>139968</v>
      </c>
      <c r="AA24" s="34">
        <v>199748</v>
      </c>
      <c r="AB24" s="34">
        <v>39668</v>
      </c>
      <c r="AC24" s="34">
        <v>270000</v>
      </c>
      <c r="AD24" s="34">
        <v>345600</v>
      </c>
      <c r="AE24" s="34">
        <v>45000</v>
      </c>
      <c r="AF24" s="34">
        <v>640000</v>
      </c>
      <c r="AG24" s="34">
        <v>96000</v>
      </c>
      <c r="AH24" s="34">
        <v>162000</v>
      </c>
      <c r="AI24" s="34">
        <v>86400</v>
      </c>
      <c r="AJ24" s="34">
        <v>64800</v>
      </c>
      <c r="AK24" s="34">
        <v>116640</v>
      </c>
      <c r="AL24" s="34">
        <v>60007</v>
      </c>
      <c r="AM24" s="35">
        <f t="shared" si="6"/>
        <v>19288490.960000001</v>
      </c>
      <c r="AN24" s="35">
        <f t="shared" si="7"/>
        <v>1926115</v>
      </c>
      <c r="AO24" s="35">
        <f t="shared" si="8"/>
        <v>21214605.960000001</v>
      </c>
      <c r="AP24" s="34">
        <v>23678100</v>
      </c>
      <c r="AQ24" s="26">
        <f>SUM(AP15:AP26)</f>
        <v>271551207</v>
      </c>
      <c r="AR24" s="26">
        <f>AQ24-SUM(AO15:AO23)</f>
        <v>67417112.5</v>
      </c>
      <c r="AS24" s="39">
        <v>3</v>
      </c>
      <c r="AT24" s="28">
        <f t="shared" si="9"/>
        <v>22472370.833333332</v>
      </c>
      <c r="AU24" s="29">
        <f t="shared" si="10"/>
        <v>1257764.8733333312</v>
      </c>
      <c r="AV24" s="26">
        <f t="shared" si="11"/>
        <v>46202506.539999999</v>
      </c>
      <c r="AW24" s="30">
        <f t="shared" si="12"/>
        <v>0.82985711221677616</v>
      </c>
      <c r="AX24" s="31" t="str">
        <f t="shared" si="13"/>
        <v>✓ Within Budget</v>
      </c>
    </row>
    <row r="25" spans="1:50" ht="15.1" customHeight="1" x14ac:dyDescent="0.35">
      <c r="A25" s="19" t="s">
        <v>149</v>
      </c>
      <c r="B25" s="20">
        <v>2024</v>
      </c>
      <c r="C25" s="21">
        <v>108</v>
      </c>
      <c r="D25" s="21">
        <v>1</v>
      </c>
      <c r="E25" s="21">
        <v>2</v>
      </c>
      <c r="F25" s="21">
        <v>2</v>
      </c>
      <c r="G25" s="22">
        <f t="shared" si="0"/>
        <v>107</v>
      </c>
      <c r="H25" s="21">
        <v>2</v>
      </c>
      <c r="I25" s="21">
        <v>189308</v>
      </c>
      <c r="J25" s="21">
        <v>11</v>
      </c>
      <c r="K25" s="21">
        <v>28</v>
      </c>
      <c r="L25" s="21">
        <v>33</v>
      </c>
      <c r="M25" s="21">
        <v>22</v>
      </c>
      <c r="N25" s="21">
        <v>13</v>
      </c>
      <c r="O25" s="23">
        <f t="shared" si="1"/>
        <v>0.22222222222222221</v>
      </c>
      <c r="P25" s="24">
        <v>0.10349999999999999</v>
      </c>
      <c r="Q25" s="25">
        <v>85.36</v>
      </c>
      <c r="R25" s="20">
        <v>1419808</v>
      </c>
      <c r="S25" s="21">
        <v>27</v>
      </c>
      <c r="T25" s="22">
        <f t="shared" si="2"/>
        <v>78</v>
      </c>
      <c r="U25" s="21">
        <v>13837212</v>
      </c>
      <c r="V25" s="22">
        <f t="shared" si="3"/>
        <v>2490698.1599999997</v>
      </c>
      <c r="W25" s="22">
        <f t="shared" si="4"/>
        <v>1106976.96</v>
      </c>
      <c r="X25" s="22">
        <f t="shared" si="5"/>
        <v>1868023.62</v>
      </c>
      <c r="Y25" s="21">
        <v>126360</v>
      </c>
      <c r="Z25" s="21">
        <v>138672</v>
      </c>
      <c r="AA25" s="21">
        <v>215234</v>
      </c>
      <c r="AB25" s="21">
        <v>44020</v>
      </c>
      <c r="AC25" s="21">
        <v>267500</v>
      </c>
      <c r="AD25" s="21">
        <v>342400</v>
      </c>
      <c r="AE25" s="21">
        <v>45000</v>
      </c>
      <c r="AF25" s="21">
        <v>624000</v>
      </c>
      <c r="AG25" s="21">
        <v>93600</v>
      </c>
      <c r="AH25" s="21">
        <v>160500</v>
      </c>
      <c r="AI25" s="21">
        <v>85600</v>
      </c>
      <c r="AJ25" s="21">
        <v>64200</v>
      </c>
      <c r="AK25" s="21">
        <v>115560</v>
      </c>
      <c r="AL25" s="21">
        <v>54353</v>
      </c>
      <c r="AM25" s="22">
        <f t="shared" si="6"/>
        <v>19783176.740000002</v>
      </c>
      <c r="AN25" s="22">
        <f t="shared" si="7"/>
        <v>1896733</v>
      </c>
      <c r="AO25" s="22">
        <f t="shared" si="8"/>
        <v>21679909.740000002</v>
      </c>
      <c r="AP25" s="21">
        <v>24373215</v>
      </c>
      <c r="AQ25" s="26">
        <f>SUM(AP15:AP26)</f>
        <v>271551207</v>
      </c>
      <c r="AR25" s="26">
        <f>AQ25-SUM(AO15:AO24)</f>
        <v>46202506.539999992</v>
      </c>
      <c r="AS25" s="27">
        <v>2</v>
      </c>
      <c r="AT25" s="28">
        <f t="shared" si="9"/>
        <v>23101253.269999996</v>
      </c>
      <c r="AU25" s="29">
        <f t="shared" si="10"/>
        <v>1421343.5299999937</v>
      </c>
      <c r="AV25" s="26">
        <f t="shared" si="11"/>
        <v>24522596.79999999</v>
      </c>
      <c r="AW25" s="30">
        <f t="shared" si="12"/>
        <v>0.90969439218879999</v>
      </c>
      <c r="AX25" s="31" t="str">
        <f t="shared" si="13"/>
        <v>✓ Within Budget</v>
      </c>
    </row>
    <row r="26" spans="1:50" ht="15.1" customHeight="1" x14ac:dyDescent="0.35">
      <c r="A26" s="32" t="s">
        <v>150</v>
      </c>
      <c r="B26" s="33">
        <v>2024</v>
      </c>
      <c r="C26" s="34">
        <v>107</v>
      </c>
      <c r="D26" s="34">
        <v>2</v>
      </c>
      <c r="E26" s="34">
        <v>3</v>
      </c>
      <c r="F26" s="34">
        <v>3</v>
      </c>
      <c r="G26" s="35">
        <f t="shared" si="0"/>
        <v>106</v>
      </c>
      <c r="H26" s="34">
        <v>2</v>
      </c>
      <c r="I26" s="34">
        <v>191914</v>
      </c>
      <c r="J26" s="34">
        <v>10</v>
      </c>
      <c r="K26" s="34">
        <v>28</v>
      </c>
      <c r="L26" s="34">
        <v>37</v>
      </c>
      <c r="M26" s="34">
        <v>20</v>
      </c>
      <c r="N26" s="34">
        <v>11</v>
      </c>
      <c r="O26" s="36">
        <f t="shared" si="1"/>
        <v>0.3364485981308411</v>
      </c>
      <c r="P26" s="37">
        <v>0.10970000000000001</v>
      </c>
      <c r="Q26" s="38">
        <v>85.29</v>
      </c>
      <c r="R26" s="33">
        <v>1439358</v>
      </c>
      <c r="S26" s="34">
        <v>26</v>
      </c>
      <c r="T26" s="35">
        <f t="shared" si="2"/>
        <v>78</v>
      </c>
      <c r="U26" s="34">
        <v>13649912</v>
      </c>
      <c r="V26" s="35">
        <f t="shared" si="3"/>
        <v>2456984.1599999997</v>
      </c>
      <c r="W26" s="35">
        <f t="shared" si="4"/>
        <v>1091992.96</v>
      </c>
      <c r="X26" s="35">
        <f t="shared" si="5"/>
        <v>1842738.12</v>
      </c>
      <c r="Y26" s="34">
        <v>124020</v>
      </c>
      <c r="Z26" s="34">
        <v>134832</v>
      </c>
      <c r="AA26" s="34">
        <v>197431</v>
      </c>
      <c r="AB26" s="34">
        <v>70387</v>
      </c>
      <c r="AC26" s="34">
        <v>265000</v>
      </c>
      <c r="AD26" s="34">
        <v>339200</v>
      </c>
      <c r="AE26" s="34">
        <v>90000</v>
      </c>
      <c r="AF26" s="34">
        <v>624000</v>
      </c>
      <c r="AG26" s="34">
        <v>93600</v>
      </c>
      <c r="AH26" s="34">
        <v>159000</v>
      </c>
      <c r="AI26" s="34">
        <v>84800</v>
      </c>
      <c r="AJ26" s="34">
        <v>63600</v>
      </c>
      <c r="AK26" s="34">
        <v>112360</v>
      </c>
      <c r="AL26" s="34">
        <v>43588</v>
      </c>
      <c r="AM26" s="35">
        <f t="shared" si="6"/>
        <v>19497910.240000002</v>
      </c>
      <c r="AN26" s="35">
        <f t="shared" si="7"/>
        <v>1945535</v>
      </c>
      <c r="AO26" s="35">
        <f t="shared" si="8"/>
        <v>21443445.240000002</v>
      </c>
      <c r="AP26" s="34">
        <v>22408875</v>
      </c>
      <c r="AQ26" s="26">
        <f>SUM(AP15:AP26)</f>
        <v>271551207</v>
      </c>
      <c r="AR26" s="26">
        <f>AQ26-SUM(AO15:AO25)</f>
        <v>24522596.799999982</v>
      </c>
      <c r="AS26" s="39">
        <v>1</v>
      </c>
      <c r="AT26" s="28">
        <f t="shared" si="9"/>
        <v>24522596.799999982</v>
      </c>
      <c r="AU26" s="29">
        <f t="shared" si="10"/>
        <v>3079151.55999998</v>
      </c>
      <c r="AV26" s="26">
        <f t="shared" si="11"/>
        <v>3079151.55999998</v>
      </c>
      <c r="AW26" s="30">
        <f t="shared" si="12"/>
        <v>0.98866088059774304</v>
      </c>
      <c r="AX26" s="31" t="str">
        <f t="shared" si="13"/>
        <v>✓ Within Budget</v>
      </c>
    </row>
    <row r="27" spans="1:50" ht="15.1" customHeight="1" x14ac:dyDescent="0.35">
      <c r="A27" s="19" t="s">
        <v>151</v>
      </c>
      <c r="B27" s="20">
        <v>2024</v>
      </c>
      <c r="C27" s="21">
        <v>106</v>
      </c>
      <c r="D27" s="21">
        <v>5</v>
      </c>
      <c r="E27" s="21">
        <v>2</v>
      </c>
      <c r="F27" s="21">
        <v>2</v>
      </c>
      <c r="G27" s="22">
        <f t="shared" si="0"/>
        <v>109</v>
      </c>
      <c r="H27" s="21">
        <v>2</v>
      </c>
      <c r="I27" s="21">
        <v>189113</v>
      </c>
      <c r="J27" s="21">
        <v>11</v>
      </c>
      <c r="K27" s="21">
        <v>27</v>
      </c>
      <c r="L27" s="21">
        <v>41</v>
      </c>
      <c r="M27" s="21">
        <v>21</v>
      </c>
      <c r="N27" s="21">
        <v>9</v>
      </c>
      <c r="O27" s="23">
        <f t="shared" si="1"/>
        <v>0.22641509433962265</v>
      </c>
      <c r="P27" s="24">
        <v>0.1265</v>
      </c>
      <c r="Q27" s="25">
        <v>85.42</v>
      </c>
      <c r="R27" s="20">
        <v>1418348</v>
      </c>
      <c r="S27" s="21">
        <v>27</v>
      </c>
      <c r="T27" s="22">
        <f t="shared" si="2"/>
        <v>80</v>
      </c>
      <c r="U27" s="21">
        <v>13610231</v>
      </c>
      <c r="V27" s="22">
        <f t="shared" si="3"/>
        <v>2449841.58</v>
      </c>
      <c r="W27" s="22">
        <f t="shared" si="4"/>
        <v>1088818.48</v>
      </c>
      <c r="X27" s="22">
        <f t="shared" si="5"/>
        <v>1837381.1850000001</v>
      </c>
      <c r="Y27" s="21">
        <v>132000</v>
      </c>
      <c r="Z27" s="21">
        <v>143880</v>
      </c>
      <c r="AA27" s="21">
        <v>204599</v>
      </c>
      <c r="AB27" s="21">
        <v>172981</v>
      </c>
      <c r="AC27" s="21">
        <v>354250</v>
      </c>
      <c r="AD27" s="21">
        <v>348800</v>
      </c>
      <c r="AE27" s="21">
        <v>225000</v>
      </c>
      <c r="AF27" s="21">
        <v>640000</v>
      </c>
      <c r="AG27" s="21">
        <v>96000</v>
      </c>
      <c r="AH27" s="21">
        <v>163500</v>
      </c>
      <c r="AI27" s="21">
        <v>87200</v>
      </c>
      <c r="AJ27" s="21">
        <v>65400</v>
      </c>
      <c r="AK27" s="21">
        <v>119900</v>
      </c>
      <c r="AL27" s="21">
        <v>68459</v>
      </c>
      <c r="AM27" s="22">
        <f t="shared" si="6"/>
        <v>19466751.244999997</v>
      </c>
      <c r="AN27" s="22">
        <f t="shared" si="7"/>
        <v>2341490</v>
      </c>
      <c r="AO27" s="22">
        <f t="shared" si="8"/>
        <v>21808241.244999997</v>
      </c>
      <c r="AP27" s="21">
        <v>23581581</v>
      </c>
      <c r="AQ27" s="26">
        <f>SUM(AP27:AP38)</f>
        <v>309545301</v>
      </c>
      <c r="AR27" s="26">
        <f>AQ27</f>
        <v>309545301</v>
      </c>
      <c r="AS27" s="27">
        <v>12</v>
      </c>
      <c r="AT27" s="28">
        <f t="shared" si="9"/>
        <v>25795441.75</v>
      </c>
      <c r="AU27" s="29">
        <f t="shared" si="10"/>
        <v>3987200.5050000027</v>
      </c>
      <c r="AV27" s="26">
        <f t="shared" si="11"/>
        <v>287737059.755</v>
      </c>
      <c r="AW27" s="30">
        <f t="shared" si="12"/>
        <v>7.0452502992445695E-2</v>
      </c>
      <c r="AX27" s="31" t="str">
        <f t="shared" si="13"/>
        <v>✓ Within Budget</v>
      </c>
    </row>
    <row r="28" spans="1:50" ht="15.1" customHeight="1" x14ac:dyDescent="0.35">
      <c r="A28" s="32" t="s">
        <v>152</v>
      </c>
      <c r="B28" s="33">
        <v>2024</v>
      </c>
      <c r="C28" s="34">
        <v>109</v>
      </c>
      <c r="D28" s="34">
        <v>3</v>
      </c>
      <c r="E28" s="34">
        <v>2</v>
      </c>
      <c r="F28" s="34">
        <v>2</v>
      </c>
      <c r="G28" s="35">
        <f t="shared" si="0"/>
        <v>110</v>
      </c>
      <c r="H28" s="34">
        <v>1</v>
      </c>
      <c r="I28" s="34">
        <v>96211</v>
      </c>
      <c r="J28" s="34">
        <v>10</v>
      </c>
      <c r="K28" s="34">
        <v>26</v>
      </c>
      <c r="L28" s="34">
        <v>44</v>
      </c>
      <c r="M28" s="34">
        <v>20</v>
      </c>
      <c r="N28" s="34">
        <v>10</v>
      </c>
      <c r="O28" s="36">
        <f t="shared" si="1"/>
        <v>0.22018348623853212</v>
      </c>
      <c r="P28" s="37">
        <v>9.2200000000000004E-2</v>
      </c>
      <c r="Q28" s="38">
        <v>85.24</v>
      </c>
      <c r="R28" s="33">
        <v>1443163</v>
      </c>
      <c r="S28" s="34">
        <v>28</v>
      </c>
      <c r="T28" s="35">
        <f t="shared" si="2"/>
        <v>81</v>
      </c>
      <c r="U28" s="34">
        <v>14106918</v>
      </c>
      <c r="V28" s="35">
        <f t="shared" si="3"/>
        <v>2539245.2399999998</v>
      </c>
      <c r="W28" s="35">
        <f t="shared" si="4"/>
        <v>1128553.44</v>
      </c>
      <c r="X28" s="35">
        <f t="shared" si="5"/>
        <v>1904433.9300000002</v>
      </c>
      <c r="Y28" s="34">
        <v>133650</v>
      </c>
      <c r="Z28" s="34">
        <v>145200</v>
      </c>
      <c r="AA28" s="34">
        <v>199339</v>
      </c>
      <c r="AB28" s="34">
        <v>107391</v>
      </c>
      <c r="AC28" s="34">
        <v>357500</v>
      </c>
      <c r="AD28" s="34">
        <v>352000</v>
      </c>
      <c r="AE28" s="34">
        <v>135000</v>
      </c>
      <c r="AF28" s="34">
        <v>648000</v>
      </c>
      <c r="AG28" s="34">
        <v>97200</v>
      </c>
      <c r="AH28" s="34">
        <v>165000</v>
      </c>
      <c r="AI28" s="34">
        <v>88000</v>
      </c>
      <c r="AJ28" s="34">
        <v>66000</v>
      </c>
      <c r="AK28" s="34">
        <v>121000</v>
      </c>
      <c r="AL28" s="34">
        <v>54615</v>
      </c>
      <c r="AM28" s="35">
        <f t="shared" si="6"/>
        <v>20157339.609999999</v>
      </c>
      <c r="AN28" s="35">
        <f t="shared" si="7"/>
        <v>2191706</v>
      </c>
      <c r="AO28" s="35">
        <f t="shared" si="8"/>
        <v>22349045.609999999</v>
      </c>
      <c r="AP28" s="34">
        <v>24387892</v>
      </c>
      <c r="AQ28" s="26">
        <f>SUM(AP27:AP38)</f>
        <v>309545301</v>
      </c>
      <c r="AR28" s="26">
        <f>AQ28-SUM(AO27:AO27)</f>
        <v>287737059.755</v>
      </c>
      <c r="AS28" s="39">
        <v>11</v>
      </c>
      <c r="AT28" s="28">
        <f t="shared" si="9"/>
        <v>26157914.523181818</v>
      </c>
      <c r="AU28" s="29">
        <f t="shared" si="10"/>
        <v>3808868.913181819</v>
      </c>
      <c r="AV28" s="26">
        <f t="shared" si="11"/>
        <v>265388014.14499998</v>
      </c>
      <c r="AW28" s="30">
        <f t="shared" si="12"/>
        <v>0.14265209877955801</v>
      </c>
      <c r="AX28" s="31" t="str">
        <f t="shared" si="13"/>
        <v>✓ Within Budget</v>
      </c>
    </row>
    <row r="29" spans="1:50" ht="15.1" customHeight="1" x14ac:dyDescent="0.35">
      <c r="A29" s="19" t="s">
        <v>153</v>
      </c>
      <c r="B29" s="20">
        <v>2024</v>
      </c>
      <c r="C29" s="21">
        <v>110</v>
      </c>
      <c r="D29" s="21">
        <v>2</v>
      </c>
      <c r="E29" s="21">
        <v>3</v>
      </c>
      <c r="F29" s="21">
        <v>3</v>
      </c>
      <c r="G29" s="22">
        <f t="shared" si="0"/>
        <v>109</v>
      </c>
      <c r="H29" s="21">
        <v>2</v>
      </c>
      <c r="I29" s="21">
        <v>195358</v>
      </c>
      <c r="J29" s="21">
        <v>11</v>
      </c>
      <c r="K29" s="21">
        <v>25</v>
      </c>
      <c r="L29" s="21">
        <v>43</v>
      </c>
      <c r="M29" s="21">
        <v>20</v>
      </c>
      <c r="N29" s="21">
        <v>10</v>
      </c>
      <c r="O29" s="23">
        <f t="shared" si="1"/>
        <v>0.32727272727272727</v>
      </c>
      <c r="P29" s="24">
        <v>0.1019</v>
      </c>
      <c r="Q29" s="25">
        <v>85.3</v>
      </c>
      <c r="R29" s="20">
        <v>1465186</v>
      </c>
      <c r="S29" s="21">
        <v>27</v>
      </c>
      <c r="T29" s="22">
        <f t="shared" si="2"/>
        <v>80</v>
      </c>
      <c r="U29" s="21">
        <v>14169570</v>
      </c>
      <c r="V29" s="22">
        <f t="shared" si="3"/>
        <v>2550522.6</v>
      </c>
      <c r="W29" s="22">
        <f t="shared" si="4"/>
        <v>1133565.6000000001</v>
      </c>
      <c r="X29" s="22">
        <f t="shared" si="5"/>
        <v>1912891.9500000002</v>
      </c>
      <c r="Y29" s="21">
        <v>126000</v>
      </c>
      <c r="Z29" s="21">
        <v>137340</v>
      </c>
      <c r="AA29" s="21">
        <v>202316</v>
      </c>
      <c r="AB29" s="21">
        <v>72879</v>
      </c>
      <c r="AC29" s="21">
        <v>272500</v>
      </c>
      <c r="AD29" s="21">
        <v>348800</v>
      </c>
      <c r="AE29" s="21">
        <v>90000</v>
      </c>
      <c r="AF29" s="21">
        <v>640000</v>
      </c>
      <c r="AG29" s="21">
        <v>96000</v>
      </c>
      <c r="AH29" s="21">
        <v>163500</v>
      </c>
      <c r="AI29" s="21">
        <v>87200</v>
      </c>
      <c r="AJ29" s="21">
        <v>65400</v>
      </c>
      <c r="AK29" s="21">
        <v>114450</v>
      </c>
      <c r="AL29" s="21">
        <v>42071</v>
      </c>
      <c r="AM29" s="22">
        <f t="shared" si="6"/>
        <v>20232206.149999999</v>
      </c>
      <c r="AN29" s="22">
        <f t="shared" si="7"/>
        <v>1992800</v>
      </c>
      <c r="AO29" s="22">
        <f t="shared" si="8"/>
        <v>22225006.149999999</v>
      </c>
      <c r="AP29" s="21">
        <v>23212097</v>
      </c>
      <c r="AQ29" s="26">
        <f>SUM(AP27:AP38)</f>
        <v>309545301</v>
      </c>
      <c r="AR29" s="26">
        <f>AQ29-SUM(AO27:AO28)</f>
        <v>265388014.14500001</v>
      </c>
      <c r="AS29" s="27">
        <v>10</v>
      </c>
      <c r="AT29" s="28">
        <f t="shared" si="9"/>
        <v>26538801.414500002</v>
      </c>
      <c r="AU29" s="29">
        <f t="shared" si="10"/>
        <v>4313795.2645000033</v>
      </c>
      <c r="AV29" s="26">
        <f t="shared" si="11"/>
        <v>243163007.995</v>
      </c>
      <c r="AW29" s="30">
        <f t="shared" si="12"/>
        <v>0.2144509795191496</v>
      </c>
      <c r="AX29" s="31" t="str">
        <f t="shared" si="13"/>
        <v>✓ Within Budget</v>
      </c>
    </row>
    <row r="30" spans="1:50" ht="15.1" customHeight="1" x14ac:dyDescent="0.35">
      <c r="A30" s="32" t="s">
        <v>154</v>
      </c>
      <c r="B30" s="33">
        <v>2024</v>
      </c>
      <c r="C30" s="34">
        <v>109</v>
      </c>
      <c r="D30" s="34">
        <v>3</v>
      </c>
      <c r="E30" s="34">
        <v>2</v>
      </c>
      <c r="F30" s="34">
        <v>2</v>
      </c>
      <c r="G30" s="35">
        <f t="shared" si="0"/>
        <v>110</v>
      </c>
      <c r="H30" s="34">
        <v>2</v>
      </c>
      <c r="I30" s="34">
        <v>197761</v>
      </c>
      <c r="J30" s="34">
        <v>13</v>
      </c>
      <c r="K30" s="34">
        <v>27</v>
      </c>
      <c r="L30" s="34">
        <v>38</v>
      </c>
      <c r="M30" s="34">
        <v>19</v>
      </c>
      <c r="N30" s="34">
        <v>13</v>
      </c>
      <c r="O30" s="36">
        <f t="shared" si="1"/>
        <v>0.22018348623853212</v>
      </c>
      <c r="P30" s="37">
        <v>9.8199999999999996E-2</v>
      </c>
      <c r="Q30" s="38">
        <v>85.25</v>
      </c>
      <c r="R30" s="33">
        <v>1483209</v>
      </c>
      <c r="S30" s="34">
        <v>28</v>
      </c>
      <c r="T30" s="35">
        <f t="shared" si="2"/>
        <v>80</v>
      </c>
      <c r="U30" s="41">
        <v>20427496</v>
      </c>
      <c r="V30" s="35">
        <f t="shared" si="3"/>
        <v>3676949.28</v>
      </c>
      <c r="W30" s="35">
        <f t="shared" si="4"/>
        <v>1634199.68</v>
      </c>
      <c r="X30" s="35">
        <f t="shared" si="5"/>
        <v>2757711.96</v>
      </c>
      <c r="Y30" s="34">
        <v>120000</v>
      </c>
      <c r="Z30" s="34">
        <v>132000</v>
      </c>
      <c r="AA30" s="41">
        <v>323709</v>
      </c>
      <c r="AB30" s="41">
        <v>137204</v>
      </c>
      <c r="AC30" s="34">
        <v>275000</v>
      </c>
      <c r="AD30" s="34">
        <v>352000</v>
      </c>
      <c r="AE30" s="34">
        <v>135000</v>
      </c>
      <c r="AF30" s="34">
        <v>640000</v>
      </c>
      <c r="AG30" s="34">
        <v>96000</v>
      </c>
      <c r="AH30" s="34">
        <v>165000</v>
      </c>
      <c r="AI30" s="34">
        <v>88000</v>
      </c>
      <c r="AJ30" s="34">
        <v>66000</v>
      </c>
      <c r="AK30" s="41">
        <v>148500</v>
      </c>
      <c r="AL30" s="34">
        <v>43521</v>
      </c>
      <c r="AM30" s="35">
        <f t="shared" si="6"/>
        <v>29072065.920000002</v>
      </c>
      <c r="AN30" s="35">
        <f t="shared" si="7"/>
        <v>2146225</v>
      </c>
      <c r="AO30" s="35">
        <f t="shared" si="8"/>
        <v>31218290.920000002</v>
      </c>
      <c r="AP30" s="34">
        <v>23201835</v>
      </c>
      <c r="AQ30" s="26">
        <f>SUM(AP27:AP38)</f>
        <v>309545301</v>
      </c>
      <c r="AR30" s="26">
        <f>AQ30-SUM(AO27:AO29)</f>
        <v>243163007.995</v>
      </c>
      <c r="AS30" s="39">
        <v>9</v>
      </c>
      <c r="AT30" s="28">
        <f t="shared" si="9"/>
        <v>27018111.999444444</v>
      </c>
      <c r="AU30" s="29">
        <f t="shared" si="10"/>
        <v>-4200178.9205555581</v>
      </c>
      <c r="AV30" s="26">
        <f t="shared" si="11"/>
        <v>211944717.07499999</v>
      </c>
      <c r="AW30" s="30">
        <f t="shared" si="12"/>
        <v>0.3153030706965893</v>
      </c>
      <c r="AX30" s="31" t="str">
        <f t="shared" si="13"/>
        <v>⚠ Over Budget</v>
      </c>
    </row>
    <row r="31" spans="1:50" ht="15.1" customHeight="1" x14ac:dyDescent="0.35">
      <c r="A31" s="19" t="s">
        <v>155</v>
      </c>
      <c r="B31" s="20">
        <v>2024</v>
      </c>
      <c r="C31" s="21">
        <v>110</v>
      </c>
      <c r="D31" s="21">
        <v>2</v>
      </c>
      <c r="E31" s="21">
        <v>1</v>
      </c>
      <c r="F31" s="21">
        <v>1</v>
      </c>
      <c r="G31" s="22">
        <f t="shared" si="0"/>
        <v>111</v>
      </c>
      <c r="H31" s="21">
        <v>2</v>
      </c>
      <c r="I31" s="21">
        <v>197420</v>
      </c>
      <c r="J31" s="21">
        <v>9</v>
      </c>
      <c r="K31" s="21">
        <v>28</v>
      </c>
      <c r="L31" s="21">
        <v>39</v>
      </c>
      <c r="M31" s="21">
        <v>24</v>
      </c>
      <c r="N31" s="21">
        <v>11</v>
      </c>
      <c r="O31" s="23">
        <f t="shared" si="1"/>
        <v>0.10909090909090909</v>
      </c>
      <c r="P31" s="24">
        <v>8.9700000000000002E-2</v>
      </c>
      <c r="Q31" s="25">
        <v>85.45</v>
      </c>
      <c r="R31" s="20">
        <v>1480647</v>
      </c>
      <c r="S31" s="21">
        <v>28</v>
      </c>
      <c r="T31" s="22">
        <f t="shared" si="2"/>
        <v>81</v>
      </c>
      <c r="U31" s="21">
        <v>14911349</v>
      </c>
      <c r="V31" s="22">
        <f t="shared" si="3"/>
        <v>2684042.8199999998</v>
      </c>
      <c r="W31" s="22">
        <f t="shared" si="4"/>
        <v>1192907.92</v>
      </c>
      <c r="X31" s="22">
        <f t="shared" si="5"/>
        <v>2013032.1150000002</v>
      </c>
      <c r="Y31" s="21">
        <v>121500</v>
      </c>
      <c r="Z31" s="21">
        <v>133200</v>
      </c>
      <c r="AA31" s="21">
        <v>227226</v>
      </c>
      <c r="AB31" s="21">
        <v>74904</v>
      </c>
      <c r="AC31" s="21">
        <v>277500</v>
      </c>
      <c r="AD31" s="21">
        <v>355200</v>
      </c>
      <c r="AE31" s="21">
        <v>90000</v>
      </c>
      <c r="AF31" s="21">
        <v>648000</v>
      </c>
      <c r="AG31" s="21">
        <v>97200</v>
      </c>
      <c r="AH31" s="21">
        <v>166500</v>
      </c>
      <c r="AI31" s="21">
        <v>88800</v>
      </c>
      <c r="AJ31" s="21">
        <v>66600</v>
      </c>
      <c r="AK31" s="21">
        <v>111000</v>
      </c>
      <c r="AL31" s="21">
        <v>39823</v>
      </c>
      <c r="AM31" s="22">
        <f t="shared" si="6"/>
        <v>21283257.855000004</v>
      </c>
      <c r="AN31" s="22">
        <f t="shared" si="7"/>
        <v>2015527</v>
      </c>
      <c r="AO31" s="22">
        <f t="shared" si="8"/>
        <v>23298784.855000004</v>
      </c>
      <c r="AP31" s="21">
        <v>23068162</v>
      </c>
      <c r="AQ31" s="26">
        <f>SUM(AP27:AP38)</f>
        <v>309545301</v>
      </c>
      <c r="AR31" s="26">
        <f>AQ31-SUM(AO27:AO30)</f>
        <v>211944717.07499999</v>
      </c>
      <c r="AS31" s="27">
        <v>8</v>
      </c>
      <c r="AT31" s="28">
        <f t="shared" si="9"/>
        <v>26493089.634374999</v>
      </c>
      <c r="AU31" s="29">
        <f t="shared" si="10"/>
        <v>3194304.7793749943</v>
      </c>
      <c r="AV31" s="26">
        <f t="shared" si="11"/>
        <v>188645932.21999997</v>
      </c>
      <c r="AW31" s="30">
        <f t="shared" si="12"/>
        <v>0.39057084177801826</v>
      </c>
      <c r="AX31" s="31" t="str">
        <f t="shared" si="13"/>
        <v>✓ Within Budget</v>
      </c>
    </row>
    <row r="32" spans="1:50" ht="15.1" customHeight="1" x14ac:dyDescent="0.35">
      <c r="A32" s="32" t="s">
        <v>156</v>
      </c>
      <c r="B32" s="33">
        <v>2024</v>
      </c>
      <c r="C32" s="34">
        <v>111</v>
      </c>
      <c r="D32" s="34">
        <v>4</v>
      </c>
      <c r="E32" s="34">
        <v>3</v>
      </c>
      <c r="F32" s="34">
        <v>3</v>
      </c>
      <c r="G32" s="35">
        <f t="shared" si="0"/>
        <v>112</v>
      </c>
      <c r="H32" s="34">
        <v>2</v>
      </c>
      <c r="I32" s="34">
        <v>196737</v>
      </c>
      <c r="J32" s="34">
        <v>11</v>
      </c>
      <c r="K32" s="34">
        <v>29</v>
      </c>
      <c r="L32" s="34">
        <v>36</v>
      </c>
      <c r="M32" s="34">
        <v>24</v>
      </c>
      <c r="N32" s="34">
        <v>12</v>
      </c>
      <c r="O32" s="36">
        <f t="shared" si="1"/>
        <v>0.32432432432432434</v>
      </c>
      <c r="P32" s="37">
        <v>0.1041</v>
      </c>
      <c r="Q32" s="38">
        <v>85.56</v>
      </c>
      <c r="R32" s="33">
        <v>1475528</v>
      </c>
      <c r="S32" s="34">
        <v>28</v>
      </c>
      <c r="T32" s="35">
        <f t="shared" si="2"/>
        <v>82</v>
      </c>
      <c r="U32" s="34">
        <v>14958165</v>
      </c>
      <c r="V32" s="35">
        <f t="shared" si="3"/>
        <v>2692469.6999999997</v>
      </c>
      <c r="W32" s="35">
        <f t="shared" si="4"/>
        <v>1196653.2</v>
      </c>
      <c r="X32" s="35">
        <f t="shared" si="5"/>
        <v>2019352.2750000001</v>
      </c>
      <c r="Y32" s="34">
        <v>141450</v>
      </c>
      <c r="Z32" s="34">
        <v>154560</v>
      </c>
      <c r="AA32" s="34">
        <v>234201</v>
      </c>
      <c r="AB32" s="34">
        <v>138265</v>
      </c>
      <c r="AC32" s="34">
        <v>280000</v>
      </c>
      <c r="AD32" s="34">
        <v>358400</v>
      </c>
      <c r="AE32" s="34">
        <v>180000</v>
      </c>
      <c r="AF32" s="34">
        <v>656000</v>
      </c>
      <c r="AG32" s="34">
        <v>98400</v>
      </c>
      <c r="AH32" s="34">
        <v>168000</v>
      </c>
      <c r="AI32" s="34">
        <v>89600</v>
      </c>
      <c r="AJ32" s="34">
        <v>67200</v>
      </c>
      <c r="AK32" s="34">
        <v>128800</v>
      </c>
      <c r="AL32" s="34">
        <v>55775</v>
      </c>
      <c r="AM32" s="35">
        <f t="shared" si="6"/>
        <v>21396851.174999997</v>
      </c>
      <c r="AN32" s="35">
        <f t="shared" si="7"/>
        <v>2220440</v>
      </c>
      <c r="AO32" s="35">
        <f t="shared" si="8"/>
        <v>23617291.174999997</v>
      </c>
      <c r="AP32" s="34">
        <v>26891184</v>
      </c>
      <c r="AQ32" s="26">
        <f>SUM(AP27:AP38)</f>
        <v>309545301</v>
      </c>
      <c r="AR32" s="26">
        <f>AQ32-SUM(AO27:AO31)</f>
        <v>188645932.22</v>
      </c>
      <c r="AS32" s="39">
        <v>7</v>
      </c>
      <c r="AT32" s="28">
        <f t="shared" si="9"/>
        <v>26949418.88857143</v>
      </c>
      <c r="AU32" s="29">
        <f t="shared" si="10"/>
        <v>3332127.713571433</v>
      </c>
      <c r="AV32" s="26">
        <f t="shared" si="11"/>
        <v>165028641.04500002</v>
      </c>
      <c r="AW32" s="30">
        <f t="shared" si="12"/>
        <v>0.46686756183386541</v>
      </c>
      <c r="AX32" s="31" t="str">
        <f t="shared" si="13"/>
        <v>✓ Within Budget</v>
      </c>
    </row>
    <row r="33" spans="1:50" ht="15.1" customHeight="1" x14ac:dyDescent="0.35">
      <c r="A33" s="19" t="s">
        <v>157</v>
      </c>
      <c r="B33" s="20">
        <v>2024</v>
      </c>
      <c r="C33" s="21">
        <v>112</v>
      </c>
      <c r="D33" s="21">
        <v>4</v>
      </c>
      <c r="E33" s="21">
        <v>2</v>
      </c>
      <c r="F33" s="21">
        <v>2</v>
      </c>
      <c r="G33" s="22">
        <f t="shared" si="0"/>
        <v>114</v>
      </c>
      <c r="H33" s="21">
        <v>1</v>
      </c>
      <c r="I33" s="21">
        <v>100823</v>
      </c>
      <c r="J33" s="21">
        <v>11</v>
      </c>
      <c r="K33" s="21">
        <v>29</v>
      </c>
      <c r="L33" s="21">
        <v>40</v>
      </c>
      <c r="M33" s="21">
        <v>22</v>
      </c>
      <c r="N33" s="21">
        <v>12</v>
      </c>
      <c r="O33" s="23">
        <f t="shared" si="1"/>
        <v>0.21428571428571427</v>
      </c>
      <c r="P33" s="24">
        <v>0.1094</v>
      </c>
      <c r="Q33" s="25">
        <v>85.72</v>
      </c>
      <c r="R33" s="20">
        <v>1512345</v>
      </c>
      <c r="S33" s="21">
        <v>28</v>
      </c>
      <c r="T33" s="22">
        <f t="shared" si="2"/>
        <v>85</v>
      </c>
      <c r="U33" s="21">
        <v>15482632</v>
      </c>
      <c r="V33" s="22">
        <f t="shared" si="3"/>
        <v>2786873.76</v>
      </c>
      <c r="W33" s="22">
        <f t="shared" si="4"/>
        <v>1238610.56</v>
      </c>
      <c r="X33" s="22">
        <f t="shared" si="5"/>
        <v>2090155.32</v>
      </c>
      <c r="Y33" s="21">
        <v>146625</v>
      </c>
      <c r="Z33" s="21">
        <v>157320</v>
      </c>
      <c r="AA33" s="21">
        <v>241132</v>
      </c>
      <c r="AB33" s="21">
        <v>126734</v>
      </c>
      <c r="AC33" s="21">
        <v>370500</v>
      </c>
      <c r="AD33" s="21">
        <v>364800</v>
      </c>
      <c r="AE33" s="21">
        <v>180000</v>
      </c>
      <c r="AF33" s="21">
        <v>680000</v>
      </c>
      <c r="AG33" s="21">
        <v>102000</v>
      </c>
      <c r="AH33" s="21">
        <v>171000</v>
      </c>
      <c r="AI33" s="21">
        <v>91200</v>
      </c>
      <c r="AJ33" s="21">
        <v>68400</v>
      </c>
      <c r="AK33" s="21">
        <v>131100</v>
      </c>
      <c r="AL33" s="21">
        <v>50910</v>
      </c>
      <c r="AM33" s="22">
        <f t="shared" si="6"/>
        <v>22143348.639999997</v>
      </c>
      <c r="AN33" s="22">
        <f t="shared" si="7"/>
        <v>2336644</v>
      </c>
      <c r="AO33" s="22">
        <f t="shared" si="8"/>
        <v>24479992.639999997</v>
      </c>
      <c r="AP33" s="21">
        <v>27824571</v>
      </c>
      <c r="AQ33" s="26">
        <f>SUM(AP27:AP38)</f>
        <v>309545301</v>
      </c>
      <c r="AR33" s="26">
        <f>AQ33-SUM(AO27:AO32)</f>
        <v>165028641.04500002</v>
      </c>
      <c r="AS33" s="27">
        <v>6</v>
      </c>
      <c r="AT33" s="28">
        <f t="shared" si="9"/>
        <v>27504773.507500004</v>
      </c>
      <c r="AU33" s="29">
        <f t="shared" si="10"/>
        <v>3024780.8675000072</v>
      </c>
      <c r="AV33" s="26">
        <f t="shared" si="11"/>
        <v>140548648.40500003</v>
      </c>
      <c r="AW33" s="30">
        <f t="shared" si="12"/>
        <v>0.54595127772590535</v>
      </c>
      <c r="AX33" s="31" t="str">
        <f t="shared" si="13"/>
        <v>✓ Within Budget</v>
      </c>
    </row>
    <row r="34" spans="1:50" ht="15.1" customHeight="1" x14ac:dyDescent="0.35">
      <c r="A34" s="32" t="s">
        <v>158</v>
      </c>
      <c r="B34" s="33">
        <v>2024</v>
      </c>
      <c r="C34" s="34">
        <v>114</v>
      </c>
      <c r="D34" s="34">
        <v>4</v>
      </c>
      <c r="E34" s="34">
        <v>2</v>
      </c>
      <c r="F34" s="34">
        <v>2</v>
      </c>
      <c r="G34" s="35">
        <f t="shared" si="0"/>
        <v>116</v>
      </c>
      <c r="H34" s="34">
        <v>2</v>
      </c>
      <c r="I34" s="34">
        <v>200364</v>
      </c>
      <c r="J34" s="34">
        <v>12</v>
      </c>
      <c r="K34" s="34">
        <v>28</v>
      </c>
      <c r="L34" s="34">
        <v>43</v>
      </c>
      <c r="M34" s="34">
        <v>22</v>
      </c>
      <c r="N34" s="34">
        <v>11</v>
      </c>
      <c r="O34" s="36">
        <f t="shared" si="1"/>
        <v>0.21052631578947367</v>
      </c>
      <c r="P34" s="37">
        <v>9.9400000000000002E-2</v>
      </c>
      <c r="Q34" s="38">
        <v>86.05</v>
      </c>
      <c r="R34" s="33">
        <v>1502727</v>
      </c>
      <c r="S34" s="34">
        <v>29</v>
      </c>
      <c r="T34" s="35">
        <f t="shared" si="2"/>
        <v>85</v>
      </c>
      <c r="U34" s="41">
        <v>24475165</v>
      </c>
      <c r="V34" s="35">
        <f t="shared" si="3"/>
        <v>4405529.7</v>
      </c>
      <c r="W34" s="35">
        <f t="shared" si="4"/>
        <v>1958013.2</v>
      </c>
      <c r="X34" s="35">
        <f t="shared" si="5"/>
        <v>3304147.2750000004</v>
      </c>
      <c r="Y34" s="34">
        <v>142800</v>
      </c>
      <c r="Z34" s="34">
        <v>155904</v>
      </c>
      <c r="AA34" s="41">
        <v>337993</v>
      </c>
      <c r="AB34" s="41">
        <v>187961</v>
      </c>
      <c r="AC34" s="34">
        <v>290000</v>
      </c>
      <c r="AD34" s="34">
        <v>371200</v>
      </c>
      <c r="AE34" s="34">
        <v>180000</v>
      </c>
      <c r="AF34" s="34">
        <v>680000</v>
      </c>
      <c r="AG34" s="34">
        <v>102000</v>
      </c>
      <c r="AH34" s="34">
        <v>174000</v>
      </c>
      <c r="AI34" s="34">
        <v>92800</v>
      </c>
      <c r="AJ34" s="34">
        <v>69600</v>
      </c>
      <c r="AK34" s="41">
        <v>175392</v>
      </c>
      <c r="AL34" s="34">
        <v>70372</v>
      </c>
      <c r="AM34" s="35">
        <f t="shared" si="6"/>
        <v>34779552.174999997</v>
      </c>
      <c r="AN34" s="35">
        <f t="shared" si="7"/>
        <v>2393325</v>
      </c>
      <c r="AO34" s="35">
        <f t="shared" si="8"/>
        <v>37172877.174999997</v>
      </c>
      <c r="AP34" s="34">
        <v>28143048</v>
      </c>
      <c r="AQ34" s="26">
        <f>SUM(AP27:AP38)</f>
        <v>309545301</v>
      </c>
      <c r="AR34" s="26">
        <f>AQ34-SUM(AO27:AO33)</f>
        <v>140548648.40500003</v>
      </c>
      <c r="AS34" s="39">
        <v>5</v>
      </c>
      <c r="AT34" s="28">
        <f t="shared" si="9"/>
        <v>28109729.681000005</v>
      </c>
      <c r="AU34" s="29">
        <f t="shared" si="10"/>
        <v>-9063147.4939999916</v>
      </c>
      <c r="AV34" s="26">
        <f t="shared" si="11"/>
        <v>103375771.23000003</v>
      </c>
      <c r="AW34" s="30">
        <f t="shared" si="12"/>
        <v>0.66603992728676564</v>
      </c>
      <c r="AX34" s="31" t="str">
        <f t="shared" si="13"/>
        <v>⚠ Over Budget</v>
      </c>
    </row>
    <row r="35" spans="1:50" ht="15.1" customHeight="1" x14ac:dyDescent="0.35">
      <c r="A35" s="19" t="s">
        <v>159</v>
      </c>
      <c r="B35" s="20">
        <v>2024</v>
      </c>
      <c r="C35" s="21">
        <v>116</v>
      </c>
      <c r="D35" s="21">
        <v>3</v>
      </c>
      <c r="E35" s="21">
        <v>2</v>
      </c>
      <c r="F35" s="21">
        <v>2</v>
      </c>
      <c r="G35" s="22">
        <f t="shared" si="0"/>
        <v>117</v>
      </c>
      <c r="H35" s="21">
        <v>2</v>
      </c>
      <c r="I35" s="21">
        <v>202663</v>
      </c>
      <c r="J35" s="21">
        <v>11</v>
      </c>
      <c r="K35" s="21">
        <v>31</v>
      </c>
      <c r="L35" s="21">
        <v>38</v>
      </c>
      <c r="M35" s="21">
        <v>25</v>
      </c>
      <c r="N35" s="21">
        <v>12</v>
      </c>
      <c r="O35" s="23">
        <f t="shared" si="1"/>
        <v>0.20689655172413793</v>
      </c>
      <c r="P35" s="24">
        <v>0.1016</v>
      </c>
      <c r="Q35" s="25">
        <v>86.22</v>
      </c>
      <c r="R35" s="20">
        <v>1519975</v>
      </c>
      <c r="S35" s="21">
        <v>29</v>
      </c>
      <c r="T35" s="22">
        <f t="shared" si="2"/>
        <v>86</v>
      </c>
      <c r="U35" s="21">
        <v>16042069</v>
      </c>
      <c r="V35" s="22">
        <f t="shared" si="3"/>
        <v>2887572.42</v>
      </c>
      <c r="W35" s="22">
        <f t="shared" si="4"/>
        <v>1283365.52</v>
      </c>
      <c r="X35" s="22">
        <f t="shared" si="5"/>
        <v>2165679.3149999999</v>
      </c>
      <c r="Y35" s="21">
        <v>129000</v>
      </c>
      <c r="Z35" s="21">
        <v>140400</v>
      </c>
      <c r="AA35" s="21">
        <v>246824</v>
      </c>
      <c r="AB35" s="21">
        <v>104394</v>
      </c>
      <c r="AC35" s="21">
        <v>292500</v>
      </c>
      <c r="AD35" s="21">
        <v>374400</v>
      </c>
      <c r="AE35" s="21">
        <v>135000</v>
      </c>
      <c r="AF35" s="21">
        <v>688000</v>
      </c>
      <c r="AG35" s="21">
        <v>103200</v>
      </c>
      <c r="AH35" s="21">
        <v>175500</v>
      </c>
      <c r="AI35" s="21">
        <v>93600</v>
      </c>
      <c r="AJ35" s="21">
        <v>70200</v>
      </c>
      <c r="AK35" s="21">
        <v>117000</v>
      </c>
      <c r="AL35" s="21">
        <v>56950</v>
      </c>
      <c r="AM35" s="22">
        <f t="shared" si="6"/>
        <v>22894910.255000003</v>
      </c>
      <c r="AN35" s="22">
        <f t="shared" si="7"/>
        <v>2210744</v>
      </c>
      <c r="AO35" s="22">
        <f t="shared" si="8"/>
        <v>25105654.255000003</v>
      </c>
      <c r="AP35" s="21">
        <v>26430466</v>
      </c>
      <c r="AQ35" s="26">
        <f>SUM(AP27:AP38)</f>
        <v>309545301</v>
      </c>
      <c r="AR35" s="26">
        <f>AQ35-SUM(AO27:AO34)</f>
        <v>103375771.23000002</v>
      </c>
      <c r="AS35" s="27">
        <v>4</v>
      </c>
      <c r="AT35" s="28">
        <f t="shared" si="9"/>
        <v>25843942.807500005</v>
      </c>
      <c r="AU35" s="29">
        <f t="shared" si="10"/>
        <v>738288.55250000209</v>
      </c>
      <c r="AV35" s="26">
        <f t="shared" si="11"/>
        <v>78270116.975000024</v>
      </c>
      <c r="AW35" s="30">
        <f t="shared" si="12"/>
        <v>0.74714487113147932</v>
      </c>
      <c r="AX35" s="31" t="str">
        <f t="shared" si="13"/>
        <v>✓ Within Budget</v>
      </c>
    </row>
    <row r="36" spans="1:50" ht="15.1" customHeight="1" x14ac:dyDescent="0.35">
      <c r="A36" s="32" t="s">
        <v>160</v>
      </c>
      <c r="B36" s="33">
        <v>2025</v>
      </c>
      <c r="C36" s="34">
        <v>117</v>
      </c>
      <c r="D36" s="34">
        <v>3</v>
      </c>
      <c r="E36" s="34">
        <v>2</v>
      </c>
      <c r="F36" s="34">
        <v>2</v>
      </c>
      <c r="G36" s="35">
        <f t="shared" si="0"/>
        <v>118</v>
      </c>
      <c r="H36" s="34">
        <v>2</v>
      </c>
      <c r="I36" s="34">
        <v>202425</v>
      </c>
      <c r="J36" s="34">
        <v>12</v>
      </c>
      <c r="K36" s="34">
        <v>30</v>
      </c>
      <c r="L36" s="34">
        <v>42</v>
      </c>
      <c r="M36" s="34">
        <v>22</v>
      </c>
      <c r="N36" s="34">
        <v>12</v>
      </c>
      <c r="O36" s="36">
        <f t="shared" si="1"/>
        <v>0.20512820512820515</v>
      </c>
      <c r="P36" s="37">
        <v>0.1143</v>
      </c>
      <c r="Q36" s="38">
        <v>86.56</v>
      </c>
      <c r="R36" s="33">
        <v>1518186</v>
      </c>
      <c r="S36" s="34">
        <v>30</v>
      </c>
      <c r="T36" s="35">
        <f t="shared" si="2"/>
        <v>86</v>
      </c>
      <c r="U36" s="34">
        <v>15966256</v>
      </c>
      <c r="V36" s="35">
        <f t="shared" si="3"/>
        <v>2873926.08</v>
      </c>
      <c r="W36" s="35">
        <f t="shared" si="4"/>
        <v>1277300.48</v>
      </c>
      <c r="X36" s="35">
        <f t="shared" si="5"/>
        <v>2155444.56</v>
      </c>
      <c r="Y36" s="34">
        <v>139320</v>
      </c>
      <c r="Z36" s="34">
        <v>152928</v>
      </c>
      <c r="AA36" s="34">
        <v>248661</v>
      </c>
      <c r="AB36" s="34">
        <v>108746</v>
      </c>
      <c r="AC36" s="34">
        <v>295000</v>
      </c>
      <c r="AD36" s="34">
        <v>377600</v>
      </c>
      <c r="AE36" s="34">
        <v>135000</v>
      </c>
      <c r="AF36" s="34">
        <v>688000</v>
      </c>
      <c r="AG36" s="34">
        <v>103200</v>
      </c>
      <c r="AH36" s="34">
        <v>177000</v>
      </c>
      <c r="AI36" s="34">
        <v>94400</v>
      </c>
      <c r="AJ36" s="34">
        <v>70800</v>
      </c>
      <c r="AK36" s="34">
        <v>127440</v>
      </c>
      <c r="AL36" s="34">
        <v>61243</v>
      </c>
      <c r="AM36" s="35">
        <f t="shared" si="6"/>
        <v>22813836.119999997</v>
      </c>
      <c r="AN36" s="35">
        <f t="shared" si="7"/>
        <v>2238429</v>
      </c>
      <c r="AO36" s="35">
        <f t="shared" si="8"/>
        <v>25052265.119999997</v>
      </c>
      <c r="AP36" s="34">
        <v>27085196</v>
      </c>
      <c r="AQ36" s="26">
        <f>SUM(AP27:AP38)</f>
        <v>309545301</v>
      </c>
      <c r="AR36" s="26">
        <f>AQ36-SUM(AO27:AO35)</f>
        <v>78270116.975000024</v>
      </c>
      <c r="AS36" s="39">
        <v>3</v>
      </c>
      <c r="AT36" s="28">
        <f t="shared" si="9"/>
        <v>26090038.991666675</v>
      </c>
      <c r="AU36" s="29">
        <f t="shared" si="10"/>
        <v>1037773.8716666773</v>
      </c>
      <c r="AV36" s="26">
        <f t="shared" si="11"/>
        <v>53217851.855000027</v>
      </c>
      <c r="AW36" s="30">
        <f t="shared" si="12"/>
        <v>0.8280773389772762</v>
      </c>
      <c r="AX36" s="31" t="str">
        <f t="shared" si="13"/>
        <v>✓ Within Budget</v>
      </c>
    </row>
    <row r="37" spans="1:50" ht="15.1" customHeight="1" x14ac:dyDescent="0.35">
      <c r="A37" s="19" t="s">
        <v>161</v>
      </c>
      <c r="B37" s="20">
        <v>2025</v>
      </c>
      <c r="C37" s="21">
        <v>118</v>
      </c>
      <c r="D37" s="21">
        <v>3</v>
      </c>
      <c r="E37" s="21">
        <v>1</v>
      </c>
      <c r="F37" s="21">
        <v>1</v>
      </c>
      <c r="G37" s="22">
        <f t="shared" si="0"/>
        <v>120</v>
      </c>
      <c r="H37" s="21">
        <v>1</v>
      </c>
      <c r="I37" s="21">
        <v>102886</v>
      </c>
      <c r="J37" s="21">
        <v>12</v>
      </c>
      <c r="K37" s="21">
        <v>30</v>
      </c>
      <c r="L37" s="21">
        <v>43</v>
      </c>
      <c r="M37" s="21">
        <v>23</v>
      </c>
      <c r="N37" s="21">
        <v>12</v>
      </c>
      <c r="O37" s="23">
        <f t="shared" si="1"/>
        <v>0.10169491525423729</v>
      </c>
      <c r="P37" s="24">
        <v>9.7699999999999995E-2</v>
      </c>
      <c r="Q37" s="25">
        <v>86.28</v>
      </c>
      <c r="R37" s="20">
        <v>1543295</v>
      </c>
      <c r="S37" s="21">
        <v>30</v>
      </c>
      <c r="T37" s="22">
        <f t="shared" si="2"/>
        <v>89</v>
      </c>
      <c r="U37" s="21">
        <v>16538978</v>
      </c>
      <c r="V37" s="22">
        <f t="shared" si="3"/>
        <v>2977016.04</v>
      </c>
      <c r="W37" s="22">
        <f t="shared" si="4"/>
        <v>1323118.24</v>
      </c>
      <c r="X37" s="22">
        <f t="shared" si="5"/>
        <v>2232762.0300000003</v>
      </c>
      <c r="Y37" s="21">
        <v>144180</v>
      </c>
      <c r="Z37" s="21">
        <v>155520</v>
      </c>
      <c r="AA37" s="21">
        <v>245985</v>
      </c>
      <c r="AB37" s="21">
        <v>110982</v>
      </c>
      <c r="AC37" s="21">
        <v>300000</v>
      </c>
      <c r="AD37" s="21">
        <v>384000</v>
      </c>
      <c r="AE37" s="21">
        <v>135000</v>
      </c>
      <c r="AF37" s="21">
        <v>712000</v>
      </c>
      <c r="AG37" s="21">
        <v>106800</v>
      </c>
      <c r="AH37" s="21">
        <v>180000</v>
      </c>
      <c r="AI37" s="21">
        <v>96000</v>
      </c>
      <c r="AJ37" s="21">
        <v>72000</v>
      </c>
      <c r="AK37" s="21">
        <v>129600</v>
      </c>
      <c r="AL37" s="21">
        <v>65324</v>
      </c>
      <c r="AM37" s="22">
        <f t="shared" si="6"/>
        <v>23617559.309999999</v>
      </c>
      <c r="AN37" s="22">
        <f t="shared" si="7"/>
        <v>2291706</v>
      </c>
      <c r="AO37" s="22">
        <f t="shared" si="8"/>
        <v>25909265.309999999</v>
      </c>
      <c r="AP37" s="21">
        <v>28715571</v>
      </c>
      <c r="AQ37" s="26">
        <f>SUM(AP27:AP38)</f>
        <v>309545301</v>
      </c>
      <c r="AR37" s="26">
        <f>AQ37-SUM(AO27:AO36)</f>
        <v>53217851.855000019</v>
      </c>
      <c r="AS37" s="27">
        <v>2</v>
      </c>
      <c r="AT37" s="28">
        <f t="shared" si="9"/>
        <v>26608925.92750001</v>
      </c>
      <c r="AU37" s="29">
        <f t="shared" si="10"/>
        <v>699660.61750001088</v>
      </c>
      <c r="AV37" s="26">
        <f t="shared" si="11"/>
        <v>27308586.54500002</v>
      </c>
      <c r="AW37" s="30">
        <f t="shared" si="12"/>
        <v>0.91177838443427051</v>
      </c>
      <c r="AX37" s="31" t="str">
        <f t="shared" si="13"/>
        <v>✓ Within Budget</v>
      </c>
    </row>
    <row r="38" spans="1:50" ht="15.1" customHeight="1" x14ac:dyDescent="0.35">
      <c r="A38" s="32" t="s">
        <v>162</v>
      </c>
      <c r="B38" s="33">
        <v>2025</v>
      </c>
      <c r="C38" s="34">
        <v>120</v>
      </c>
      <c r="D38" s="34">
        <v>3</v>
      </c>
      <c r="E38" s="34">
        <v>2</v>
      </c>
      <c r="F38" s="34">
        <v>2</v>
      </c>
      <c r="G38" s="35">
        <f t="shared" si="0"/>
        <v>121</v>
      </c>
      <c r="H38" s="34">
        <v>2</v>
      </c>
      <c r="I38" s="34">
        <v>204176</v>
      </c>
      <c r="J38" s="34">
        <v>11</v>
      </c>
      <c r="K38" s="34">
        <v>33</v>
      </c>
      <c r="L38" s="34">
        <v>41</v>
      </c>
      <c r="M38" s="34">
        <v>24</v>
      </c>
      <c r="N38" s="34">
        <v>12</v>
      </c>
      <c r="O38" s="36">
        <f t="shared" si="1"/>
        <v>0.2</v>
      </c>
      <c r="P38" s="37">
        <v>9.8599999999999993E-2</v>
      </c>
      <c r="Q38" s="38">
        <v>86.52</v>
      </c>
      <c r="R38" s="33">
        <v>1531317</v>
      </c>
      <c r="S38" s="34">
        <v>30</v>
      </c>
      <c r="T38" s="35">
        <f t="shared" si="2"/>
        <v>89</v>
      </c>
      <c r="U38" s="34">
        <v>16570126</v>
      </c>
      <c r="V38" s="35">
        <f t="shared" si="3"/>
        <v>2982622.6799999997</v>
      </c>
      <c r="W38" s="35">
        <f t="shared" si="4"/>
        <v>1325610.08</v>
      </c>
      <c r="X38" s="35">
        <f t="shared" si="5"/>
        <v>2236967.0100000002</v>
      </c>
      <c r="Y38" s="34">
        <v>141510</v>
      </c>
      <c r="Z38" s="34">
        <v>153912</v>
      </c>
      <c r="AA38" s="34">
        <v>238570</v>
      </c>
      <c r="AB38" s="34">
        <v>98047</v>
      </c>
      <c r="AC38" s="34">
        <v>302500</v>
      </c>
      <c r="AD38" s="34">
        <v>387200</v>
      </c>
      <c r="AE38" s="34">
        <v>135000</v>
      </c>
      <c r="AF38" s="34">
        <v>712000</v>
      </c>
      <c r="AG38" s="34">
        <v>106800</v>
      </c>
      <c r="AH38" s="34">
        <v>181500</v>
      </c>
      <c r="AI38" s="34">
        <v>96800</v>
      </c>
      <c r="AJ38" s="34">
        <v>72600</v>
      </c>
      <c r="AK38" s="34">
        <v>128260</v>
      </c>
      <c r="AL38" s="34">
        <v>59486</v>
      </c>
      <c r="AM38" s="35">
        <f t="shared" si="6"/>
        <v>23649317.77</v>
      </c>
      <c r="AN38" s="35">
        <f t="shared" si="7"/>
        <v>2280193</v>
      </c>
      <c r="AO38" s="35">
        <f t="shared" si="8"/>
        <v>25929510.77</v>
      </c>
      <c r="AP38" s="34">
        <v>27003698</v>
      </c>
      <c r="AQ38" s="26">
        <f>SUM(AP27:AP38)</f>
        <v>309545301</v>
      </c>
      <c r="AR38" s="26">
        <f>AQ38-SUM(AO27:AO37)</f>
        <v>27308586.545000017</v>
      </c>
      <c r="AS38" s="39">
        <v>1</v>
      </c>
      <c r="AT38" s="28">
        <f t="shared" si="9"/>
        <v>27308586.545000017</v>
      </c>
      <c r="AU38" s="29">
        <f t="shared" si="10"/>
        <v>1379075.7750000171</v>
      </c>
      <c r="AV38" s="26">
        <f t="shared" si="11"/>
        <v>1379075.7750000171</v>
      </c>
      <c r="AW38" s="30">
        <f t="shared" si="12"/>
        <v>0.99554483375924341</v>
      </c>
      <c r="AX38" s="31" t="str">
        <f t="shared" si="13"/>
        <v>✓ Within Budget</v>
      </c>
    </row>
  </sheetData>
  <mergeCells count="1">
    <mergeCell ref="A1:AV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8"/>
  <sheetViews>
    <sheetView zoomScaleNormal="100" workbookViewId="0">
      <pane xSplit="2" ySplit="2" topLeftCell="C38" activePane="bottomRight" state="frozen"/>
      <selection pane="topRight" activeCell="C1" sqref="C1"/>
      <selection pane="bottomLeft" activeCell="A3" sqref="A3"/>
      <selection pane="bottomRight" activeCell="A40" sqref="A40:XFD62"/>
    </sheetView>
  </sheetViews>
  <sheetFormatPr defaultColWidth="8.6328125" defaultRowHeight="14.85" x14ac:dyDescent="0.35"/>
  <cols>
    <col min="1" max="1" width="10" customWidth="1"/>
    <col min="2" max="48" width="16" customWidth="1"/>
    <col min="49" max="50" width="18" customWidth="1"/>
  </cols>
  <sheetData>
    <row r="1" spans="1:50" ht="21.7" customHeight="1" x14ac:dyDescent="0.35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50" ht="30" customHeight="1" x14ac:dyDescent="0.35">
      <c r="A2" s="18" t="s">
        <v>37</v>
      </c>
      <c r="B2" s="18" t="s">
        <v>78</v>
      </c>
      <c r="C2" s="18" t="s">
        <v>79</v>
      </c>
      <c r="D2" s="18" t="s">
        <v>80</v>
      </c>
      <c r="E2" s="18" t="s">
        <v>81</v>
      </c>
      <c r="F2" s="18" t="s">
        <v>82</v>
      </c>
      <c r="G2" s="18" t="s">
        <v>83</v>
      </c>
      <c r="H2" s="18" t="s">
        <v>84</v>
      </c>
      <c r="I2" s="18" t="s">
        <v>85</v>
      </c>
      <c r="J2" s="18" t="s">
        <v>86</v>
      </c>
      <c r="K2" s="18" t="s">
        <v>87</v>
      </c>
      <c r="L2" s="18" t="s">
        <v>88</v>
      </c>
      <c r="M2" s="18" t="s">
        <v>89</v>
      </c>
      <c r="N2" s="18" t="s">
        <v>90</v>
      </c>
      <c r="O2" s="18" t="s">
        <v>91</v>
      </c>
      <c r="P2" s="18" t="s">
        <v>92</v>
      </c>
      <c r="Q2" s="18" t="s">
        <v>93</v>
      </c>
      <c r="R2" s="18" t="s">
        <v>94</v>
      </c>
      <c r="S2" s="18" t="s">
        <v>95</v>
      </c>
      <c r="T2" s="18" t="s">
        <v>96</v>
      </c>
      <c r="U2" s="18" t="s">
        <v>97</v>
      </c>
      <c r="V2" s="18" t="s">
        <v>98</v>
      </c>
      <c r="W2" s="18" t="s">
        <v>99</v>
      </c>
      <c r="X2" s="18" t="s">
        <v>100</v>
      </c>
      <c r="Y2" s="18" t="s">
        <v>101</v>
      </c>
      <c r="Z2" s="18" t="s">
        <v>102</v>
      </c>
      <c r="AA2" s="18" t="s">
        <v>103</v>
      </c>
      <c r="AB2" s="18" t="s">
        <v>104</v>
      </c>
      <c r="AC2" s="18" t="s">
        <v>105</v>
      </c>
      <c r="AD2" s="18" t="s">
        <v>106</v>
      </c>
      <c r="AE2" s="18" t="s">
        <v>107</v>
      </c>
      <c r="AF2" s="18" t="s">
        <v>108</v>
      </c>
      <c r="AG2" s="18" t="s">
        <v>109</v>
      </c>
      <c r="AH2" s="18" t="s">
        <v>110</v>
      </c>
      <c r="AI2" s="18" t="s">
        <v>111</v>
      </c>
      <c r="AJ2" s="18" t="s">
        <v>112</v>
      </c>
      <c r="AK2" s="18" t="s">
        <v>113</v>
      </c>
      <c r="AL2" s="18" t="s">
        <v>114</v>
      </c>
      <c r="AM2" s="18" t="s">
        <v>115</v>
      </c>
      <c r="AN2" s="18" t="s">
        <v>116</v>
      </c>
      <c r="AO2" s="18" t="s">
        <v>117</v>
      </c>
      <c r="AP2" s="18" t="s">
        <v>118</v>
      </c>
      <c r="AQ2" s="18" t="s">
        <v>119</v>
      </c>
      <c r="AR2" s="18" t="s">
        <v>120</v>
      </c>
      <c r="AS2" s="18" t="s">
        <v>121</v>
      </c>
      <c r="AT2" s="18" t="s">
        <v>122</v>
      </c>
      <c r="AU2" s="18" t="s">
        <v>123</v>
      </c>
      <c r="AV2" s="18" t="s">
        <v>124</v>
      </c>
      <c r="AW2" s="18" t="s">
        <v>125</v>
      </c>
      <c r="AX2" s="18" t="s">
        <v>126</v>
      </c>
    </row>
    <row r="3" spans="1:50" ht="15.1" customHeight="1" x14ac:dyDescent="0.35">
      <c r="A3" s="19" t="s">
        <v>127</v>
      </c>
      <c r="B3" s="20">
        <v>2022</v>
      </c>
      <c r="C3" s="21">
        <v>50</v>
      </c>
      <c r="D3" s="21">
        <v>1</v>
      </c>
      <c r="E3" s="21">
        <v>1</v>
      </c>
      <c r="F3" s="21">
        <v>1</v>
      </c>
      <c r="G3" s="22">
        <f t="shared" ref="G3:G38" si="0">C3+D3-E3</f>
        <v>50</v>
      </c>
      <c r="H3" s="21">
        <v>1</v>
      </c>
      <c r="I3" s="21">
        <v>100220</v>
      </c>
      <c r="J3" s="21">
        <v>3</v>
      </c>
      <c r="K3" s="21">
        <v>10</v>
      </c>
      <c r="L3" s="21">
        <v>20</v>
      </c>
      <c r="M3" s="21">
        <v>11</v>
      </c>
      <c r="N3" s="21">
        <v>6</v>
      </c>
      <c r="O3" s="23">
        <f t="shared" ref="O3:O38" si="1">F3/(C3)*12</f>
        <v>0.24</v>
      </c>
      <c r="P3" s="24">
        <v>0.11799999999999999</v>
      </c>
      <c r="Q3" s="25">
        <v>82.42</v>
      </c>
      <c r="R3" s="20">
        <v>1503300</v>
      </c>
      <c r="S3" s="21">
        <v>20</v>
      </c>
      <c r="T3" s="22">
        <f t="shared" ref="T3:T38" si="2">G3-H3-S3</f>
        <v>29</v>
      </c>
      <c r="U3" s="21">
        <v>7071774</v>
      </c>
      <c r="V3" s="22">
        <f t="shared" ref="V3:V38" si="3">U3*0.18</f>
        <v>1272919.32</v>
      </c>
      <c r="W3" s="22">
        <f t="shared" ref="W3:W38" si="4">U3*0.08</f>
        <v>565741.92000000004</v>
      </c>
      <c r="X3" s="22">
        <f t="shared" ref="X3:X38" si="5">U3*0.135</f>
        <v>954689.49000000011</v>
      </c>
      <c r="Y3" s="21">
        <v>47850</v>
      </c>
      <c r="Z3" s="21">
        <v>66000</v>
      </c>
      <c r="AA3" s="21">
        <v>104342</v>
      </c>
      <c r="AB3" s="21">
        <v>36087</v>
      </c>
      <c r="AC3" s="21">
        <v>162500</v>
      </c>
      <c r="AD3" s="21">
        <v>160000</v>
      </c>
      <c r="AE3" s="21">
        <v>45000</v>
      </c>
      <c r="AF3" s="21">
        <v>232000</v>
      </c>
      <c r="AG3" s="21">
        <v>34800</v>
      </c>
      <c r="AH3" s="21">
        <v>75000</v>
      </c>
      <c r="AI3" s="21">
        <v>40000</v>
      </c>
      <c r="AJ3" s="21">
        <v>30000</v>
      </c>
      <c r="AK3" s="21">
        <v>55000</v>
      </c>
      <c r="AL3" s="21">
        <v>21918</v>
      </c>
      <c r="AM3" s="22">
        <f t="shared" ref="AM3:AM38" si="6">SUM(U3:AA3)</f>
        <v>10083316.73</v>
      </c>
      <c r="AN3" s="22">
        <f t="shared" ref="AN3:AN38" si="7">SUM(AB3:AL3)</f>
        <v>892305</v>
      </c>
      <c r="AO3" s="22">
        <f t="shared" ref="AO3:AO38" si="8">AM3+AN3</f>
        <v>10975621.73</v>
      </c>
      <c r="AP3" s="21">
        <v>12625482</v>
      </c>
      <c r="AQ3" s="26">
        <f>SUM(AP3:AP14)</f>
        <v>149415292</v>
      </c>
      <c r="AR3" s="26">
        <f>AQ3</f>
        <v>149415292</v>
      </c>
      <c r="AS3" s="27">
        <v>12</v>
      </c>
      <c r="AT3" s="28">
        <f t="shared" ref="AT3:AT38" si="9">IF(AM3&gt;0,AR3/AS3,0)</f>
        <v>12451274.333333334</v>
      </c>
      <c r="AU3" s="29">
        <f t="shared" ref="AU3:AU38" si="10">AT3-AO3</f>
        <v>1475652.6033333335</v>
      </c>
      <c r="AV3" s="26">
        <f t="shared" ref="AV3:AV38" si="11">AR3-AO3</f>
        <v>138439670.27000001</v>
      </c>
      <c r="AW3" s="30">
        <f t="shared" ref="AW3:AW38" si="12">IF(AQ3&gt;0,(AQ3-AV3)/AQ3,0)</f>
        <v>7.345715142731167E-2</v>
      </c>
      <c r="AX3" s="31" t="str">
        <f t="shared" ref="AX3:AX38" si="13">IF(AU3&lt;0,"⚠ Over Budget","✓ Within Budget")</f>
        <v>✓ Within Budget</v>
      </c>
    </row>
    <row r="4" spans="1:50" ht="15.1" customHeight="1" x14ac:dyDescent="0.35">
      <c r="A4" s="32" t="s">
        <v>128</v>
      </c>
      <c r="B4" s="33">
        <v>2022</v>
      </c>
      <c r="C4" s="34">
        <v>50</v>
      </c>
      <c r="D4" s="34">
        <v>3</v>
      </c>
      <c r="E4" s="34">
        <v>1</v>
      </c>
      <c r="F4" s="34">
        <v>1</v>
      </c>
      <c r="G4" s="35">
        <f t="shared" si="0"/>
        <v>52</v>
      </c>
      <c r="H4" s="34">
        <v>0</v>
      </c>
      <c r="I4" s="34">
        <v>0</v>
      </c>
      <c r="J4" s="34">
        <v>2</v>
      </c>
      <c r="K4" s="34">
        <v>10</v>
      </c>
      <c r="L4" s="34">
        <v>23</v>
      </c>
      <c r="M4" s="34">
        <v>13</v>
      </c>
      <c r="N4" s="34">
        <v>4</v>
      </c>
      <c r="O4" s="36">
        <f t="shared" si="1"/>
        <v>0.24</v>
      </c>
      <c r="P4" s="37">
        <v>0.10589999999999999</v>
      </c>
      <c r="Q4" s="38">
        <v>82.4</v>
      </c>
      <c r="R4" s="33">
        <v>1492372</v>
      </c>
      <c r="S4" s="34">
        <v>21</v>
      </c>
      <c r="T4" s="35">
        <f t="shared" si="2"/>
        <v>31</v>
      </c>
      <c r="U4" s="34">
        <v>7200695</v>
      </c>
      <c r="V4" s="35">
        <f t="shared" si="3"/>
        <v>1296125.0999999999</v>
      </c>
      <c r="W4" s="35">
        <f t="shared" si="4"/>
        <v>576055.6</v>
      </c>
      <c r="X4" s="35">
        <f t="shared" si="5"/>
        <v>972093.82500000007</v>
      </c>
      <c r="Y4" s="34">
        <v>51150</v>
      </c>
      <c r="Z4" s="34">
        <v>68640</v>
      </c>
      <c r="AA4" s="34">
        <v>103257</v>
      </c>
      <c r="AB4" s="34">
        <v>92074</v>
      </c>
      <c r="AC4" s="34">
        <v>169000</v>
      </c>
      <c r="AD4" s="34">
        <v>166400</v>
      </c>
      <c r="AE4" s="34">
        <v>135000</v>
      </c>
      <c r="AF4" s="34">
        <v>248000</v>
      </c>
      <c r="AG4" s="34">
        <v>37200</v>
      </c>
      <c r="AH4" s="34">
        <v>78000</v>
      </c>
      <c r="AI4" s="34">
        <v>41600</v>
      </c>
      <c r="AJ4" s="34">
        <v>31200</v>
      </c>
      <c r="AK4" s="34">
        <v>57200</v>
      </c>
      <c r="AL4" s="34">
        <v>19986</v>
      </c>
      <c r="AM4" s="35">
        <f t="shared" si="6"/>
        <v>10268016.524999999</v>
      </c>
      <c r="AN4" s="35">
        <f t="shared" si="7"/>
        <v>1075660</v>
      </c>
      <c r="AO4" s="35">
        <f t="shared" si="8"/>
        <v>11343676.524999999</v>
      </c>
      <c r="AP4" s="34">
        <v>12334805</v>
      </c>
      <c r="AQ4" s="26">
        <f>SUM(AP3:AP14)</f>
        <v>149415292</v>
      </c>
      <c r="AR4" s="26">
        <f>AQ4-SUM(AO3:AO3)</f>
        <v>138439670.27000001</v>
      </c>
      <c r="AS4" s="39">
        <v>11</v>
      </c>
      <c r="AT4" s="28">
        <f t="shared" si="9"/>
        <v>12585424.57</v>
      </c>
      <c r="AU4" s="29">
        <f t="shared" si="10"/>
        <v>1241748.0450000018</v>
      </c>
      <c r="AV4" s="26">
        <f t="shared" si="11"/>
        <v>127095993.745</v>
      </c>
      <c r="AW4" s="30">
        <f t="shared" si="12"/>
        <v>0.14937760356550384</v>
      </c>
      <c r="AX4" s="31" t="str">
        <f t="shared" si="13"/>
        <v>✓ Within Budget</v>
      </c>
    </row>
    <row r="5" spans="1:50" ht="15.1" customHeight="1" x14ac:dyDescent="0.35">
      <c r="A5" s="19" t="s">
        <v>129</v>
      </c>
      <c r="B5" s="20">
        <v>2022</v>
      </c>
      <c r="C5" s="21">
        <v>52</v>
      </c>
      <c r="D5" s="21">
        <v>1</v>
      </c>
      <c r="E5" s="21">
        <v>1</v>
      </c>
      <c r="F5" s="21">
        <v>1</v>
      </c>
      <c r="G5" s="22">
        <f t="shared" si="0"/>
        <v>52</v>
      </c>
      <c r="H5" s="21">
        <v>1</v>
      </c>
      <c r="I5" s="21">
        <v>102683</v>
      </c>
      <c r="J5" s="21">
        <v>2</v>
      </c>
      <c r="K5" s="21">
        <v>12</v>
      </c>
      <c r="L5" s="21">
        <v>20</v>
      </c>
      <c r="M5" s="21">
        <v>12</v>
      </c>
      <c r="N5" s="21">
        <v>6</v>
      </c>
      <c r="O5" s="23">
        <f t="shared" si="1"/>
        <v>0.23076923076923078</v>
      </c>
      <c r="P5" s="24">
        <v>9.1899999999999996E-2</v>
      </c>
      <c r="Q5" s="25">
        <v>82.26</v>
      </c>
      <c r="R5" s="20">
        <v>1540252</v>
      </c>
      <c r="S5" s="21">
        <v>21</v>
      </c>
      <c r="T5" s="22">
        <f t="shared" si="2"/>
        <v>30</v>
      </c>
      <c r="U5" s="40">
        <v>10432896</v>
      </c>
      <c r="V5" s="22">
        <f t="shared" si="3"/>
        <v>1877921.28</v>
      </c>
      <c r="W5" s="22">
        <f t="shared" si="4"/>
        <v>834631.68000000005</v>
      </c>
      <c r="X5" s="22">
        <f t="shared" si="5"/>
        <v>1408440.9600000002</v>
      </c>
      <c r="Y5" s="21">
        <v>47250</v>
      </c>
      <c r="Z5" s="21">
        <v>65520</v>
      </c>
      <c r="AA5" s="40">
        <v>127408</v>
      </c>
      <c r="AB5" s="40">
        <v>49236</v>
      </c>
      <c r="AC5" s="21">
        <v>130000</v>
      </c>
      <c r="AD5" s="21">
        <v>166400</v>
      </c>
      <c r="AE5" s="21">
        <v>45000</v>
      </c>
      <c r="AF5" s="21">
        <v>240000</v>
      </c>
      <c r="AG5" s="21">
        <v>36000</v>
      </c>
      <c r="AH5" s="21">
        <v>78000</v>
      </c>
      <c r="AI5" s="21">
        <v>41600</v>
      </c>
      <c r="AJ5" s="21">
        <v>31200</v>
      </c>
      <c r="AK5" s="40">
        <v>73710</v>
      </c>
      <c r="AL5" s="21">
        <v>15972</v>
      </c>
      <c r="AM5" s="22">
        <f t="shared" si="6"/>
        <v>14794067.92</v>
      </c>
      <c r="AN5" s="22">
        <f t="shared" si="7"/>
        <v>907118</v>
      </c>
      <c r="AO5" s="22">
        <f t="shared" si="8"/>
        <v>15701185.92</v>
      </c>
      <c r="AP5" s="21">
        <v>12186932</v>
      </c>
      <c r="AQ5" s="26">
        <f>SUM(AP3:AP14)</f>
        <v>149415292</v>
      </c>
      <c r="AR5" s="26">
        <f>AQ5-SUM(AO3:AO4)</f>
        <v>127095993.745</v>
      </c>
      <c r="AS5" s="27">
        <v>10</v>
      </c>
      <c r="AT5" s="28">
        <f t="shared" si="9"/>
        <v>12709599.374500001</v>
      </c>
      <c r="AU5" s="29">
        <f t="shared" si="10"/>
        <v>-2991586.5454999991</v>
      </c>
      <c r="AV5" s="26">
        <f t="shared" si="11"/>
        <v>111394807.825</v>
      </c>
      <c r="AW5" s="30">
        <f t="shared" si="12"/>
        <v>0.25446180016835224</v>
      </c>
      <c r="AX5" s="31" t="str">
        <f t="shared" si="13"/>
        <v>⚠ Over Budget</v>
      </c>
    </row>
    <row r="6" spans="1:50" ht="15.1" customHeight="1" x14ac:dyDescent="0.35">
      <c r="A6" s="32" t="s">
        <v>130</v>
      </c>
      <c r="B6" s="33">
        <v>2022</v>
      </c>
      <c r="C6" s="34">
        <v>52</v>
      </c>
      <c r="D6" s="34">
        <v>1</v>
      </c>
      <c r="E6" s="34">
        <v>2</v>
      </c>
      <c r="F6" s="34">
        <v>2</v>
      </c>
      <c r="G6" s="35">
        <f t="shared" si="0"/>
        <v>51</v>
      </c>
      <c r="H6" s="34">
        <v>1</v>
      </c>
      <c r="I6" s="34">
        <v>101871</v>
      </c>
      <c r="J6" s="34">
        <v>2</v>
      </c>
      <c r="K6" s="34">
        <v>11</v>
      </c>
      <c r="L6" s="34">
        <v>21</v>
      </c>
      <c r="M6" s="34">
        <v>12</v>
      </c>
      <c r="N6" s="34">
        <v>5</v>
      </c>
      <c r="O6" s="36">
        <f t="shared" si="1"/>
        <v>0.46153846153846156</v>
      </c>
      <c r="P6" s="37">
        <v>0.10050000000000001</v>
      </c>
      <c r="Q6" s="38">
        <v>82.87</v>
      </c>
      <c r="R6" s="33">
        <v>1528069</v>
      </c>
      <c r="S6" s="34">
        <v>20</v>
      </c>
      <c r="T6" s="35">
        <f t="shared" si="2"/>
        <v>30</v>
      </c>
      <c r="U6" s="34">
        <v>7283796</v>
      </c>
      <c r="V6" s="35">
        <f t="shared" si="3"/>
        <v>1311083.28</v>
      </c>
      <c r="W6" s="35">
        <f t="shared" si="4"/>
        <v>582703.68000000005</v>
      </c>
      <c r="X6" s="35">
        <f t="shared" si="5"/>
        <v>983312.46000000008</v>
      </c>
      <c r="Y6" s="34">
        <v>45000</v>
      </c>
      <c r="Z6" s="34">
        <v>61200</v>
      </c>
      <c r="AA6" s="34">
        <v>104766</v>
      </c>
      <c r="AB6" s="34">
        <v>36615</v>
      </c>
      <c r="AC6" s="34">
        <v>127500</v>
      </c>
      <c r="AD6" s="34">
        <v>163200</v>
      </c>
      <c r="AE6" s="34">
        <v>45000</v>
      </c>
      <c r="AF6" s="34">
        <v>240000</v>
      </c>
      <c r="AG6" s="34">
        <v>36000</v>
      </c>
      <c r="AH6" s="34">
        <v>76500</v>
      </c>
      <c r="AI6" s="34">
        <v>40800</v>
      </c>
      <c r="AJ6" s="34">
        <v>30600</v>
      </c>
      <c r="AK6" s="34">
        <v>51000</v>
      </c>
      <c r="AL6" s="34">
        <v>24163</v>
      </c>
      <c r="AM6" s="35">
        <f t="shared" si="6"/>
        <v>10371861.42</v>
      </c>
      <c r="AN6" s="35">
        <f t="shared" si="7"/>
        <v>871378</v>
      </c>
      <c r="AO6" s="35">
        <f t="shared" si="8"/>
        <v>11243239.42</v>
      </c>
      <c r="AP6" s="34">
        <v>11180745</v>
      </c>
      <c r="AQ6" s="26">
        <f>SUM(AP3:AP14)</f>
        <v>149415292</v>
      </c>
      <c r="AR6" s="26">
        <f>AQ6-SUM(AO3:AO5)</f>
        <v>111394807.825</v>
      </c>
      <c r="AS6" s="39">
        <v>9</v>
      </c>
      <c r="AT6" s="28">
        <f t="shared" si="9"/>
        <v>12377200.869444445</v>
      </c>
      <c r="AU6" s="29">
        <f t="shared" si="10"/>
        <v>1133961.4494444449</v>
      </c>
      <c r="AV6" s="26">
        <f t="shared" si="11"/>
        <v>100151568.405</v>
      </c>
      <c r="AW6" s="30">
        <f t="shared" si="12"/>
        <v>0.32971005133129211</v>
      </c>
      <c r="AX6" s="31" t="str">
        <f t="shared" si="13"/>
        <v>✓ Within Budget</v>
      </c>
    </row>
    <row r="7" spans="1:50" ht="15.1" customHeight="1" x14ac:dyDescent="0.35">
      <c r="A7" s="19" t="s">
        <v>131</v>
      </c>
      <c r="B7" s="20">
        <v>2022</v>
      </c>
      <c r="C7" s="21">
        <v>51</v>
      </c>
      <c r="D7" s="21">
        <v>1</v>
      </c>
      <c r="E7" s="21">
        <v>1</v>
      </c>
      <c r="F7" s="21">
        <v>1</v>
      </c>
      <c r="G7" s="22">
        <f t="shared" si="0"/>
        <v>51</v>
      </c>
      <c r="H7" s="21">
        <v>1</v>
      </c>
      <c r="I7" s="21">
        <v>103841</v>
      </c>
      <c r="J7" s="21">
        <v>3</v>
      </c>
      <c r="K7" s="21">
        <v>9</v>
      </c>
      <c r="L7" s="21">
        <v>22</v>
      </c>
      <c r="M7" s="21">
        <v>13</v>
      </c>
      <c r="N7" s="21">
        <v>4</v>
      </c>
      <c r="O7" s="23">
        <f t="shared" si="1"/>
        <v>0.23529411764705882</v>
      </c>
      <c r="P7" s="24">
        <v>0.1014</v>
      </c>
      <c r="Q7" s="25">
        <v>82.75</v>
      </c>
      <c r="R7" s="20">
        <v>1557622</v>
      </c>
      <c r="S7" s="21">
        <v>20</v>
      </c>
      <c r="T7" s="22">
        <f t="shared" si="2"/>
        <v>30</v>
      </c>
      <c r="U7" s="21">
        <v>7353274</v>
      </c>
      <c r="V7" s="22">
        <f t="shared" si="3"/>
        <v>1323589.32</v>
      </c>
      <c r="W7" s="22">
        <f t="shared" si="4"/>
        <v>588261.92000000004</v>
      </c>
      <c r="X7" s="22">
        <f t="shared" si="5"/>
        <v>992691.99000000011</v>
      </c>
      <c r="Y7" s="21">
        <v>45000</v>
      </c>
      <c r="Z7" s="21">
        <v>61200</v>
      </c>
      <c r="AA7" s="21">
        <v>121888</v>
      </c>
      <c r="AB7" s="21">
        <v>33168</v>
      </c>
      <c r="AC7" s="21">
        <v>127500</v>
      </c>
      <c r="AD7" s="21">
        <v>163200</v>
      </c>
      <c r="AE7" s="21">
        <v>45000</v>
      </c>
      <c r="AF7" s="21">
        <v>240000</v>
      </c>
      <c r="AG7" s="21">
        <v>36000</v>
      </c>
      <c r="AH7" s="21">
        <v>76500</v>
      </c>
      <c r="AI7" s="21">
        <v>40800</v>
      </c>
      <c r="AJ7" s="21">
        <v>30600</v>
      </c>
      <c r="AK7" s="21">
        <v>51000</v>
      </c>
      <c r="AL7" s="21">
        <v>19838</v>
      </c>
      <c r="AM7" s="22">
        <f t="shared" si="6"/>
        <v>10485905.23</v>
      </c>
      <c r="AN7" s="22">
        <f t="shared" si="7"/>
        <v>863606</v>
      </c>
      <c r="AO7" s="22">
        <f t="shared" si="8"/>
        <v>11349511.23</v>
      </c>
      <c r="AP7" s="21">
        <v>11143183</v>
      </c>
      <c r="AQ7" s="26">
        <f>SUM(AP3:AP14)</f>
        <v>149415292</v>
      </c>
      <c r="AR7" s="26">
        <f>AQ7-SUM(AO3:AO6)</f>
        <v>100151568.405</v>
      </c>
      <c r="AS7" s="27">
        <v>8</v>
      </c>
      <c r="AT7" s="28">
        <f t="shared" si="9"/>
        <v>12518946.050625</v>
      </c>
      <c r="AU7" s="29">
        <f t="shared" si="10"/>
        <v>1169434.8206249997</v>
      </c>
      <c r="AV7" s="26">
        <f t="shared" si="11"/>
        <v>88802057.174999997</v>
      </c>
      <c r="AW7" s="30">
        <f t="shared" si="12"/>
        <v>0.40566955372278762</v>
      </c>
      <c r="AX7" s="31" t="str">
        <f t="shared" si="13"/>
        <v>✓ Within Budget</v>
      </c>
    </row>
    <row r="8" spans="1:50" ht="15.1" customHeight="1" x14ac:dyDescent="0.35">
      <c r="A8" s="32" t="s">
        <v>132</v>
      </c>
      <c r="B8" s="33">
        <v>2022</v>
      </c>
      <c r="C8" s="34">
        <v>51</v>
      </c>
      <c r="D8" s="34">
        <v>0</v>
      </c>
      <c r="E8" s="34">
        <v>1</v>
      </c>
      <c r="F8" s="34">
        <v>1</v>
      </c>
      <c r="G8" s="35">
        <f t="shared" si="0"/>
        <v>50</v>
      </c>
      <c r="H8" s="34">
        <v>1</v>
      </c>
      <c r="I8" s="34">
        <v>103990</v>
      </c>
      <c r="J8" s="34">
        <v>3</v>
      </c>
      <c r="K8" s="34">
        <v>10</v>
      </c>
      <c r="L8" s="34">
        <v>20</v>
      </c>
      <c r="M8" s="34">
        <v>13</v>
      </c>
      <c r="N8" s="34">
        <v>4</v>
      </c>
      <c r="O8" s="36">
        <f t="shared" si="1"/>
        <v>0.23529411764705882</v>
      </c>
      <c r="P8" s="37">
        <v>9.4799999999999995E-2</v>
      </c>
      <c r="Q8" s="38">
        <v>82.75</v>
      </c>
      <c r="R8" s="33">
        <v>1559855</v>
      </c>
      <c r="S8" s="34">
        <v>20</v>
      </c>
      <c r="T8" s="35">
        <f t="shared" si="2"/>
        <v>29</v>
      </c>
      <c r="U8" s="34">
        <v>7207830</v>
      </c>
      <c r="V8" s="35">
        <f t="shared" si="3"/>
        <v>1297409.3999999999</v>
      </c>
      <c r="W8" s="35">
        <f t="shared" si="4"/>
        <v>576626.4</v>
      </c>
      <c r="X8" s="35">
        <f t="shared" si="5"/>
        <v>973057.05</v>
      </c>
      <c r="Y8" s="34">
        <v>50025</v>
      </c>
      <c r="Z8" s="34">
        <v>69000</v>
      </c>
      <c r="AA8" s="34">
        <v>97417</v>
      </c>
      <c r="AB8" s="34">
        <v>4136</v>
      </c>
      <c r="AC8" s="34">
        <v>125000</v>
      </c>
      <c r="AD8" s="34">
        <v>160000</v>
      </c>
      <c r="AE8" s="34">
        <v>0</v>
      </c>
      <c r="AF8" s="34">
        <v>232000</v>
      </c>
      <c r="AG8" s="34">
        <v>34800</v>
      </c>
      <c r="AH8" s="34">
        <v>75000</v>
      </c>
      <c r="AI8" s="34">
        <v>40000</v>
      </c>
      <c r="AJ8" s="34">
        <v>30000</v>
      </c>
      <c r="AK8" s="34">
        <v>57500</v>
      </c>
      <c r="AL8" s="34">
        <v>31768</v>
      </c>
      <c r="AM8" s="35">
        <f t="shared" si="6"/>
        <v>10271364.850000001</v>
      </c>
      <c r="AN8" s="35">
        <f t="shared" si="7"/>
        <v>790204</v>
      </c>
      <c r="AO8" s="35">
        <f t="shared" si="8"/>
        <v>11061568.850000001</v>
      </c>
      <c r="AP8" s="34">
        <v>12835999</v>
      </c>
      <c r="AQ8" s="26">
        <f>SUM(AP3:AP14)</f>
        <v>149415292</v>
      </c>
      <c r="AR8" s="26">
        <f>AQ8-SUM(AO3:AO7)</f>
        <v>88802057.174999997</v>
      </c>
      <c r="AS8" s="39">
        <v>7</v>
      </c>
      <c r="AT8" s="28">
        <f t="shared" si="9"/>
        <v>12686008.167857142</v>
      </c>
      <c r="AU8" s="29">
        <f t="shared" si="10"/>
        <v>1624439.3178571407</v>
      </c>
      <c r="AV8" s="26">
        <f t="shared" si="11"/>
        <v>77740488.324999988</v>
      </c>
      <c r="AW8" s="30">
        <f t="shared" si="12"/>
        <v>0.47970192820022739</v>
      </c>
      <c r="AX8" s="31" t="str">
        <f t="shared" si="13"/>
        <v>✓ Within Budget</v>
      </c>
    </row>
    <row r="9" spans="1:50" ht="15.1" customHeight="1" x14ac:dyDescent="0.35">
      <c r="A9" s="19" t="s">
        <v>133</v>
      </c>
      <c r="B9" s="20">
        <v>2022</v>
      </c>
      <c r="C9" s="21">
        <v>50</v>
      </c>
      <c r="D9" s="21">
        <v>2</v>
      </c>
      <c r="E9" s="21">
        <v>1</v>
      </c>
      <c r="F9" s="21">
        <v>1</v>
      </c>
      <c r="G9" s="22">
        <f t="shared" si="0"/>
        <v>51</v>
      </c>
      <c r="H9" s="21">
        <v>1</v>
      </c>
      <c r="I9" s="21">
        <v>105604</v>
      </c>
      <c r="J9" s="21">
        <v>3</v>
      </c>
      <c r="K9" s="21">
        <v>12</v>
      </c>
      <c r="L9" s="21">
        <v>17</v>
      </c>
      <c r="M9" s="21">
        <v>13</v>
      </c>
      <c r="N9" s="21">
        <v>6</v>
      </c>
      <c r="O9" s="23">
        <f t="shared" si="1"/>
        <v>0.24</v>
      </c>
      <c r="P9" s="24">
        <v>9.8299999999999998E-2</v>
      </c>
      <c r="Q9" s="25">
        <v>82.56</v>
      </c>
      <c r="R9" s="20">
        <v>1584060</v>
      </c>
      <c r="S9" s="21">
        <v>20</v>
      </c>
      <c r="T9" s="22">
        <f t="shared" si="2"/>
        <v>30</v>
      </c>
      <c r="U9" s="40">
        <v>11072909</v>
      </c>
      <c r="V9" s="22">
        <f t="shared" si="3"/>
        <v>1993123.6199999999</v>
      </c>
      <c r="W9" s="22">
        <f t="shared" si="4"/>
        <v>885832.72</v>
      </c>
      <c r="X9" s="22">
        <f t="shared" si="5"/>
        <v>1494842.7150000001</v>
      </c>
      <c r="Y9" s="21">
        <v>51750</v>
      </c>
      <c r="Z9" s="21">
        <v>70380</v>
      </c>
      <c r="AA9" s="40">
        <v>138404</v>
      </c>
      <c r="AB9" s="40">
        <v>102627</v>
      </c>
      <c r="AC9" s="21">
        <v>165750</v>
      </c>
      <c r="AD9" s="21">
        <v>163200</v>
      </c>
      <c r="AE9" s="21">
        <v>90000</v>
      </c>
      <c r="AF9" s="21">
        <v>240000</v>
      </c>
      <c r="AG9" s="21">
        <v>36000</v>
      </c>
      <c r="AH9" s="21">
        <v>76500</v>
      </c>
      <c r="AI9" s="21">
        <v>40800</v>
      </c>
      <c r="AJ9" s="21">
        <v>30600</v>
      </c>
      <c r="AK9" s="40">
        <v>79177</v>
      </c>
      <c r="AL9" s="21">
        <v>32463</v>
      </c>
      <c r="AM9" s="22">
        <f t="shared" si="6"/>
        <v>15707242.055</v>
      </c>
      <c r="AN9" s="22">
        <f t="shared" si="7"/>
        <v>1057117</v>
      </c>
      <c r="AO9" s="22">
        <f t="shared" si="8"/>
        <v>16764359.055</v>
      </c>
      <c r="AP9" s="21">
        <v>13852767</v>
      </c>
      <c r="AQ9" s="26">
        <f>SUM(AP3:AP14)</f>
        <v>149415292</v>
      </c>
      <c r="AR9" s="26">
        <f>AQ9-SUM(AO3:AO8)</f>
        <v>77740488.324999988</v>
      </c>
      <c r="AS9" s="27">
        <v>6</v>
      </c>
      <c r="AT9" s="28">
        <f t="shared" si="9"/>
        <v>12956748.054166665</v>
      </c>
      <c r="AU9" s="29">
        <f t="shared" si="10"/>
        <v>-3807611.0008333344</v>
      </c>
      <c r="AV9" s="26">
        <f t="shared" si="11"/>
        <v>60976129.269999988</v>
      </c>
      <c r="AW9" s="30">
        <f t="shared" si="12"/>
        <v>0.59190168252657849</v>
      </c>
      <c r="AX9" s="31" t="str">
        <f t="shared" si="13"/>
        <v>⚠ Over Budget</v>
      </c>
    </row>
    <row r="10" spans="1:50" ht="15.1" customHeight="1" x14ac:dyDescent="0.35">
      <c r="A10" s="32" t="s">
        <v>134</v>
      </c>
      <c r="B10" s="33">
        <v>2022</v>
      </c>
      <c r="C10" s="34">
        <v>51</v>
      </c>
      <c r="D10" s="34">
        <v>1</v>
      </c>
      <c r="E10" s="34">
        <v>2</v>
      </c>
      <c r="F10" s="34">
        <v>2</v>
      </c>
      <c r="G10" s="35">
        <f t="shared" si="0"/>
        <v>50</v>
      </c>
      <c r="H10" s="34">
        <v>0</v>
      </c>
      <c r="I10" s="34">
        <v>0</v>
      </c>
      <c r="J10" s="34">
        <v>1</v>
      </c>
      <c r="K10" s="34">
        <v>9</v>
      </c>
      <c r="L10" s="34">
        <v>24</v>
      </c>
      <c r="M10" s="34">
        <v>11</v>
      </c>
      <c r="N10" s="34">
        <v>5</v>
      </c>
      <c r="O10" s="36">
        <f t="shared" si="1"/>
        <v>0.47058823529411764</v>
      </c>
      <c r="P10" s="37">
        <v>0.1007</v>
      </c>
      <c r="Q10" s="38">
        <v>82.76</v>
      </c>
      <c r="R10" s="33">
        <v>1603531</v>
      </c>
      <c r="S10" s="34">
        <v>20</v>
      </c>
      <c r="T10" s="35">
        <f t="shared" si="2"/>
        <v>30</v>
      </c>
      <c r="U10" s="34">
        <v>7570003</v>
      </c>
      <c r="V10" s="35">
        <f t="shared" si="3"/>
        <v>1362600.54</v>
      </c>
      <c r="W10" s="35">
        <f t="shared" si="4"/>
        <v>605600.24</v>
      </c>
      <c r="X10" s="35">
        <f t="shared" si="5"/>
        <v>1021950.405</v>
      </c>
      <c r="Y10" s="34">
        <v>50400</v>
      </c>
      <c r="Z10" s="34">
        <v>67200</v>
      </c>
      <c r="AA10" s="34">
        <v>99629</v>
      </c>
      <c r="AB10" s="34">
        <v>28616</v>
      </c>
      <c r="AC10" s="34">
        <v>125000</v>
      </c>
      <c r="AD10" s="34">
        <v>160000</v>
      </c>
      <c r="AE10" s="34">
        <v>45000</v>
      </c>
      <c r="AF10" s="34">
        <v>240000</v>
      </c>
      <c r="AG10" s="34">
        <v>36000</v>
      </c>
      <c r="AH10" s="34">
        <v>75000</v>
      </c>
      <c r="AI10" s="34">
        <v>40000</v>
      </c>
      <c r="AJ10" s="34">
        <v>30000</v>
      </c>
      <c r="AK10" s="34">
        <v>56000</v>
      </c>
      <c r="AL10" s="34">
        <v>28009</v>
      </c>
      <c r="AM10" s="35">
        <f t="shared" si="6"/>
        <v>10777383.184999999</v>
      </c>
      <c r="AN10" s="35">
        <f t="shared" si="7"/>
        <v>863625</v>
      </c>
      <c r="AO10" s="35">
        <f t="shared" si="8"/>
        <v>11641008.184999999</v>
      </c>
      <c r="AP10" s="34">
        <v>13037661</v>
      </c>
      <c r="AQ10" s="26">
        <f>SUM(AP3:AP14)</f>
        <v>149415292</v>
      </c>
      <c r="AR10" s="26">
        <f>AQ10-SUM(AO3:AO9)</f>
        <v>60976129.269999981</v>
      </c>
      <c r="AS10" s="39">
        <v>5</v>
      </c>
      <c r="AT10" s="28">
        <f t="shared" si="9"/>
        <v>12195225.853999997</v>
      </c>
      <c r="AU10" s="29">
        <f t="shared" si="10"/>
        <v>554217.6689999979</v>
      </c>
      <c r="AV10" s="26">
        <f t="shared" si="11"/>
        <v>49335121.084999979</v>
      </c>
      <c r="AW10" s="30">
        <f t="shared" si="12"/>
        <v>0.66981210273309921</v>
      </c>
      <c r="AX10" s="31" t="str">
        <f t="shared" si="13"/>
        <v>✓ Within Budget</v>
      </c>
    </row>
    <row r="11" spans="1:50" ht="15.1" customHeight="1" x14ac:dyDescent="0.35">
      <c r="A11" s="19" t="s">
        <v>135</v>
      </c>
      <c r="B11" s="20">
        <v>2022</v>
      </c>
      <c r="C11" s="21">
        <v>50</v>
      </c>
      <c r="D11" s="21">
        <v>2</v>
      </c>
      <c r="E11" s="21">
        <v>1</v>
      </c>
      <c r="F11" s="21">
        <v>1</v>
      </c>
      <c r="G11" s="22">
        <f t="shared" si="0"/>
        <v>51</v>
      </c>
      <c r="H11" s="21">
        <v>0</v>
      </c>
      <c r="I11" s="21">
        <v>0</v>
      </c>
      <c r="J11" s="21">
        <v>2</v>
      </c>
      <c r="K11" s="21">
        <v>10</v>
      </c>
      <c r="L11" s="21">
        <v>21</v>
      </c>
      <c r="M11" s="21">
        <v>12</v>
      </c>
      <c r="N11" s="21">
        <v>6</v>
      </c>
      <c r="O11" s="23">
        <f t="shared" si="1"/>
        <v>0.24</v>
      </c>
      <c r="P11" s="24">
        <v>0.10290000000000001</v>
      </c>
      <c r="Q11" s="25">
        <v>83.41</v>
      </c>
      <c r="R11" s="20">
        <v>1609007</v>
      </c>
      <c r="S11" s="21">
        <v>20</v>
      </c>
      <c r="T11" s="22">
        <f t="shared" si="2"/>
        <v>31</v>
      </c>
      <c r="U11" s="21">
        <v>7817092</v>
      </c>
      <c r="V11" s="22">
        <f t="shared" si="3"/>
        <v>1407076.56</v>
      </c>
      <c r="W11" s="22">
        <f t="shared" si="4"/>
        <v>625367.36</v>
      </c>
      <c r="X11" s="22">
        <f t="shared" si="5"/>
        <v>1055307.4200000002</v>
      </c>
      <c r="Y11" s="21">
        <v>46500</v>
      </c>
      <c r="Z11" s="21">
        <v>61200</v>
      </c>
      <c r="AA11" s="21">
        <v>125100</v>
      </c>
      <c r="AB11" s="21">
        <v>73849</v>
      </c>
      <c r="AC11" s="21">
        <v>127500</v>
      </c>
      <c r="AD11" s="21">
        <v>163200</v>
      </c>
      <c r="AE11" s="21">
        <v>90000</v>
      </c>
      <c r="AF11" s="21">
        <v>248000</v>
      </c>
      <c r="AG11" s="21">
        <v>37200</v>
      </c>
      <c r="AH11" s="21">
        <v>76500</v>
      </c>
      <c r="AI11" s="21">
        <v>40800</v>
      </c>
      <c r="AJ11" s="21">
        <v>30600</v>
      </c>
      <c r="AK11" s="21">
        <v>51000</v>
      </c>
      <c r="AL11" s="21">
        <v>21366</v>
      </c>
      <c r="AM11" s="22">
        <f t="shared" si="6"/>
        <v>11137643.34</v>
      </c>
      <c r="AN11" s="22">
        <f t="shared" si="7"/>
        <v>960015</v>
      </c>
      <c r="AO11" s="22">
        <f t="shared" si="8"/>
        <v>12097658.34</v>
      </c>
      <c r="AP11" s="21">
        <v>12002612</v>
      </c>
      <c r="AQ11" s="26">
        <f>SUM(AP3:AP14)</f>
        <v>149415292</v>
      </c>
      <c r="AR11" s="26">
        <f>AQ11-SUM(AO3:AO10)</f>
        <v>49335121.084999979</v>
      </c>
      <c r="AS11" s="27">
        <v>4</v>
      </c>
      <c r="AT11" s="28">
        <f t="shared" si="9"/>
        <v>12333780.271249995</v>
      </c>
      <c r="AU11" s="29">
        <f t="shared" si="10"/>
        <v>236121.93124999478</v>
      </c>
      <c r="AV11" s="26">
        <f t="shared" si="11"/>
        <v>37237462.744999975</v>
      </c>
      <c r="AW11" s="30">
        <f t="shared" si="12"/>
        <v>0.7507787707231468</v>
      </c>
      <c r="AX11" s="31" t="str">
        <f t="shared" si="13"/>
        <v>✓ Within Budget</v>
      </c>
    </row>
    <row r="12" spans="1:50" ht="15.1" customHeight="1" x14ac:dyDescent="0.35">
      <c r="A12" s="32" t="s">
        <v>136</v>
      </c>
      <c r="B12" s="33">
        <v>2023</v>
      </c>
      <c r="C12" s="34">
        <v>51</v>
      </c>
      <c r="D12" s="34">
        <v>0</v>
      </c>
      <c r="E12" s="34">
        <v>1</v>
      </c>
      <c r="F12" s="34">
        <v>1</v>
      </c>
      <c r="G12" s="35">
        <f t="shared" si="0"/>
        <v>50</v>
      </c>
      <c r="H12" s="34">
        <v>1</v>
      </c>
      <c r="I12" s="34">
        <v>106730</v>
      </c>
      <c r="J12" s="34">
        <v>3</v>
      </c>
      <c r="K12" s="34">
        <v>11</v>
      </c>
      <c r="L12" s="34">
        <v>20</v>
      </c>
      <c r="M12" s="34">
        <v>11</v>
      </c>
      <c r="N12" s="34">
        <v>5</v>
      </c>
      <c r="O12" s="36">
        <f t="shared" si="1"/>
        <v>0.23529411764705882</v>
      </c>
      <c r="P12" s="37">
        <v>0.1174</v>
      </c>
      <c r="Q12" s="38">
        <v>83.55</v>
      </c>
      <c r="R12" s="33">
        <v>1600946</v>
      </c>
      <c r="S12" s="34">
        <v>20</v>
      </c>
      <c r="T12" s="35">
        <f t="shared" si="2"/>
        <v>29</v>
      </c>
      <c r="U12" s="34">
        <v>7384363</v>
      </c>
      <c r="V12" s="35">
        <f t="shared" si="3"/>
        <v>1329185.3399999999</v>
      </c>
      <c r="W12" s="35">
        <f t="shared" si="4"/>
        <v>590749.04</v>
      </c>
      <c r="X12" s="35">
        <f t="shared" si="5"/>
        <v>996889.00500000012</v>
      </c>
      <c r="Y12" s="34">
        <v>46980</v>
      </c>
      <c r="Z12" s="34">
        <v>64800</v>
      </c>
      <c r="AA12" s="34">
        <v>111237</v>
      </c>
      <c r="AB12" s="34">
        <v>-8442</v>
      </c>
      <c r="AC12" s="34">
        <v>125000</v>
      </c>
      <c r="AD12" s="34">
        <v>160000</v>
      </c>
      <c r="AE12" s="34">
        <v>0</v>
      </c>
      <c r="AF12" s="34">
        <v>232000</v>
      </c>
      <c r="AG12" s="34">
        <v>34800</v>
      </c>
      <c r="AH12" s="34">
        <v>75000</v>
      </c>
      <c r="AI12" s="34">
        <v>40000</v>
      </c>
      <c r="AJ12" s="34">
        <v>30000</v>
      </c>
      <c r="AK12" s="34">
        <v>54000</v>
      </c>
      <c r="AL12" s="34">
        <v>7759</v>
      </c>
      <c r="AM12" s="35">
        <f t="shared" si="6"/>
        <v>10524203.385</v>
      </c>
      <c r="AN12" s="35">
        <f t="shared" si="7"/>
        <v>750117</v>
      </c>
      <c r="AO12" s="35">
        <f t="shared" si="8"/>
        <v>11274320.385</v>
      </c>
      <c r="AP12" s="34">
        <v>12490192</v>
      </c>
      <c r="AQ12" s="26">
        <f>SUM(AP3:AP14)</f>
        <v>149415292</v>
      </c>
      <c r="AR12" s="26">
        <f>AQ12-SUM(AO3:AO11)</f>
        <v>37237462.744999975</v>
      </c>
      <c r="AS12" s="39">
        <v>3</v>
      </c>
      <c r="AT12" s="28">
        <f t="shared" si="9"/>
        <v>12412487.581666658</v>
      </c>
      <c r="AU12" s="29">
        <f t="shared" si="10"/>
        <v>1138167.1966666579</v>
      </c>
      <c r="AV12" s="26">
        <f t="shared" si="11"/>
        <v>25963142.359999977</v>
      </c>
      <c r="AW12" s="30">
        <f t="shared" si="12"/>
        <v>0.82623503918193342</v>
      </c>
      <c r="AX12" s="31" t="str">
        <f t="shared" si="13"/>
        <v>✓ Within Budget</v>
      </c>
    </row>
    <row r="13" spans="1:50" ht="15.1" customHeight="1" x14ac:dyDescent="0.35">
      <c r="A13" s="19" t="s">
        <v>137</v>
      </c>
      <c r="B13" s="20">
        <v>2023</v>
      </c>
      <c r="C13" s="21">
        <v>50</v>
      </c>
      <c r="D13" s="21">
        <v>0</v>
      </c>
      <c r="E13" s="21">
        <v>1</v>
      </c>
      <c r="F13" s="21">
        <v>1</v>
      </c>
      <c r="G13" s="22">
        <f t="shared" si="0"/>
        <v>49</v>
      </c>
      <c r="H13" s="21">
        <v>0</v>
      </c>
      <c r="I13" s="21">
        <v>0</v>
      </c>
      <c r="J13" s="21">
        <v>1</v>
      </c>
      <c r="K13" s="21">
        <v>9</v>
      </c>
      <c r="L13" s="21">
        <v>21</v>
      </c>
      <c r="M13" s="21">
        <v>13</v>
      </c>
      <c r="N13" s="21">
        <v>5</v>
      </c>
      <c r="O13" s="23">
        <f t="shared" si="1"/>
        <v>0.24</v>
      </c>
      <c r="P13" s="24">
        <v>9.8699999999999996E-2</v>
      </c>
      <c r="Q13" s="25">
        <v>83.83</v>
      </c>
      <c r="R13" s="20">
        <v>1636166</v>
      </c>
      <c r="S13" s="21">
        <v>20</v>
      </c>
      <c r="T13" s="22">
        <f t="shared" si="2"/>
        <v>29</v>
      </c>
      <c r="U13" s="21">
        <v>7696798</v>
      </c>
      <c r="V13" s="22">
        <f t="shared" si="3"/>
        <v>1385423.64</v>
      </c>
      <c r="W13" s="22">
        <f t="shared" si="4"/>
        <v>615743.84</v>
      </c>
      <c r="X13" s="22">
        <f t="shared" si="5"/>
        <v>1039067.7300000001</v>
      </c>
      <c r="Y13" s="21">
        <v>46980</v>
      </c>
      <c r="Z13" s="21">
        <v>63504</v>
      </c>
      <c r="AA13" s="21">
        <v>119565</v>
      </c>
      <c r="AB13" s="21">
        <v>-2032</v>
      </c>
      <c r="AC13" s="21">
        <v>122500</v>
      </c>
      <c r="AD13" s="21">
        <v>156800</v>
      </c>
      <c r="AE13" s="21">
        <v>0</v>
      </c>
      <c r="AF13" s="21">
        <v>232000</v>
      </c>
      <c r="AG13" s="21">
        <v>34800</v>
      </c>
      <c r="AH13" s="21">
        <v>73500</v>
      </c>
      <c r="AI13" s="21">
        <v>39200</v>
      </c>
      <c r="AJ13" s="21">
        <v>29400</v>
      </c>
      <c r="AK13" s="21">
        <v>52920</v>
      </c>
      <c r="AL13" s="21">
        <v>32649</v>
      </c>
      <c r="AM13" s="22">
        <f t="shared" si="6"/>
        <v>10967082.210000001</v>
      </c>
      <c r="AN13" s="22">
        <f t="shared" si="7"/>
        <v>771737</v>
      </c>
      <c r="AO13" s="22">
        <f t="shared" si="8"/>
        <v>11738819.210000001</v>
      </c>
      <c r="AP13" s="21">
        <v>13406583</v>
      </c>
      <c r="AQ13" s="26">
        <f>SUM(AP3:AP14)</f>
        <v>149415292</v>
      </c>
      <c r="AR13" s="26">
        <f>AQ13-SUM(AO3:AO12)</f>
        <v>25963142.35999997</v>
      </c>
      <c r="AS13" s="27">
        <v>2</v>
      </c>
      <c r="AT13" s="28">
        <f t="shared" si="9"/>
        <v>12981571.179999985</v>
      </c>
      <c r="AU13" s="29">
        <f t="shared" si="10"/>
        <v>1242751.9699999839</v>
      </c>
      <c r="AV13" s="26">
        <f t="shared" si="11"/>
        <v>14224323.149999969</v>
      </c>
      <c r="AW13" s="30">
        <f t="shared" si="12"/>
        <v>0.90480008465264739</v>
      </c>
      <c r="AX13" s="31" t="str">
        <f t="shared" si="13"/>
        <v>✓ Within Budget</v>
      </c>
    </row>
    <row r="14" spans="1:50" ht="15.1" customHeight="1" x14ac:dyDescent="0.35">
      <c r="A14" s="32" t="s">
        <v>138</v>
      </c>
      <c r="B14" s="33">
        <v>2023</v>
      </c>
      <c r="C14" s="34">
        <v>49</v>
      </c>
      <c r="D14" s="34">
        <v>2</v>
      </c>
      <c r="E14" s="34">
        <v>2</v>
      </c>
      <c r="F14" s="34">
        <v>2</v>
      </c>
      <c r="G14" s="35">
        <f t="shared" si="0"/>
        <v>49</v>
      </c>
      <c r="H14" s="34">
        <v>1</v>
      </c>
      <c r="I14" s="34">
        <v>108723</v>
      </c>
      <c r="J14" s="34">
        <v>3</v>
      </c>
      <c r="K14" s="34">
        <v>9</v>
      </c>
      <c r="L14" s="34">
        <v>22</v>
      </c>
      <c r="M14" s="34">
        <v>12</v>
      </c>
      <c r="N14" s="34">
        <v>3</v>
      </c>
      <c r="O14" s="36">
        <f t="shared" si="1"/>
        <v>0.48979591836734693</v>
      </c>
      <c r="P14" s="37">
        <v>9.7000000000000003E-2</v>
      </c>
      <c r="Q14" s="38">
        <v>83.96</v>
      </c>
      <c r="R14" s="33">
        <v>1630848</v>
      </c>
      <c r="S14" s="34">
        <v>20</v>
      </c>
      <c r="T14" s="35">
        <f t="shared" si="2"/>
        <v>28</v>
      </c>
      <c r="U14" s="41">
        <v>11238240</v>
      </c>
      <c r="V14" s="35">
        <f t="shared" si="3"/>
        <v>2022883.2</v>
      </c>
      <c r="W14" s="35">
        <f t="shared" si="4"/>
        <v>899059.20000000007</v>
      </c>
      <c r="X14" s="35">
        <f t="shared" si="5"/>
        <v>1517162.4000000001</v>
      </c>
      <c r="Y14" s="34">
        <v>44520</v>
      </c>
      <c r="Z14" s="34">
        <v>62328</v>
      </c>
      <c r="AA14" s="41">
        <v>159724</v>
      </c>
      <c r="AB14" s="41">
        <v>82217</v>
      </c>
      <c r="AC14" s="34">
        <v>122500</v>
      </c>
      <c r="AD14" s="34">
        <v>156800</v>
      </c>
      <c r="AE14" s="34">
        <v>90000</v>
      </c>
      <c r="AF14" s="34">
        <v>224000</v>
      </c>
      <c r="AG14" s="34">
        <v>33600</v>
      </c>
      <c r="AH14" s="34">
        <v>73500</v>
      </c>
      <c r="AI14" s="34">
        <v>39200</v>
      </c>
      <c r="AJ14" s="34">
        <v>29400</v>
      </c>
      <c r="AK14" s="41">
        <v>70119</v>
      </c>
      <c r="AL14" s="34">
        <v>20551</v>
      </c>
      <c r="AM14" s="35">
        <f t="shared" si="6"/>
        <v>15943916.799999999</v>
      </c>
      <c r="AN14" s="35">
        <f t="shared" si="7"/>
        <v>941887</v>
      </c>
      <c r="AO14" s="35">
        <f t="shared" si="8"/>
        <v>16885803.799999997</v>
      </c>
      <c r="AP14" s="34">
        <v>12318331</v>
      </c>
      <c r="AQ14" s="26">
        <f>SUM(AP3:AP14)</f>
        <v>149415292</v>
      </c>
      <c r="AR14" s="26">
        <f>AQ14-SUM(AO3:AO13)</f>
        <v>14224323.149999976</v>
      </c>
      <c r="AS14" s="39">
        <v>1</v>
      </c>
      <c r="AT14" s="28">
        <f t="shared" si="9"/>
        <v>14224323.149999976</v>
      </c>
      <c r="AU14" s="29">
        <f t="shared" si="10"/>
        <v>-2661480.6500000209</v>
      </c>
      <c r="AV14" s="26">
        <f t="shared" si="11"/>
        <v>-2661480.6500000209</v>
      </c>
      <c r="AW14" s="30">
        <f t="shared" si="12"/>
        <v>1.017812638949968</v>
      </c>
      <c r="AX14" s="31" t="str">
        <f t="shared" si="13"/>
        <v>⚠ Over Budget</v>
      </c>
    </row>
    <row r="15" spans="1:50" ht="15.1" customHeight="1" x14ac:dyDescent="0.35">
      <c r="A15" s="19" t="s">
        <v>139</v>
      </c>
      <c r="B15" s="20">
        <v>2023</v>
      </c>
      <c r="C15" s="21">
        <v>49</v>
      </c>
      <c r="D15" s="21">
        <v>2</v>
      </c>
      <c r="E15" s="21">
        <v>1</v>
      </c>
      <c r="F15" s="21">
        <v>1</v>
      </c>
      <c r="G15" s="22">
        <f t="shared" si="0"/>
        <v>50</v>
      </c>
      <c r="H15" s="21">
        <v>1</v>
      </c>
      <c r="I15" s="21">
        <v>109247</v>
      </c>
      <c r="J15" s="21">
        <v>4</v>
      </c>
      <c r="K15" s="21">
        <v>9</v>
      </c>
      <c r="L15" s="21">
        <v>20</v>
      </c>
      <c r="M15" s="21">
        <v>12</v>
      </c>
      <c r="N15" s="21">
        <v>5</v>
      </c>
      <c r="O15" s="23">
        <f t="shared" si="1"/>
        <v>0.24489795918367346</v>
      </c>
      <c r="P15" s="24">
        <v>0.1201</v>
      </c>
      <c r="Q15" s="25">
        <v>84.12</v>
      </c>
      <c r="R15" s="20">
        <v>1638707</v>
      </c>
      <c r="S15" s="21">
        <v>20</v>
      </c>
      <c r="T15" s="22">
        <f t="shared" si="2"/>
        <v>29</v>
      </c>
      <c r="U15" s="21">
        <v>7606332</v>
      </c>
      <c r="V15" s="22">
        <f t="shared" si="3"/>
        <v>1369139.76</v>
      </c>
      <c r="W15" s="22">
        <f t="shared" si="4"/>
        <v>608506.56000000006</v>
      </c>
      <c r="X15" s="22">
        <f t="shared" si="5"/>
        <v>1026854.8200000001</v>
      </c>
      <c r="Y15" s="21">
        <v>47850</v>
      </c>
      <c r="Z15" s="21">
        <v>66000</v>
      </c>
      <c r="AA15" s="21">
        <v>118614</v>
      </c>
      <c r="AB15" s="21">
        <v>72620</v>
      </c>
      <c r="AC15" s="21">
        <v>162500</v>
      </c>
      <c r="AD15" s="21">
        <v>160000</v>
      </c>
      <c r="AE15" s="21">
        <v>90000</v>
      </c>
      <c r="AF15" s="21">
        <v>232000</v>
      </c>
      <c r="AG15" s="21">
        <v>34800</v>
      </c>
      <c r="AH15" s="21">
        <v>75000</v>
      </c>
      <c r="AI15" s="21">
        <v>40000</v>
      </c>
      <c r="AJ15" s="21">
        <v>30000</v>
      </c>
      <c r="AK15" s="21">
        <v>55000</v>
      </c>
      <c r="AL15" s="21">
        <v>31492</v>
      </c>
      <c r="AM15" s="22">
        <f t="shared" si="6"/>
        <v>10843297.140000001</v>
      </c>
      <c r="AN15" s="22">
        <f t="shared" si="7"/>
        <v>983412</v>
      </c>
      <c r="AO15" s="22">
        <f t="shared" si="8"/>
        <v>11826709.140000001</v>
      </c>
      <c r="AP15" s="21">
        <v>12993784</v>
      </c>
      <c r="AQ15" s="26">
        <f>SUM(AP15:AP26)</f>
        <v>173302746</v>
      </c>
      <c r="AR15" s="26">
        <f>AQ15</f>
        <v>173302746</v>
      </c>
      <c r="AS15" s="27">
        <v>12</v>
      </c>
      <c r="AT15" s="28">
        <f t="shared" si="9"/>
        <v>14441895.5</v>
      </c>
      <c r="AU15" s="29">
        <f t="shared" si="10"/>
        <v>2615186.3599999994</v>
      </c>
      <c r="AV15" s="26">
        <f t="shared" si="11"/>
        <v>161476036.86000001</v>
      </c>
      <c r="AW15" s="30">
        <f t="shared" si="12"/>
        <v>6.8243056806497379E-2</v>
      </c>
      <c r="AX15" s="31" t="str">
        <f t="shared" si="13"/>
        <v>✓ Within Budget</v>
      </c>
    </row>
    <row r="16" spans="1:50" ht="15.1" customHeight="1" x14ac:dyDescent="0.35">
      <c r="A16" s="32" t="s">
        <v>140</v>
      </c>
      <c r="B16" s="33">
        <v>2023</v>
      </c>
      <c r="C16" s="34">
        <v>50</v>
      </c>
      <c r="D16" s="34">
        <v>3</v>
      </c>
      <c r="E16" s="34">
        <v>1</v>
      </c>
      <c r="F16" s="34">
        <v>1</v>
      </c>
      <c r="G16" s="35">
        <f t="shared" si="0"/>
        <v>52</v>
      </c>
      <c r="H16" s="34">
        <v>1</v>
      </c>
      <c r="I16" s="34">
        <v>109872</v>
      </c>
      <c r="J16" s="34">
        <v>3</v>
      </c>
      <c r="K16" s="34">
        <v>9</v>
      </c>
      <c r="L16" s="34">
        <v>22</v>
      </c>
      <c r="M16" s="34">
        <v>13</v>
      </c>
      <c r="N16" s="34">
        <v>5</v>
      </c>
      <c r="O16" s="36">
        <f t="shared" si="1"/>
        <v>0.24</v>
      </c>
      <c r="P16" s="37">
        <v>9.6299999999999997E-2</v>
      </c>
      <c r="Q16" s="38">
        <v>83.83</v>
      </c>
      <c r="R16" s="33">
        <v>1648078</v>
      </c>
      <c r="S16" s="34">
        <v>21</v>
      </c>
      <c r="T16" s="35">
        <f t="shared" si="2"/>
        <v>30</v>
      </c>
      <c r="U16" s="34">
        <v>8041247</v>
      </c>
      <c r="V16" s="35">
        <f t="shared" si="3"/>
        <v>1447424.46</v>
      </c>
      <c r="W16" s="35">
        <f t="shared" si="4"/>
        <v>643299.76</v>
      </c>
      <c r="X16" s="35">
        <f t="shared" si="5"/>
        <v>1085568.345</v>
      </c>
      <c r="Y16" s="34">
        <v>49500</v>
      </c>
      <c r="Z16" s="34">
        <v>68640</v>
      </c>
      <c r="AA16" s="34">
        <v>137526</v>
      </c>
      <c r="AB16" s="34">
        <v>99359</v>
      </c>
      <c r="AC16" s="34">
        <v>169000</v>
      </c>
      <c r="AD16" s="34">
        <v>166400</v>
      </c>
      <c r="AE16" s="34">
        <v>135000</v>
      </c>
      <c r="AF16" s="34">
        <v>240000</v>
      </c>
      <c r="AG16" s="34">
        <v>36000</v>
      </c>
      <c r="AH16" s="34">
        <v>78000</v>
      </c>
      <c r="AI16" s="34">
        <v>41600</v>
      </c>
      <c r="AJ16" s="34">
        <v>31200</v>
      </c>
      <c r="AK16" s="34">
        <v>57200</v>
      </c>
      <c r="AL16" s="34">
        <v>20710</v>
      </c>
      <c r="AM16" s="35">
        <f t="shared" si="6"/>
        <v>11473205.565000001</v>
      </c>
      <c r="AN16" s="35">
        <f t="shared" si="7"/>
        <v>1074469</v>
      </c>
      <c r="AO16" s="35">
        <f t="shared" si="8"/>
        <v>12547674.565000001</v>
      </c>
      <c r="AP16" s="34">
        <v>14349707</v>
      </c>
      <c r="AQ16" s="26">
        <f>SUM(AP15:AP26)</f>
        <v>173302746</v>
      </c>
      <c r="AR16" s="26">
        <f>AQ16-SUM(AO15:AO15)</f>
        <v>161476036.86000001</v>
      </c>
      <c r="AS16" s="39">
        <v>11</v>
      </c>
      <c r="AT16" s="28">
        <f t="shared" si="9"/>
        <v>14679639.714545457</v>
      </c>
      <c r="AU16" s="29">
        <f t="shared" si="10"/>
        <v>2131965.1495454554</v>
      </c>
      <c r="AV16" s="26">
        <f t="shared" si="11"/>
        <v>148928362.29500002</v>
      </c>
      <c r="AW16" s="30">
        <f t="shared" si="12"/>
        <v>0.14064626364893251</v>
      </c>
      <c r="AX16" s="31" t="str">
        <f t="shared" si="13"/>
        <v>✓ Within Budget</v>
      </c>
    </row>
    <row r="17" spans="1:50" ht="15.1" customHeight="1" x14ac:dyDescent="0.35">
      <c r="A17" s="19" t="s">
        <v>141</v>
      </c>
      <c r="B17" s="20">
        <v>2023</v>
      </c>
      <c r="C17" s="21">
        <v>52</v>
      </c>
      <c r="D17" s="21">
        <v>2</v>
      </c>
      <c r="E17" s="21">
        <v>1</v>
      </c>
      <c r="F17" s="21">
        <v>1</v>
      </c>
      <c r="G17" s="22">
        <f t="shared" si="0"/>
        <v>53</v>
      </c>
      <c r="H17" s="21">
        <v>1</v>
      </c>
      <c r="I17" s="21">
        <v>112051</v>
      </c>
      <c r="J17" s="21">
        <v>2</v>
      </c>
      <c r="K17" s="21">
        <v>10</v>
      </c>
      <c r="L17" s="21">
        <v>22</v>
      </c>
      <c r="M17" s="21">
        <v>14</v>
      </c>
      <c r="N17" s="21">
        <v>5</v>
      </c>
      <c r="O17" s="23">
        <f t="shared" si="1"/>
        <v>0.23076923076923078</v>
      </c>
      <c r="P17" s="24">
        <v>9.3700000000000006E-2</v>
      </c>
      <c r="Q17" s="25">
        <v>84.37</v>
      </c>
      <c r="R17" s="20">
        <v>1680758</v>
      </c>
      <c r="S17" s="21">
        <v>21</v>
      </c>
      <c r="T17" s="22">
        <f t="shared" si="2"/>
        <v>31</v>
      </c>
      <c r="U17" s="40">
        <v>11973160</v>
      </c>
      <c r="V17" s="22">
        <f t="shared" si="3"/>
        <v>2155168.7999999998</v>
      </c>
      <c r="W17" s="22">
        <f t="shared" si="4"/>
        <v>957852.8</v>
      </c>
      <c r="X17" s="22">
        <f t="shared" si="5"/>
        <v>1616376.6</v>
      </c>
      <c r="Y17" s="21">
        <v>48825</v>
      </c>
      <c r="Z17" s="21">
        <v>66780</v>
      </c>
      <c r="AA17" s="40">
        <v>157838</v>
      </c>
      <c r="AB17" s="40">
        <v>96070</v>
      </c>
      <c r="AC17" s="21">
        <v>132500</v>
      </c>
      <c r="AD17" s="21">
        <v>169600</v>
      </c>
      <c r="AE17" s="21">
        <v>90000</v>
      </c>
      <c r="AF17" s="21">
        <v>248000</v>
      </c>
      <c r="AG17" s="21">
        <v>37200</v>
      </c>
      <c r="AH17" s="21">
        <v>79500</v>
      </c>
      <c r="AI17" s="21">
        <v>42400</v>
      </c>
      <c r="AJ17" s="21">
        <v>31800</v>
      </c>
      <c r="AK17" s="40">
        <v>75127</v>
      </c>
      <c r="AL17" s="21">
        <v>14972</v>
      </c>
      <c r="AM17" s="22">
        <f t="shared" si="6"/>
        <v>16976001.200000003</v>
      </c>
      <c r="AN17" s="22">
        <f t="shared" si="7"/>
        <v>1017169</v>
      </c>
      <c r="AO17" s="22">
        <f t="shared" si="8"/>
        <v>17993170.200000003</v>
      </c>
      <c r="AP17" s="21">
        <v>13452322</v>
      </c>
      <c r="AQ17" s="26">
        <f>SUM(AP15:AP26)</f>
        <v>173302746</v>
      </c>
      <c r="AR17" s="26">
        <f>AQ17-SUM(AO15:AO16)</f>
        <v>148928362.29499999</v>
      </c>
      <c r="AS17" s="27">
        <v>10</v>
      </c>
      <c r="AT17" s="28">
        <f t="shared" si="9"/>
        <v>14892836.229499999</v>
      </c>
      <c r="AU17" s="29">
        <f t="shared" si="10"/>
        <v>-3100333.9705000035</v>
      </c>
      <c r="AV17" s="26">
        <f t="shared" si="11"/>
        <v>130935192.09499998</v>
      </c>
      <c r="AW17" s="30">
        <f t="shared" si="12"/>
        <v>0.24447133633416296</v>
      </c>
      <c r="AX17" s="31" t="str">
        <f t="shared" si="13"/>
        <v>⚠ Over Budget</v>
      </c>
    </row>
    <row r="18" spans="1:50" ht="15.1" customHeight="1" x14ac:dyDescent="0.35">
      <c r="A18" s="32" t="s">
        <v>142</v>
      </c>
      <c r="B18" s="33">
        <v>2023</v>
      </c>
      <c r="C18" s="34">
        <v>53</v>
      </c>
      <c r="D18" s="34">
        <v>0</v>
      </c>
      <c r="E18" s="34">
        <v>1</v>
      </c>
      <c r="F18" s="34">
        <v>1</v>
      </c>
      <c r="G18" s="35">
        <f t="shared" si="0"/>
        <v>52</v>
      </c>
      <c r="H18" s="34">
        <v>1</v>
      </c>
      <c r="I18" s="34">
        <v>112859</v>
      </c>
      <c r="J18" s="34">
        <v>2</v>
      </c>
      <c r="K18" s="34">
        <v>11</v>
      </c>
      <c r="L18" s="34">
        <v>19</v>
      </c>
      <c r="M18" s="34">
        <v>14</v>
      </c>
      <c r="N18" s="34">
        <v>6</v>
      </c>
      <c r="O18" s="36">
        <f t="shared" si="1"/>
        <v>0.22641509433962265</v>
      </c>
      <c r="P18" s="37">
        <v>9.8100000000000007E-2</v>
      </c>
      <c r="Q18" s="38">
        <v>84.12</v>
      </c>
      <c r="R18" s="33">
        <v>1692882</v>
      </c>
      <c r="S18" s="34">
        <v>21</v>
      </c>
      <c r="T18" s="35">
        <f t="shared" si="2"/>
        <v>30</v>
      </c>
      <c r="U18" s="34">
        <v>8450303</v>
      </c>
      <c r="V18" s="35">
        <f t="shared" si="3"/>
        <v>1521054.54</v>
      </c>
      <c r="W18" s="35">
        <f t="shared" si="4"/>
        <v>676024.24</v>
      </c>
      <c r="X18" s="35">
        <f t="shared" si="5"/>
        <v>1140790.905</v>
      </c>
      <c r="Y18" s="34">
        <v>45000</v>
      </c>
      <c r="Z18" s="34">
        <v>62400</v>
      </c>
      <c r="AA18" s="34">
        <v>143822</v>
      </c>
      <c r="AB18" s="34">
        <v>4495</v>
      </c>
      <c r="AC18" s="34">
        <v>130000</v>
      </c>
      <c r="AD18" s="34">
        <v>166400</v>
      </c>
      <c r="AE18" s="34">
        <v>0</v>
      </c>
      <c r="AF18" s="34">
        <v>240000</v>
      </c>
      <c r="AG18" s="34">
        <v>36000</v>
      </c>
      <c r="AH18" s="34">
        <v>78000</v>
      </c>
      <c r="AI18" s="34">
        <v>41600</v>
      </c>
      <c r="AJ18" s="34">
        <v>31200</v>
      </c>
      <c r="AK18" s="34">
        <v>52000</v>
      </c>
      <c r="AL18" s="34">
        <v>37052</v>
      </c>
      <c r="AM18" s="35">
        <f t="shared" si="6"/>
        <v>12039394.684999999</v>
      </c>
      <c r="AN18" s="35">
        <f t="shared" si="7"/>
        <v>816747</v>
      </c>
      <c r="AO18" s="35">
        <f t="shared" si="8"/>
        <v>12856141.684999999</v>
      </c>
      <c r="AP18" s="34">
        <v>13249141</v>
      </c>
      <c r="AQ18" s="26">
        <f>SUM(AP15:AP26)</f>
        <v>173302746</v>
      </c>
      <c r="AR18" s="26">
        <f>AQ18-SUM(AO15:AO17)</f>
        <v>130935192.095</v>
      </c>
      <c r="AS18" s="39">
        <v>9</v>
      </c>
      <c r="AT18" s="28">
        <f t="shared" si="9"/>
        <v>14548354.677222222</v>
      </c>
      <c r="AU18" s="29">
        <f t="shared" si="10"/>
        <v>1692212.9922222234</v>
      </c>
      <c r="AV18" s="26">
        <f t="shared" si="11"/>
        <v>118079050.41</v>
      </c>
      <c r="AW18" s="30">
        <f t="shared" si="12"/>
        <v>0.318654475273</v>
      </c>
      <c r="AX18" s="31" t="str">
        <f t="shared" si="13"/>
        <v>✓ Within Budget</v>
      </c>
    </row>
    <row r="19" spans="1:50" ht="15.1" customHeight="1" x14ac:dyDescent="0.35">
      <c r="A19" s="19" t="s">
        <v>143</v>
      </c>
      <c r="B19" s="20">
        <v>2023</v>
      </c>
      <c r="C19" s="21">
        <v>52</v>
      </c>
      <c r="D19" s="21">
        <v>2</v>
      </c>
      <c r="E19" s="21">
        <v>0</v>
      </c>
      <c r="F19" s="21">
        <v>0</v>
      </c>
      <c r="G19" s="22">
        <f t="shared" si="0"/>
        <v>54</v>
      </c>
      <c r="H19" s="21">
        <v>1</v>
      </c>
      <c r="I19" s="21">
        <v>113479</v>
      </c>
      <c r="J19" s="21">
        <v>3</v>
      </c>
      <c r="K19" s="21">
        <v>11</v>
      </c>
      <c r="L19" s="21">
        <v>21</v>
      </c>
      <c r="M19" s="21">
        <v>13</v>
      </c>
      <c r="N19" s="21">
        <v>6</v>
      </c>
      <c r="O19" s="23">
        <f t="shared" si="1"/>
        <v>0</v>
      </c>
      <c r="P19" s="24">
        <v>0.1042</v>
      </c>
      <c r="Q19" s="25">
        <v>83.75</v>
      </c>
      <c r="R19" s="20">
        <v>1702181</v>
      </c>
      <c r="S19" s="21">
        <v>22</v>
      </c>
      <c r="T19" s="22">
        <f t="shared" si="2"/>
        <v>31</v>
      </c>
      <c r="U19" s="21">
        <v>8659846</v>
      </c>
      <c r="V19" s="22">
        <f t="shared" si="3"/>
        <v>1558772.28</v>
      </c>
      <c r="W19" s="22">
        <f t="shared" si="4"/>
        <v>692787.68</v>
      </c>
      <c r="X19" s="22">
        <f t="shared" si="5"/>
        <v>1169079.21</v>
      </c>
      <c r="Y19" s="21">
        <v>46500</v>
      </c>
      <c r="Z19" s="21">
        <v>64800</v>
      </c>
      <c r="AA19" s="21">
        <v>124291</v>
      </c>
      <c r="AB19" s="21">
        <v>65246</v>
      </c>
      <c r="AC19" s="21">
        <v>135000</v>
      </c>
      <c r="AD19" s="21">
        <v>172800</v>
      </c>
      <c r="AE19" s="21">
        <v>90000</v>
      </c>
      <c r="AF19" s="21">
        <v>248000</v>
      </c>
      <c r="AG19" s="21">
        <v>37200</v>
      </c>
      <c r="AH19" s="21">
        <v>81000</v>
      </c>
      <c r="AI19" s="21">
        <v>43200</v>
      </c>
      <c r="AJ19" s="21">
        <v>32400</v>
      </c>
      <c r="AK19" s="21">
        <v>54000</v>
      </c>
      <c r="AL19" s="21">
        <v>30141</v>
      </c>
      <c r="AM19" s="22">
        <f t="shared" si="6"/>
        <v>12316076.169999998</v>
      </c>
      <c r="AN19" s="22">
        <f t="shared" si="7"/>
        <v>988987</v>
      </c>
      <c r="AO19" s="22">
        <f t="shared" si="8"/>
        <v>13305063.169999998</v>
      </c>
      <c r="AP19" s="21">
        <v>13173855</v>
      </c>
      <c r="AQ19" s="26">
        <f>SUM(AP15:AP26)</f>
        <v>173302746</v>
      </c>
      <c r="AR19" s="26">
        <f>AQ19-SUM(AO15:AO18)</f>
        <v>118079050.41</v>
      </c>
      <c r="AS19" s="27">
        <v>8</v>
      </c>
      <c r="AT19" s="28">
        <f t="shared" si="9"/>
        <v>14759881.30125</v>
      </c>
      <c r="AU19" s="29">
        <f t="shared" si="10"/>
        <v>1454818.1312500015</v>
      </c>
      <c r="AV19" s="26">
        <f t="shared" si="11"/>
        <v>104773987.23999999</v>
      </c>
      <c r="AW19" s="30">
        <f t="shared" si="12"/>
        <v>0.39542800297001646</v>
      </c>
      <c r="AX19" s="31" t="str">
        <f t="shared" si="13"/>
        <v>✓ Within Budget</v>
      </c>
    </row>
    <row r="20" spans="1:50" ht="15.1" customHeight="1" x14ac:dyDescent="0.35">
      <c r="A20" s="32" t="s">
        <v>144</v>
      </c>
      <c r="B20" s="33">
        <v>2023</v>
      </c>
      <c r="C20" s="34">
        <v>54</v>
      </c>
      <c r="D20" s="34">
        <v>1</v>
      </c>
      <c r="E20" s="34">
        <v>1</v>
      </c>
      <c r="F20" s="34">
        <v>1</v>
      </c>
      <c r="G20" s="35">
        <f t="shared" si="0"/>
        <v>54</v>
      </c>
      <c r="H20" s="34">
        <v>1</v>
      </c>
      <c r="I20" s="34">
        <v>113617</v>
      </c>
      <c r="J20" s="34">
        <v>3</v>
      </c>
      <c r="K20" s="34">
        <v>10</v>
      </c>
      <c r="L20" s="34">
        <v>22</v>
      </c>
      <c r="M20" s="34">
        <v>13</v>
      </c>
      <c r="N20" s="34">
        <v>6</v>
      </c>
      <c r="O20" s="36">
        <f t="shared" si="1"/>
        <v>0.22222222222222221</v>
      </c>
      <c r="P20" s="37">
        <v>9.4799999999999995E-2</v>
      </c>
      <c r="Q20" s="38">
        <v>84.45</v>
      </c>
      <c r="R20" s="33">
        <v>1704260</v>
      </c>
      <c r="S20" s="34">
        <v>22</v>
      </c>
      <c r="T20" s="35">
        <f t="shared" si="2"/>
        <v>31</v>
      </c>
      <c r="U20" s="34">
        <v>8698827</v>
      </c>
      <c r="V20" s="35">
        <f t="shared" si="3"/>
        <v>1565788.8599999999</v>
      </c>
      <c r="W20" s="35">
        <f t="shared" si="4"/>
        <v>695906.16</v>
      </c>
      <c r="X20" s="35">
        <f t="shared" si="5"/>
        <v>1174341.645</v>
      </c>
      <c r="Y20" s="34">
        <v>53475</v>
      </c>
      <c r="Z20" s="34">
        <v>74520</v>
      </c>
      <c r="AA20" s="34">
        <v>157760</v>
      </c>
      <c r="AB20" s="34">
        <v>30295</v>
      </c>
      <c r="AC20" s="34">
        <v>135000</v>
      </c>
      <c r="AD20" s="34">
        <v>172800</v>
      </c>
      <c r="AE20" s="34">
        <v>45000</v>
      </c>
      <c r="AF20" s="34">
        <v>248000</v>
      </c>
      <c r="AG20" s="34">
        <v>37200</v>
      </c>
      <c r="AH20" s="34">
        <v>81000</v>
      </c>
      <c r="AI20" s="34">
        <v>43200</v>
      </c>
      <c r="AJ20" s="34">
        <v>32400</v>
      </c>
      <c r="AK20" s="34">
        <v>62100</v>
      </c>
      <c r="AL20" s="34">
        <v>20679</v>
      </c>
      <c r="AM20" s="35">
        <f t="shared" si="6"/>
        <v>12420618.664999999</v>
      </c>
      <c r="AN20" s="35">
        <f t="shared" si="7"/>
        <v>907674</v>
      </c>
      <c r="AO20" s="35">
        <f t="shared" si="8"/>
        <v>13328292.664999999</v>
      </c>
      <c r="AP20" s="34">
        <v>15537487</v>
      </c>
      <c r="AQ20" s="26">
        <f>SUM(AP15:AP26)</f>
        <v>173302746</v>
      </c>
      <c r="AR20" s="26">
        <f>AQ20-SUM(AO15:AO19)</f>
        <v>104773987.23999999</v>
      </c>
      <c r="AS20" s="39">
        <v>7</v>
      </c>
      <c r="AT20" s="28">
        <f t="shared" si="9"/>
        <v>14967712.462857142</v>
      </c>
      <c r="AU20" s="29">
        <f t="shared" si="10"/>
        <v>1639419.797857143</v>
      </c>
      <c r="AV20" s="26">
        <f t="shared" si="11"/>
        <v>91445694.574999988</v>
      </c>
      <c r="AW20" s="30">
        <f t="shared" si="12"/>
        <v>0.47233557063775555</v>
      </c>
      <c r="AX20" s="31" t="str">
        <f t="shared" si="13"/>
        <v>✓ Within Budget</v>
      </c>
    </row>
    <row r="21" spans="1:50" ht="15.1" customHeight="1" x14ac:dyDescent="0.35">
      <c r="A21" s="19" t="s">
        <v>145</v>
      </c>
      <c r="B21" s="20">
        <v>2023</v>
      </c>
      <c r="C21" s="21">
        <v>54</v>
      </c>
      <c r="D21" s="21">
        <v>1</v>
      </c>
      <c r="E21" s="21">
        <v>1</v>
      </c>
      <c r="F21" s="21">
        <v>1</v>
      </c>
      <c r="G21" s="22">
        <f t="shared" si="0"/>
        <v>54</v>
      </c>
      <c r="H21" s="21">
        <v>1</v>
      </c>
      <c r="I21" s="21">
        <v>116031</v>
      </c>
      <c r="J21" s="21">
        <v>2</v>
      </c>
      <c r="K21" s="21">
        <v>11</v>
      </c>
      <c r="L21" s="21">
        <v>21</v>
      </c>
      <c r="M21" s="21">
        <v>13</v>
      </c>
      <c r="N21" s="21">
        <v>7</v>
      </c>
      <c r="O21" s="23">
        <f t="shared" si="1"/>
        <v>0.22222222222222221</v>
      </c>
      <c r="P21" s="24">
        <v>0.1045</v>
      </c>
      <c r="Q21" s="25">
        <v>84.13</v>
      </c>
      <c r="R21" s="20">
        <v>1740459</v>
      </c>
      <c r="S21" s="21">
        <v>22</v>
      </c>
      <c r="T21" s="22">
        <f t="shared" si="2"/>
        <v>31</v>
      </c>
      <c r="U21" s="21">
        <v>9050387</v>
      </c>
      <c r="V21" s="22">
        <f t="shared" si="3"/>
        <v>1629069.66</v>
      </c>
      <c r="W21" s="22">
        <f t="shared" si="4"/>
        <v>724030.96</v>
      </c>
      <c r="X21" s="22">
        <f t="shared" si="5"/>
        <v>1221802.2450000001</v>
      </c>
      <c r="Y21" s="21">
        <v>53475</v>
      </c>
      <c r="Z21" s="21">
        <v>74520</v>
      </c>
      <c r="AA21" s="21">
        <v>147376</v>
      </c>
      <c r="AB21" s="21">
        <v>37432</v>
      </c>
      <c r="AC21" s="21">
        <v>175500</v>
      </c>
      <c r="AD21" s="21">
        <v>172800</v>
      </c>
      <c r="AE21" s="21">
        <v>45000</v>
      </c>
      <c r="AF21" s="21">
        <v>248000</v>
      </c>
      <c r="AG21" s="21">
        <v>37200</v>
      </c>
      <c r="AH21" s="21">
        <v>81000</v>
      </c>
      <c r="AI21" s="21">
        <v>43200</v>
      </c>
      <c r="AJ21" s="21">
        <v>32400</v>
      </c>
      <c r="AK21" s="21">
        <v>62100</v>
      </c>
      <c r="AL21" s="21">
        <v>21726</v>
      </c>
      <c r="AM21" s="22">
        <f t="shared" si="6"/>
        <v>12900660.865000002</v>
      </c>
      <c r="AN21" s="22">
        <f t="shared" si="7"/>
        <v>956358</v>
      </c>
      <c r="AO21" s="22">
        <f t="shared" si="8"/>
        <v>13857018.865000002</v>
      </c>
      <c r="AP21" s="21">
        <v>16092126</v>
      </c>
      <c r="AQ21" s="26">
        <f>SUM(AP15:AP26)</f>
        <v>173302746</v>
      </c>
      <c r="AR21" s="26">
        <f>AQ21-SUM(AO15:AO20)</f>
        <v>91445694.574999988</v>
      </c>
      <c r="AS21" s="27">
        <v>6</v>
      </c>
      <c r="AT21" s="28">
        <f t="shared" si="9"/>
        <v>15240949.095833331</v>
      </c>
      <c r="AU21" s="29">
        <f t="shared" si="10"/>
        <v>1383930.2308333293</v>
      </c>
      <c r="AV21" s="26">
        <f t="shared" si="11"/>
        <v>77588675.709999979</v>
      </c>
      <c r="AW21" s="30">
        <f t="shared" si="12"/>
        <v>0.55229402014206985</v>
      </c>
      <c r="AX21" s="31" t="str">
        <f t="shared" si="13"/>
        <v>✓ Within Budget</v>
      </c>
    </row>
    <row r="22" spans="1:50" ht="15.1" customHeight="1" x14ac:dyDescent="0.35">
      <c r="A22" s="32" t="s">
        <v>146</v>
      </c>
      <c r="B22" s="33">
        <v>2023</v>
      </c>
      <c r="C22" s="34">
        <v>54</v>
      </c>
      <c r="D22" s="34">
        <v>1</v>
      </c>
      <c r="E22" s="34">
        <v>1</v>
      </c>
      <c r="F22" s="34">
        <v>1</v>
      </c>
      <c r="G22" s="35">
        <f t="shared" si="0"/>
        <v>54</v>
      </c>
      <c r="H22" s="34">
        <v>1</v>
      </c>
      <c r="I22" s="34">
        <v>116092</v>
      </c>
      <c r="J22" s="34">
        <v>0</v>
      </c>
      <c r="K22" s="34">
        <v>12</v>
      </c>
      <c r="L22" s="34">
        <v>22</v>
      </c>
      <c r="M22" s="34">
        <v>15</v>
      </c>
      <c r="N22" s="34">
        <v>5</v>
      </c>
      <c r="O22" s="36">
        <f t="shared" si="1"/>
        <v>0.22222222222222221</v>
      </c>
      <c r="P22" s="37">
        <v>0.1009</v>
      </c>
      <c r="Q22" s="38">
        <v>84.83</v>
      </c>
      <c r="R22" s="33">
        <v>1741378</v>
      </c>
      <c r="S22" s="34">
        <v>22</v>
      </c>
      <c r="T22" s="35">
        <f t="shared" si="2"/>
        <v>31</v>
      </c>
      <c r="U22" s="34">
        <v>9011631</v>
      </c>
      <c r="V22" s="35">
        <f t="shared" si="3"/>
        <v>1622093.5799999998</v>
      </c>
      <c r="W22" s="35">
        <f t="shared" si="4"/>
        <v>720930.48</v>
      </c>
      <c r="X22" s="35">
        <f t="shared" si="5"/>
        <v>1216570.1850000001</v>
      </c>
      <c r="Y22" s="34">
        <v>52080</v>
      </c>
      <c r="Z22" s="34">
        <v>72576</v>
      </c>
      <c r="AA22" s="34">
        <v>138054</v>
      </c>
      <c r="AB22" s="34">
        <v>51072</v>
      </c>
      <c r="AC22" s="34">
        <v>135000</v>
      </c>
      <c r="AD22" s="34">
        <v>172800</v>
      </c>
      <c r="AE22" s="34">
        <v>45000</v>
      </c>
      <c r="AF22" s="34">
        <v>248000</v>
      </c>
      <c r="AG22" s="34">
        <v>37200</v>
      </c>
      <c r="AH22" s="34">
        <v>81000</v>
      </c>
      <c r="AI22" s="34">
        <v>43200</v>
      </c>
      <c r="AJ22" s="34">
        <v>32400</v>
      </c>
      <c r="AK22" s="34">
        <v>60480</v>
      </c>
      <c r="AL22" s="34">
        <v>25648</v>
      </c>
      <c r="AM22" s="35">
        <f t="shared" si="6"/>
        <v>12833935.245000001</v>
      </c>
      <c r="AN22" s="35">
        <f t="shared" si="7"/>
        <v>931800</v>
      </c>
      <c r="AO22" s="35">
        <f t="shared" si="8"/>
        <v>13765735.245000001</v>
      </c>
      <c r="AP22" s="34">
        <v>15593262</v>
      </c>
      <c r="AQ22" s="26">
        <f>SUM(AP15:AP26)</f>
        <v>173302746</v>
      </c>
      <c r="AR22" s="26">
        <f>AQ22-SUM(AO15:AO21)</f>
        <v>77588675.709999979</v>
      </c>
      <c r="AS22" s="39">
        <v>5</v>
      </c>
      <c r="AT22" s="28">
        <f t="shared" si="9"/>
        <v>15517735.141999995</v>
      </c>
      <c r="AU22" s="29">
        <f t="shared" si="10"/>
        <v>1751999.8969999943</v>
      </c>
      <c r="AV22" s="26">
        <f t="shared" si="11"/>
        <v>63822940.464999974</v>
      </c>
      <c r="AW22" s="30">
        <f t="shared" si="12"/>
        <v>0.63172574042767926</v>
      </c>
      <c r="AX22" s="31" t="str">
        <f t="shared" si="13"/>
        <v>✓ Within Budget</v>
      </c>
    </row>
    <row r="23" spans="1:50" ht="15.1" customHeight="1" x14ac:dyDescent="0.35">
      <c r="A23" s="19" t="s">
        <v>147</v>
      </c>
      <c r="B23" s="20">
        <v>2023</v>
      </c>
      <c r="C23" s="21">
        <v>54</v>
      </c>
      <c r="D23" s="21">
        <v>3</v>
      </c>
      <c r="E23" s="21">
        <v>1</v>
      </c>
      <c r="F23" s="21">
        <v>1</v>
      </c>
      <c r="G23" s="22">
        <f t="shared" si="0"/>
        <v>56</v>
      </c>
      <c r="H23" s="21">
        <v>1</v>
      </c>
      <c r="I23" s="21">
        <v>116602</v>
      </c>
      <c r="J23" s="21">
        <v>1</v>
      </c>
      <c r="K23" s="21">
        <v>12</v>
      </c>
      <c r="L23" s="21">
        <v>24</v>
      </c>
      <c r="M23" s="21">
        <v>15</v>
      </c>
      <c r="N23" s="21">
        <v>4</v>
      </c>
      <c r="O23" s="23">
        <f t="shared" si="1"/>
        <v>0.22222222222222221</v>
      </c>
      <c r="P23" s="24">
        <v>0.105</v>
      </c>
      <c r="Q23" s="25">
        <v>84.96</v>
      </c>
      <c r="R23" s="20">
        <v>1749027</v>
      </c>
      <c r="S23" s="21">
        <v>22</v>
      </c>
      <c r="T23" s="22">
        <f t="shared" si="2"/>
        <v>33</v>
      </c>
      <c r="U23" s="21">
        <v>9145954</v>
      </c>
      <c r="V23" s="22">
        <f t="shared" si="3"/>
        <v>1646271.72</v>
      </c>
      <c r="W23" s="22">
        <f t="shared" si="4"/>
        <v>731676.32000000007</v>
      </c>
      <c r="X23" s="22">
        <f t="shared" si="5"/>
        <v>1234703.79</v>
      </c>
      <c r="Y23" s="21">
        <v>49500</v>
      </c>
      <c r="Z23" s="21">
        <v>67200</v>
      </c>
      <c r="AA23" s="21">
        <v>137515</v>
      </c>
      <c r="AB23" s="21">
        <v>108378</v>
      </c>
      <c r="AC23" s="21">
        <v>140000</v>
      </c>
      <c r="AD23" s="21">
        <v>179200</v>
      </c>
      <c r="AE23" s="21">
        <v>135000</v>
      </c>
      <c r="AF23" s="21">
        <v>264000</v>
      </c>
      <c r="AG23" s="21">
        <v>39600</v>
      </c>
      <c r="AH23" s="21">
        <v>84000</v>
      </c>
      <c r="AI23" s="21">
        <v>44800</v>
      </c>
      <c r="AJ23" s="21">
        <v>33600</v>
      </c>
      <c r="AK23" s="21">
        <v>56000</v>
      </c>
      <c r="AL23" s="21">
        <v>30937</v>
      </c>
      <c r="AM23" s="22">
        <f t="shared" si="6"/>
        <v>13012820.830000002</v>
      </c>
      <c r="AN23" s="22">
        <f t="shared" si="7"/>
        <v>1115515</v>
      </c>
      <c r="AO23" s="22">
        <f t="shared" si="8"/>
        <v>14128335.830000002</v>
      </c>
      <c r="AP23" s="21">
        <v>14400435</v>
      </c>
      <c r="AQ23" s="26">
        <f>SUM(AP15:AP26)</f>
        <v>173302746</v>
      </c>
      <c r="AR23" s="26">
        <f>AQ23-SUM(AO15:AO22)</f>
        <v>63822940.464999974</v>
      </c>
      <c r="AS23" s="27">
        <v>4</v>
      </c>
      <c r="AT23" s="28">
        <f t="shared" si="9"/>
        <v>15955735.116249993</v>
      </c>
      <c r="AU23" s="29">
        <f t="shared" si="10"/>
        <v>1827399.2862499915</v>
      </c>
      <c r="AV23" s="26">
        <f t="shared" si="11"/>
        <v>49694604.634999976</v>
      </c>
      <c r="AW23" s="30">
        <f t="shared" si="12"/>
        <v>0.71324975638297172</v>
      </c>
      <c r="AX23" s="31" t="str">
        <f t="shared" si="13"/>
        <v>✓ Within Budget</v>
      </c>
    </row>
    <row r="24" spans="1:50" ht="15.1" customHeight="1" x14ac:dyDescent="0.35">
      <c r="A24" s="32" t="s">
        <v>148</v>
      </c>
      <c r="B24" s="33">
        <v>2024</v>
      </c>
      <c r="C24" s="34">
        <v>56</v>
      </c>
      <c r="D24" s="34">
        <v>0</v>
      </c>
      <c r="E24" s="34">
        <v>1</v>
      </c>
      <c r="F24" s="34">
        <v>1</v>
      </c>
      <c r="G24" s="35">
        <f t="shared" si="0"/>
        <v>55</v>
      </c>
      <c r="H24" s="34">
        <v>0</v>
      </c>
      <c r="I24" s="34">
        <v>0</v>
      </c>
      <c r="J24" s="34">
        <v>3</v>
      </c>
      <c r="K24" s="34">
        <v>12</v>
      </c>
      <c r="L24" s="34">
        <v>22</v>
      </c>
      <c r="M24" s="34">
        <v>14</v>
      </c>
      <c r="N24" s="34">
        <v>4</v>
      </c>
      <c r="O24" s="36">
        <f t="shared" si="1"/>
        <v>0.21428571428571427</v>
      </c>
      <c r="P24" s="37">
        <v>0.12429999999999999</v>
      </c>
      <c r="Q24" s="38">
        <v>84.86</v>
      </c>
      <c r="R24" s="33">
        <v>1763791</v>
      </c>
      <c r="S24" s="34">
        <v>22</v>
      </c>
      <c r="T24" s="35">
        <f t="shared" si="2"/>
        <v>33</v>
      </c>
      <c r="U24" s="34">
        <v>8885097</v>
      </c>
      <c r="V24" s="35">
        <f t="shared" si="3"/>
        <v>1599317.46</v>
      </c>
      <c r="W24" s="35">
        <f t="shared" si="4"/>
        <v>710807.76</v>
      </c>
      <c r="X24" s="35">
        <f t="shared" si="5"/>
        <v>1199488.095</v>
      </c>
      <c r="Y24" s="34">
        <v>53460</v>
      </c>
      <c r="Z24" s="34">
        <v>71280</v>
      </c>
      <c r="AA24" s="34">
        <v>144430</v>
      </c>
      <c r="AB24" s="34">
        <v>-3783</v>
      </c>
      <c r="AC24" s="34">
        <v>137500</v>
      </c>
      <c r="AD24" s="34">
        <v>176000</v>
      </c>
      <c r="AE24" s="34">
        <v>0</v>
      </c>
      <c r="AF24" s="34">
        <v>264000</v>
      </c>
      <c r="AG24" s="34">
        <v>39600</v>
      </c>
      <c r="AH24" s="34">
        <v>82500</v>
      </c>
      <c r="AI24" s="34">
        <v>44000</v>
      </c>
      <c r="AJ24" s="34">
        <v>33000</v>
      </c>
      <c r="AK24" s="34">
        <v>59400</v>
      </c>
      <c r="AL24" s="34">
        <v>37078</v>
      </c>
      <c r="AM24" s="35">
        <f t="shared" si="6"/>
        <v>12663880.315000001</v>
      </c>
      <c r="AN24" s="35">
        <f t="shared" si="7"/>
        <v>869295</v>
      </c>
      <c r="AO24" s="35">
        <f t="shared" si="8"/>
        <v>13533175.315000001</v>
      </c>
      <c r="AP24" s="34">
        <v>14731875</v>
      </c>
      <c r="AQ24" s="26">
        <f>SUM(AP15:AP26)</f>
        <v>173302746</v>
      </c>
      <c r="AR24" s="26">
        <f>AQ24-SUM(AO15:AO23)</f>
        <v>49694604.634999976</v>
      </c>
      <c r="AS24" s="39">
        <v>3</v>
      </c>
      <c r="AT24" s="28">
        <f t="shared" si="9"/>
        <v>16564868.211666659</v>
      </c>
      <c r="AU24" s="29">
        <f t="shared" si="10"/>
        <v>3031692.8966666572</v>
      </c>
      <c r="AV24" s="26">
        <f t="shared" si="11"/>
        <v>36161429.319999978</v>
      </c>
      <c r="AW24" s="30">
        <f t="shared" si="12"/>
        <v>0.79133954796076922</v>
      </c>
      <c r="AX24" s="31" t="str">
        <f t="shared" si="13"/>
        <v>✓ Within Budget</v>
      </c>
    </row>
    <row r="25" spans="1:50" ht="15.1" customHeight="1" x14ac:dyDescent="0.35">
      <c r="A25" s="19" t="s">
        <v>149</v>
      </c>
      <c r="B25" s="20">
        <v>2024</v>
      </c>
      <c r="C25" s="21">
        <v>55</v>
      </c>
      <c r="D25" s="21">
        <v>1</v>
      </c>
      <c r="E25" s="21">
        <v>1</v>
      </c>
      <c r="F25" s="21">
        <v>1</v>
      </c>
      <c r="G25" s="22">
        <f t="shared" si="0"/>
        <v>55</v>
      </c>
      <c r="H25" s="21">
        <v>0</v>
      </c>
      <c r="I25" s="21">
        <v>0</v>
      </c>
      <c r="J25" s="21">
        <v>3</v>
      </c>
      <c r="K25" s="21">
        <v>11</v>
      </c>
      <c r="L25" s="21">
        <v>22</v>
      </c>
      <c r="M25" s="21">
        <v>14</v>
      </c>
      <c r="N25" s="21">
        <v>5</v>
      </c>
      <c r="O25" s="23">
        <f t="shared" si="1"/>
        <v>0.21818181818181817</v>
      </c>
      <c r="P25" s="24">
        <v>0.1018</v>
      </c>
      <c r="Q25" s="25">
        <v>85.08</v>
      </c>
      <c r="R25" s="20">
        <v>1763260</v>
      </c>
      <c r="S25" s="21">
        <v>22</v>
      </c>
      <c r="T25" s="22">
        <f t="shared" si="2"/>
        <v>33</v>
      </c>
      <c r="U25" s="21">
        <v>9044054</v>
      </c>
      <c r="V25" s="22">
        <f t="shared" si="3"/>
        <v>1627929.72</v>
      </c>
      <c r="W25" s="22">
        <f t="shared" si="4"/>
        <v>723524.32000000007</v>
      </c>
      <c r="X25" s="22">
        <f t="shared" si="5"/>
        <v>1220947.29</v>
      </c>
      <c r="Y25" s="21">
        <v>53460</v>
      </c>
      <c r="Z25" s="21">
        <v>71280</v>
      </c>
      <c r="AA25" s="21">
        <v>133721</v>
      </c>
      <c r="AB25" s="21">
        <v>41338</v>
      </c>
      <c r="AC25" s="21">
        <v>137500</v>
      </c>
      <c r="AD25" s="21">
        <v>176000</v>
      </c>
      <c r="AE25" s="21">
        <v>45000</v>
      </c>
      <c r="AF25" s="21">
        <v>264000</v>
      </c>
      <c r="AG25" s="21">
        <v>39600</v>
      </c>
      <c r="AH25" s="21">
        <v>82500</v>
      </c>
      <c r="AI25" s="21">
        <v>44000</v>
      </c>
      <c r="AJ25" s="21">
        <v>33000</v>
      </c>
      <c r="AK25" s="21">
        <v>59400</v>
      </c>
      <c r="AL25" s="21">
        <v>26755</v>
      </c>
      <c r="AM25" s="22">
        <f t="shared" si="6"/>
        <v>12874916.330000002</v>
      </c>
      <c r="AN25" s="22">
        <f t="shared" si="7"/>
        <v>949093</v>
      </c>
      <c r="AO25" s="22">
        <f t="shared" si="8"/>
        <v>13824009.330000002</v>
      </c>
      <c r="AP25" s="21">
        <v>14600933</v>
      </c>
      <c r="AQ25" s="26">
        <f>SUM(AP15:AP26)</f>
        <v>173302746</v>
      </c>
      <c r="AR25" s="26">
        <f>AQ25-SUM(AO15:AO24)</f>
        <v>36161429.319999963</v>
      </c>
      <c r="AS25" s="27">
        <v>2</v>
      </c>
      <c r="AT25" s="28">
        <f t="shared" si="9"/>
        <v>18080714.659999982</v>
      </c>
      <c r="AU25" s="29">
        <f t="shared" si="10"/>
        <v>4256705.3299999796</v>
      </c>
      <c r="AV25" s="26">
        <f t="shared" si="11"/>
        <v>22337419.989999961</v>
      </c>
      <c r="AW25" s="30">
        <f t="shared" si="12"/>
        <v>0.87110752422815074</v>
      </c>
      <c r="AX25" s="31" t="str">
        <f t="shared" si="13"/>
        <v>✓ Within Budget</v>
      </c>
    </row>
    <row r="26" spans="1:50" ht="15.1" customHeight="1" x14ac:dyDescent="0.35">
      <c r="A26" s="32" t="s">
        <v>150</v>
      </c>
      <c r="B26" s="33">
        <v>2024</v>
      </c>
      <c r="C26" s="34">
        <v>55</v>
      </c>
      <c r="D26" s="34">
        <v>2</v>
      </c>
      <c r="E26" s="34">
        <v>0</v>
      </c>
      <c r="F26" s="34">
        <v>0</v>
      </c>
      <c r="G26" s="35">
        <f t="shared" si="0"/>
        <v>57</v>
      </c>
      <c r="H26" s="34">
        <v>0</v>
      </c>
      <c r="I26" s="34">
        <v>0</v>
      </c>
      <c r="J26" s="34">
        <v>3</v>
      </c>
      <c r="K26" s="34">
        <v>12</v>
      </c>
      <c r="L26" s="34">
        <v>23</v>
      </c>
      <c r="M26" s="34">
        <v>13</v>
      </c>
      <c r="N26" s="34">
        <v>6</v>
      </c>
      <c r="O26" s="36">
        <f t="shared" si="1"/>
        <v>0</v>
      </c>
      <c r="P26" s="37">
        <v>9.2999999999999999E-2</v>
      </c>
      <c r="Q26" s="38">
        <v>85.27</v>
      </c>
      <c r="R26" s="33">
        <v>1771347</v>
      </c>
      <c r="S26" s="34">
        <v>23</v>
      </c>
      <c r="T26" s="35">
        <f t="shared" si="2"/>
        <v>34</v>
      </c>
      <c r="U26" s="41">
        <v>15080067</v>
      </c>
      <c r="V26" s="35">
        <f t="shared" si="3"/>
        <v>2714412.06</v>
      </c>
      <c r="W26" s="35">
        <f t="shared" si="4"/>
        <v>1206405.3600000001</v>
      </c>
      <c r="X26" s="35">
        <f t="shared" si="5"/>
        <v>2035809.0450000002</v>
      </c>
      <c r="Y26" s="34">
        <v>54060</v>
      </c>
      <c r="Z26" s="34">
        <v>72504</v>
      </c>
      <c r="AA26" s="41">
        <v>195836</v>
      </c>
      <c r="AB26" s="41">
        <v>92700</v>
      </c>
      <c r="AC26" s="34">
        <v>142500</v>
      </c>
      <c r="AD26" s="34">
        <v>182400</v>
      </c>
      <c r="AE26" s="34">
        <v>90000</v>
      </c>
      <c r="AF26" s="34">
        <v>272000</v>
      </c>
      <c r="AG26" s="34">
        <v>40800</v>
      </c>
      <c r="AH26" s="34">
        <v>85500</v>
      </c>
      <c r="AI26" s="34">
        <v>45600</v>
      </c>
      <c r="AJ26" s="34">
        <v>34200</v>
      </c>
      <c r="AK26" s="41">
        <v>81567</v>
      </c>
      <c r="AL26" s="34">
        <v>14447</v>
      </c>
      <c r="AM26" s="35">
        <f t="shared" si="6"/>
        <v>21359093.465</v>
      </c>
      <c r="AN26" s="35">
        <f t="shared" si="7"/>
        <v>1081714</v>
      </c>
      <c r="AO26" s="35">
        <f t="shared" si="8"/>
        <v>22440807.465</v>
      </c>
      <c r="AP26" s="34">
        <v>15127819</v>
      </c>
      <c r="AQ26" s="26">
        <f>SUM(AP15:AP26)</f>
        <v>173302746</v>
      </c>
      <c r="AR26" s="26">
        <f>AQ26-SUM(AO15:AO25)</f>
        <v>22337419.98999995</v>
      </c>
      <c r="AS26" s="39">
        <v>1</v>
      </c>
      <c r="AT26" s="28">
        <f t="shared" si="9"/>
        <v>22337419.98999995</v>
      </c>
      <c r="AU26" s="29">
        <f t="shared" si="10"/>
        <v>-103387.47500004992</v>
      </c>
      <c r="AV26" s="26">
        <f t="shared" si="11"/>
        <v>-103387.47500004992</v>
      </c>
      <c r="AW26" s="30">
        <f t="shared" si="12"/>
        <v>1.0005965714761385</v>
      </c>
      <c r="AX26" s="31" t="str">
        <f t="shared" si="13"/>
        <v>⚠ Over Budget</v>
      </c>
    </row>
    <row r="27" spans="1:50" ht="15.1" customHeight="1" x14ac:dyDescent="0.35">
      <c r="A27" s="19" t="s">
        <v>151</v>
      </c>
      <c r="B27" s="20">
        <v>2024</v>
      </c>
      <c r="C27" s="21">
        <v>57</v>
      </c>
      <c r="D27" s="21">
        <v>3</v>
      </c>
      <c r="E27" s="21">
        <v>2</v>
      </c>
      <c r="F27" s="21">
        <v>2</v>
      </c>
      <c r="G27" s="22">
        <f t="shared" si="0"/>
        <v>58</v>
      </c>
      <c r="H27" s="21">
        <v>0</v>
      </c>
      <c r="I27" s="21">
        <v>0</v>
      </c>
      <c r="J27" s="21">
        <v>3</v>
      </c>
      <c r="K27" s="21">
        <v>10</v>
      </c>
      <c r="L27" s="21">
        <v>23</v>
      </c>
      <c r="M27" s="21">
        <v>16</v>
      </c>
      <c r="N27" s="21">
        <v>6</v>
      </c>
      <c r="O27" s="23">
        <f t="shared" si="1"/>
        <v>0.42105263157894735</v>
      </c>
      <c r="P27" s="24">
        <v>0.11600000000000001</v>
      </c>
      <c r="Q27" s="25">
        <v>85.37</v>
      </c>
      <c r="R27" s="20">
        <v>1806419</v>
      </c>
      <c r="S27" s="21">
        <v>23</v>
      </c>
      <c r="T27" s="22">
        <f t="shared" si="2"/>
        <v>35</v>
      </c>
      <c r="U27" s="21">
        <v>10003045</v>
      </c>
      <c r="V27" s="22">
        <f t="shared" si="3"/>
        <v>1800548.0999999999</v>
      </c>
      <c r="W27" s="22">
        <f t="shared" si="4"/>
        <v>800243.6</v>
      </c>
      <c r="X27" s="22">
        <f t="shared" si="5"/>
        <v>1350411.0750000002</v>
      </c>
      <c r="Y27" s="21">
        <v>57750</v>
      </c>
      <c r="Z27" s="21">
        <v>76560</v>
      </c>
      <c r="AA27" s="21">
        <v>151859</v>
      </c>
      <c r="AB27" s="21">
        <v>116236</v>
      </c>
      <c r="AC27" s="21">
        <v>188500</v>
      </c>
      <c r="AD27" s="21">
        <v>185600</v>
      </c>
      <c r="AE27" s="21">
        <v>135000</v>
      </c>
      <c r="AF27" s="21">
        <v>280000</v>
      </c>
      <c r="AG27" s="21">
        <v>42000</v>
      </c>
      <c r="AH27" s="21">
        <v>87000</v>
      </c>
      <c r="AI27" s="21">
        <v>46400</v>
      </c>
      <c r="AJ27" s="21">
        <v>34800</v>
      </c>
      <c r="AK27" s="21">
        <v>63800</v>
      </c>
      <c r="AL27" s="21">
        <v>33846</v>
      </c>
      <c r="AM27" s="22">
        <f t="shared" si="6"/>
        <v>14240416.774999999</v>
      </c>
      <c r="AN27" s="22">
        <f t="shared" si="7"/>
        <v>1213182</v>
      </c>
      <c r="AO27" s="22">
        <f t="shared" si="8"/>
        <v>15453598.774999999</v>
      </c>
      <c r="AP27" s="21">
        <v>15552754</v>
      </c>
      <c r="AQ27" s="26">
        <f>SUM(AP27:AP38)</f>
        <v>224648510</v>
      </c>
      <c r="AR27" s="26">
        <f>AQ27</f>
        <v>224648510</v>
      </c>
      <c r="AS27" s="27">
        <v>12</v>
      </c>
      <c r="AT27" s="28">
        <f t="shared" si="9"/>
        <v>18720709.166666668</v>
      </c>
      <c r="AU27" s="29">
        <f t="shared" si="10"/>
        <v>3267110.3916666694</v>
      </c>
      <c r="AV27" s="26">
        <f t="shared" si="11"/>
        <v>209194911.22499999</v>
      </c>
      <c r="AW27" s="30">
        <f t="shared" si="12"/>
        <v>6.8790123624679303E-2</v>
      </c>
      <c r="AX27" s="31" t="str">
        <f t="shared" si="13"/>
        <v>✓ Within Budget</v>
      </c>
    </row>
    <row r="28" spans="1:50" ht="15.1" customHeight="1" x14ac:dyDescent="0.35">
      <c r="A28" s="32" t="s">
        <v>152</v>
      </c>
      <c r="B28" s="33">
        <v>2024</v>
      </c>
      <c r="C28" s="34">
        <v>58</v>
      </c>
      <c r="D28" s="34">
        <v>2</v>
      </c>
      <c r="E28" s="34">
        <v>1</v>
      </c>
      <c r="F28" s="34">
        <v>1</v>
      </c>
      <c r="G28" s="35">
        <f t="shared" si="0"/>
        <v>59</v>
      </c>
      <c r="H28" s="34">
        <v>1</v>
      </c>
      <c r="I28" s="34">
        <v>121283</v>
      </c>
      <c r="J28" s="34">
        <v>3</v>
      </c>
      <c r="K28" s="34">
        <v>11</v>
      </c>
      <c r="L28" s="34">
        <v>23</v>
      </c>
      <c r="M28" s="34">
        <v>16</v>
      </c>
      <c r="N28" s="34">
        <v>6</v>
      </c>
      <c r="O28" s="36">
        <f t="shared" si="1"/>
        <v>0.20689655172413793</v>
      </c>
      <c r="P28" s="37">
        <v>9.6600000000000005E-2</v>
      </c>
      <c r="Q28" s="38">
        <v>85.6</v>
      </c>
      <c r="R28" s="33">
        <v>1819252</v>
      </c>
      <c r="S28" s="34">
        <v>24</v>
      </c>
      <c r="T28" s="35">
        <f t="shared" si="2"/>
        <v>34</v>
      </c>
      <c r="U28" s="34">
        <v>10195391</v>
      </c>
      <c r="V28" s="35">
        <f t="shared" si="3"/>
        <v>1835170.38</v>
      </c>
      <c r="W28" s="35">
        <f t="shared" si="4"/>
        <v>815631.28</v>
      </c>
      <c r="X28" s="35">
        <f t="shared" si="5"/>
        <v>1376377.7850000001</v>
      </c>
      <c r="Y28" s="34">
        <v>56100</v>
      </c>
      <c r="Z28" s="34">
        <v>77880</v>
      </c>
      <c r="AA28" s="34">
        <v>165604</v>
      </c>
      <c r="AB28" s="34">
        <v>64723</v>
      </c>
      <c r="AC28" s="34">
        <v>191750</v>
      </c>
      <c r="AD28" s="34">
        <v>188800</v>
      </c>
      <c r="AE28" s="34">
        <v>90000</v>
      </c>
      <c r="AF28" s="34">
        <v>272000</v>
      </c>
      <c r="AG28" s="34">
        <v>40800</v>
      </c>
      <c r="AH28" s="34">
        <v>88500</v>
      </c>
      <c r="AI28" s="34">
        <v>47200</v>
      </c>
      <c r="AJ28" s="34">
        <v>35400</v>
      </c>
      <c r="AK28" s="34">
        <v>64900</v>
      </c>
      <c r="AL28" s="34">
        <v>35739</v>
      </c>
      <c r="AM28" s="35">
        <f t="shared" si="6"/>
        <v>14522154.444999998</v>
      </c>
      <c r="AN28" s="35">
        <f t="shared" si="7"/>
        <v>1119812</v>
      </c>
      <c r="AO28" s="35">
        <f t="shared" si="8"/>
        <v>15641966.444999998</v>
      </c>
      <c r="AP28" s="34">
        <v>16980515</v>
      </c>
      <c r="AQ28" s="26">
        <f>SUM(AP27:AP38)</f>
        <v>224648510</v>
      </c>
      <c r="AR28" s="26">
        <f>AQ28-SUM(AO27:AO27)</f>
        <v>209194911.22499999</v>
      </c>
      <c r="AS28" s="39">
        <v>11</v>
      </c>
      <c r="AT28" s="28">
        <f t="shared" si="9"/>
        <v>19017719.202272728</v>
      </c>
      <c r="AU28" s="29">
        <f t="shared" si="10"/>
        <v>3375752.7572727297</v>
      </c>
      <c r="AV28" s="26">
        <f t="shared" si="11"/>
        <v>193552944.78</v>
      </c>
      <c r="AW28" s="30">
        <f t="shared" si="12"/>
        <v>0.1384187467791351</v>
      </c>
      <c r="AX28" s="31" t="str">
        <f t="shared" si="13"/>
        <v>✓ Within Budget</v>
      </c>
    </row>
    <row r="29" spans="1:50" ht="15.1" customHeight="1" x14ac:dyDescent="0.35">
      <c r="A29" s="19" t="s">
        <v>153</v>
      </c>
      <c r="B29" s="20">
        <v>2024</v>
      </c>
      <c r="C29" s="21">
        <v>59</v>
      </c>
      <c r="D29" s="21">
        <v>3</v>
      </c>
      <c r="E29" s="21">
        <v>1</v>
      </c>
      <c r="F29" s="21">
        <v>1</v>
      </c>
      <c r="G29" s="22">
        <f t="shared" si="0"/>
        <v>61</v>
      </c>
      <c r="H29" s="21">
        <v>0</v>
      </c>
      <c r="I29" s="21">
        <v>0</v>
      </c>
      <c r="J29" s="21">
        <v>3</v>
      </c>
      <c r="K29" s="21">
        <v>10</v>
      </c>
      <c r="L29" s="21">
        <v>27</v>
      </c>
      <c r="M29" s="21">
        <v>15</v>
      </c>
      <c r="N29" s="21">
        <v>6</v>
      </c>
      <c r="O29" s="23">
        <f t="shared" si="1"/>
        <v>0.20338983050847459</v>
      </c>
      <c r="P29" s="24">
        <v>9.2600000000000002E-2</v>
      </c>
      <c r="Q29" s="25">
        <v>85.17</v>
      </c>
      <c r="R29" s="20">
        <v>1816554</v>
      </c>
      <c r="S29" s="21">
        <v>24</v>
      </c>
      <c r="T29" s="22">
        <f t="shared" si="2"/>
        <v>37</v>
      </c>
      <c r="U29" s="40">
        <v>14111217</v>
      </c>
      <c r="V29" s="22">
        <f t="shared" si="3"/>
        <v>2540019.06</v>
      </c>
      <c r="W29" s="22">
        <f t="shared" si="4"/>
        <v>1128897.3600000001</v>
      </c>
      <c r="X29" s="22">
        <f t="shared" si="5"/>
        <v>1905014.2950000002</v>
      </c>
      <c r="Y29" s="21">
        <v>58275</v>
      </c>
      <c r="Z29" s="21">
        <v>76860</v>
      </c>
      <c r="AA29" s="40">
        <v>216034</v>
      </c>
      <c r="AB29" s="40">
        <v>144874</v>
      </c>
      <c r="AC29" s="21">
        <v>152500</v>
      </c>
      <c r="AD29" s="21">
        <v>195200</v>
      </c>
      <c r="AE29" s="21">
        <v>135000</v>
      </c>
      <c r="AF29" s="21">
        <v>296000</v>
      </c>
      <c r="AG29" s="21">
        <v>44400</v>
      </c>
      <c r="AH29" s="21">
        <v>91500</v>
      </c>
      <c r="AI29" s="21">
        <v>48800</v>
      </c>
      <c r="AJ29" s="21">
        <v>36600</v>
      </c>
      <c r="AK29" s="40">
        <v>86467</v>
      </c>
      <c r="AL29" s="21">
        <v>36173</v>
      </c>
      <c r="AM29" s="22">
        <f t="shared" si="6"/>
        <v>20036316.715000004</v>
      </c>
      <c r="AN29" s="22">
        <f t="shared" si="7"/>
        <v>1267514</v>
      </c>
      <c r="AO29" s="22">
        <f t="shared" si="8"/>
        <v>21303830.715000004</v>
      </c>
      <c r="AP29" s="21">
        <v>16690900</v>
      </c>
      <c r="AQ29" s="26">
        <f>SUM(AP27:AP38)</f>
        <v>224648510</v>
      </c>
      <c r="AR29" s="26">
        <f>AQ29-SUM(AO27:AO28)</f>
        <v>193552944.78</v>
      </c>
      <c r="AS29" s="27">
        <v>10</v>
      </c>
      <c r="AT29" s="28">
        <f t="shared" si="9"/>
        <v>19355294.478</v>
      </c>
      <c r="AU29" s="29">
        <f t="shared" si="10"/>
        <v>-1948536.2370000035</v>
      </c>
      <c r="AV29" s="26">
        <f t="shared" si="11"/>
        <v>172249114.065</v>
      </c>
      <c r="AW29" s="30">
        <f t="shared" si="12"/>
        <v>0.23325058303302346</v>
      </c>
      <c r="AX29" s="31" t="str">
        <f t="shared" si="13"/>
        <v>⚠ Over Budget</v>
      </c>
    </row>
    <row r="30" spans="1:50" ht="15.1" customHeight="1" x14ac:dyDescent="0.35">
      <c r="A30" s="32" t="s">
        <v>154</v>
      </c>
      <c r="B30" s="33">
        <v>2024</v>
      </c>
      <c r="C30" s="34">
        <v>61</v>
      </c>
      <c r="D30" s="34">
        <v>3</v>
      </c>
      <c r="E30" s="34">
        <v>0</v>
      </c>
      <c r="F30" s="34">
        <v>0</v>
      </c>
      <c r="G30" s="35">
        <f t="shared" si="0"/>
        <v>64</v>
      </c>
      <c r="H30" s="34">
        <v>1</v>
      </c>
      <c r="I30" s="34">
        <v>122297</v>
      </c>
      <c r="J30" s="34">
        <v>3</v>
      </c>
      <c r="K30" s="34">
        <v>13</v>
      </c>
      <c r="L30" s="34">
        <v>26</v>
      </c>
      <c r="M30" s="34">
        <v>15</v>
      </c>
      <c r="N30" s="34">
        <v>7</v>
      </c>
      <c r="O30" s="36">
        <f t="shared" si="1"/>
        <v>0</v>
      </c>
      <c r="P30" s="37">
        <v>0.1</v>
      </c>
      <c r="Q30" s="38">
        <v>86.32</v>
      </c>
      <c r="R30" s="33">
        <v>1834457</v>
      </c>
      <c r="S30" s="34">
        <v>26</v>
      </c>
      <c r="T30" s="35">
        <f t="shared" si="2"/>
        <v>37</v>
      </c>
      <c r="U30" s="34">
        <v>11060247</v>
      </c>
      <c r="V30" s="35">
        <f t="shared" si="3"/>
        <v>1990844.46</v>
      </c>
      <c r="W30" s="35">
        <f t="shared" si="4"/>
        <v>884819.76</v>
      </c>
      <c r="X30" s="35">
        <f t="shared" si="5"/>
        <v>1493133.3450000002</v>
      </c>
      <c r="Y30" s="34">
        <v>55500</v>
      </c>
      <c r="Z30" s="34">
        <v>76800</v>
      </c>
      <c r="AA30" s="34">
        <v>178595</v>
      </c>
      <c r="AB30" s="34">
        <v>108235</v>
      </c>
      <c r="AC30" s="34">
        <v>160000</v>
      </c>
      <c r="AD30" s="34">
        <v>204800</v>
      </c>
      <c r="AE30" s="34">
        <v>135000</v>
      </c>
      <c r="AF30" s="34">
        <v>296000</v>
      </c>
      <c r="AG30" s="34">
        <v>44400</v>
      </c>
      <c r="AH30" s="34">
        <v>96000</v>
      </c>
      <c r="AI30" s="34">
        <v>51200</v>
      </c>
      <c r="AJ30" s="34">
        <v>38400</v>
      </c>
      <c r="AK30" s="34">
        <v>64000</v>
      </c>
      <c r="AL30" s="34">
        <v>22607</v>
      </c>
      <c r="AM30" s="35">
        <f t="shared" si="6"/>
        <v>15739939.565000001</v>
      </c>
      <c r="AN30" s="35">
        <f t="shared" si="7"/>
        <v>1220642</v>
      </c>
      <c r="AO30" s="35">
        <f t="shared" si="8"/>
        <v>16960581.565000001</v>
      </c>
      <c r="AP30" s="34">
        <v>17652889</v>
      </c>
      <c r="AQ30" s="26">
        <f>SUM(AP27:AP38)</f>
        <v>224648510</v>
      </c>
      <c r="AR30" s="26">
        <f>AQ30-SUM(AO27:AO29)</f>
        <v>172249114.065</v>
      </c>
      <c r="AS30" s="39">
        <v>9</v>
      </c>
      <c r="AT30" s="28">
        <f t="shared" si="9"/>
        <v>19138790.451666668</v>
      </c>
      <c r="AU30" s="29">
        <f t="shared" si="10"/>
        <v>2178208.8866666667</v>
      </c>
      <c r="AV30" s="26">
        <f t="shared" si="11"/>
        <v>155288532.5</v>
      </c>
      <c r="AW30" s="30">
        <f t="shared" si="12"/>
        <v>0.30874888731734745</v>
      </c>
      <c r="AX30" s="31" t="str">
        <f t="shared" si="13"/>
        <v>✓ Within Budget</v>
      </c>
    </row>
    <row r="31" spans="1:50" ht="15.1" customHeight="1" x14ac:dyDescent="0.35">
      <c r="A31" s="19" t="s">
        <v>155</v>
      </c>
      <c r="B31" s="20">
        <v>2024</v>
      </c>
      <c r="C31" s="21">
        <v>64</v>
      </c>
      <c r="D31" s="21">
        <v>1</v>
      </c>
      <c r="E31" s="21">
        <v>0</v>
      </c>
      <c r="F31" s="21">
        <v>0</v>
      </c>
      <c r="G31" s="22">
        <f t="shared" si="0"/>
        <v>65</v>
      </c>
      <c r="H31" s="21">
        <v>1</v>
      </c>
      <c r="I31" s="21">
        <v>122504</v>
      </c>
      <c r="J31" s="21">
        <v>4</v>
      </c>
      <c r="K31" s="21">
        <v>13</v>
      </c>
      <c r="L31" s="21">
        <v>23</v>
      </c>
      <c r="M31" s="21">
        <v>18</v>
      </c>
      <c r="N31" s="21">
        <v>7</v>
      </c>
      <c r="O31" s="23">
        <f t="shared" si="1"/>
        <v>0</v>
      </c>
      <c r="P31" s="24">
        <v>9.6699999999999994E-2</v>
      </c>
      <c r="Q31" s="25">
        <v>85.92</v>
      </c>
      <c r="R31" s="20">
        <v>1837567</v>
      </c>
      <c r="S31" s="21">
        <v>26</v>
      </c>
      <c r="T31" s="22">
        <f t="shared" si="2"/>
        <v>38</v>
      </c>
      <c r="U31" s="21">
        <v>11346976</v>
      </c>
      <c r="V31" s="22">
        <f t="shared" si="3"/>
        <v>2042455.68</v>
      </c>
      <c r="W31" s="22">
        <f t="shared" si="4"/>
        <v>907758.08000000007</v>
      </c>
      <c r="X31" s="22">
        <f t="shared" si="5"/>
        <v>1531841.76</v>
      </c>
      <c r="Y31" s="21">
        <v>57000</v>
      </c>
      <c r="Z31" s="21">
        <v>78000</v>
      </c>
      <c r="AA31" s="21">
        <v>164615</v>
      </c>
      <c r="AB31" s="21">
        <v>29744</v>
      </c>
      <c r="AC31" s="21">
        <v>162500</v>
      </c>
      <c r="AD31" s="21">
        <v>208000</v>
      </c>
      <c r="AE31" s="21">
        <v>45000</v>
      </c>
      <c r="AF31" s="21">
        <v>304000</v>
      </c>
      <c r="AG31" s="21">
        <v>45600</v>
      </c>
      <c r="AH31" s="21">
        <v>97500</v>
      </c>
      <c r="AI31" s="21">
        <v>52000</v>
      </c>
      <c r="AJ31" s="21">
        <v>39000</v>
      </c>
      <c r="AK31" s="21">
        <v>65000</v>
      </c>
      <c r="AL31" s="21">
        <v>14900</v>
      </c>
      <c r="AM31" s="22">
        <f t="shared" si="6"/>
        <v>16128646.52</v>
      </c>
      <c r="AN31" s="22">
        <f t="shared" si="7"/>
        <v>1063244</v>
      </c>
      <c r="AO31" s="22">
        <f t="shared" si="8"/>
        <v>17191890.52</v>
      </c>
      <c r="AP31" s="21">
        <v>16584694</v>
      </c>
      <c r="AQ31" s="26">
        <f>SUM(AP27:AP38)</f>
        <v>224648510</v>
      </c>
      <c r="AR31" s="26">
        <f>AQ31-SUM(AO27:AO30)</f>
        <v>155288532.5</v>
      </c>
      <c r="AS31" s="27">
        <v>8</v>
      </c>
      <c r="AT31" s="28">
        <f t="shared" si="9"/>
        <v>19411066.5625</v>
      </c>
      <c r="AU31" s="29">
        <f t="shared" si="10"/>
        <v>2219176.0425000004</v>
      </c>
      <c r="AV31" s="26">
        <f t="shared" si="11"/>
        <v>138096641.97999999</v>
      </c>
      <c r="AW31" s="30">
        <f t="shared" si="12"/>
        <v>0.38527683989535477</v>
      </c>
      <c r="AX31" s="31" t="str">
        <f t="shared" si="13"/>
        <v>✓ Within Budget</v>
      </c>
    </row>
    <row r="32" spans="1:50" ht="15.1" customHeight="1" x14ac:dyDescent="0.35">
      <c r="A32" s="32" t="s">
        <v>156</v>
      </c>
      <c r="B32" s="33">
        <v>2024</v>
      </c>
      <c r="C32" s="34">
        <v>65</v>
      </c>
      <c r="D32" s="34">
        <v>3</v>
      </c>
      <c r="E32" s="34">
        <v>1</v>
      </c>
      <c r="F32" s="34">
        <v>1</v>
      </c>
      <c r="G32" s="35">
        <f t="shared" si="0"/>
        <v>67</v>
      </c>
      <c r="H32" s="34">
        <v>1</v>
      </c>
      <c r="I32" s="34">
        <v>124725</v>
      </c>
      <c r="J32" s="34">
        <v>2</v>
      </c>
      <c r="K32" s="34">
        <v>14</v>
      </c>
      <c r="L32" s="34">
        <v>27</v>
      </c>
      <c r="M32" s="34">
        <v>17</v>
      </c>
      <c r="N32" s="34">
        <v>7</v>
      </c>
      <c r="O32" s="36">
        <f t="shared" si="1"/>
        <v>0.18461538461538463</v>
      </c>
      <c r="P32" s="37">
        <v>9.4100000000000003E-2</v>
      </c>
      <c r="Q32" s="38">
        <v>85.51</v>
      </c>
      <c r="R32" s="33">
        <v>1870873</v>
      </c>
      <c r="S32" s="34">
        <v>27</v>
      </c>
      <c r="T32" s="35">
        <f t="shared" si="2"/>
        <v>39</v>
      </c>
      <c r="U32" s="34">
        <v>11911225</v>
      </c>
      <c r="V32" s="35">
        <f t="shared" si="3"/>
        <v>2144020.5</v>
      </c>
      <c r="W32" s="35">
        <f t="shared" si="4"/>
        <v>952898</v>
      </c>
      <c r="X32" s="35">
        <f t="shared" si="5"/>
        <v>1608015.375</v>
      </c>
      <c r="Y32" s="34">
        <v>67275</v>
      </c>
      <c r="Z32" s="34">
        <v>92460</v>
      </c>
      <c r="AA32" s="34">
        <v>178094</v>
      </c>
      <c r="AB32" s="34">
        <v>108872</v>
      </c>
      <c r="AC32" s="34">
        <v>167500</v>
      </c>
      <c r="AD32" s="34">
        <v>214400</v>
      </c>
      <c r="AE32" s="34">
        <v>135000</v>
      </c>
      <c r="AF32" s="34">
        <v>312000</v>
      </c>
      <c r="AG32" s="34">
        <v>46800</v>
      </c>
      <c r="AH32" s="34">
        <v>100500</v>
      </c>
      <c r="AI32" s="34">
        <v>53600</v>
      </c>
      <c r="AJ32" s="34">
        <v>40200</v>
      </c>
      <c r="AK32" s="34">
        <v>77050</v>
      </c>
      <c r="AL32" s="34">
        <v>8199</v>
      </c>
      <c r="AM32" s="35">
        <f t="shared" si="6"/>
        <v>16953987.875</v>
      </c>
      <c r="AN32" s="35">
        <f t="shared" si="7"/>
        <v>1264121</v>
      </c>
      <c r="AO32" s="35">
        <f t="shared" si="8"/>
        <v>18218108.875</v>
      </c>
      <c r="AP32" s="34">
        <v>21818404</v>
      </c>
      <c r="AQ32" s="26">
        <f>SUM(AP27:AP38)</f>
        <v>224648510</v>
      </c>
      <c r="AR32" s="26">
        <f>AQ32-SUM(AO27:AO31)</f>
        <v>138096641.98000002</v>
      </c>
      <c r="AS32" s="39">
        <v>7</v>
      </c>
      <c r="AT32" s="28">
        <f t="shared" si="9"/>
        <v>19728091.711428575</v>
      </c>
      <c r="AU32" s="29">
        <f t="shared" si="10"/>
        <v>1509982.8364285752</v>
      </c>
      <c r="AV32" s="26">
        <f t="shared" si="11"/>
        <v>119878533.10500002</v>
      </c>
      <c r="AW32" s="30">
        <f t="shared" si="12"/>
        <v>0.46637289913474156</v>
      </c>
      <c r="AX32" s="31" t="str">
        <f t="shared" si="13"/>
        <v>✓ Within Budget</v>
      </c>
    </row>
    <row r="33" spans="1:50" ht="15.1" customHeight="1" x14ac:dyDescent="0.35">
      <c r="A33" s="19" t="s">
        <v>157</v>
      </c>
      <c r="B33" s="20">
        <v>2024</v>
      </c>
      <c r="C33" s="21">
        <v>67</v>
      </c>
      <c r="D33" s="21">
        <v>2</v>
      </c>
      <c r="E33" s="21">
        <v>2</v>
      </c>
      <c r="F33" s="21">
        <v>2</v>
      </c>
      <c r="G33" s="22">
        <f t="shared" si="0"/>
        <v>67</v>
      </c>
      <c r="H33" s="21">
        <v>1</v>
      </c>
      <c r="I33" s="21">
        <v>125330</v>
      </c>
      <c r="J33" s="21">
        <v>3</v>
      </c>
      <c r="K33" s="21">
        <v>14</v>
      </c>
      <c r="L33" s="21">
        <v>26</v>
      </c>
      <c r="M33" s="21">
        <v>18</v>
      </c>
      <c r="N33" s="21">
        <v>6</v>
      </c>
      <c r="O33" s="23">
        <f t="shared" si="1"/>
        <v>0.35820895522388058</v>
      </c>
      <c r="P33" s="24">
        <v>0.10639999999999999</v>
      </c>
      <c r="Q33" s="25">
        <v>86.14</v>
      </c>
      <c r="R33" s="20">
        <v>1879956</v>
      </c>
      <c r="S33" s="21">
        <v>27</v>
      </c>
      <c r="T33" s="22">
        <f t="shared" si="2"/>
        <v>39</v>
      </c>
      <c r="U33" s="21">
        <v>11820223</v>
      </c>
      <c r="V33" s="22">
        <f t="shared" si="3"/>
        <v>2127640.14</v>
      </c>
      <c r="W33" s="22">
        <f t="shared" si="4"/>
        <v>945617.84</v>
      </c>
      <c r="X33" s="22">
        <f t="shared" si="5"/>
        <v>1595730.1050000002</v>
      </c>
      <c r="Y33" s="21">
        <v>67275</v>
      </c>
      <c r="Z33" s="21">
        <v>92460</v>
      </c>
      <c r="AA33" s="21">
        <v>170061</v>
      </c>
      <c r="AB33" s="21">
        <v>68947</v>
      </c>
      <c r="AC33" s="21">
        <v>217750</v>
      </c>
      <c r="AD33" s="21">
        <v>214400</v>
      </c>
      <c r="AE33" s="21">
        <v>90000</v>
      </c>
      <c r="AF33" s="21">
        <v>312000</v>
      </c>
      <c r="AG33" s="21">
        <v>46800</v>
      </c>
      <c r="AH33" s="21">
        <v>100500</v>
      </c>
      <c r="AI33" s="21">
        <v>53600</v>
      </c>
      <c r="AJ33" s="21">
        <v>40200</v>
      </c>
      <c r="AK33" s="21">
        <v>77050</v>
      </c>
      <c r="AL33" s="21">
        <v>35899</v>
      </c>
      <c r="AM33" s="22">
        <f t="shared" si="6"/>
        <v>16819007.085000001</v>
      </c>
      <c r="AN33" s="22">
        <f t="shared" si="7"/>
        <v>1257146</v>
      </c>
      <c r="AO33" s="22">
        <f t="shared" si="8"/>
        <v>18076153.085000001</v>
      </c>
      <c r="AP33" s="21">
        <v>19672697</v>
      </c>
      <c r="AQ33" s="26">
        <f>SUM(AP27:AP38)</f>
        <v>224648510</v>
      </c>
      <c r="AR33" s="26">
        <f>AQ33-SUM(AO27:AO32)</f>
        <v>119878533.105</v>
      </c>
      <c r="AS33" s="27">
        <v>6</v>
      </c>
      <c r="AT33" s="28">
        <f t="shared" si="9"/>
        <v>19979755.517500002</v>
      </c>
      <c r="AU33" s="29">
        <f t="shared" si="10"/>
        <v>1903602.432500001</v>
      </c>
      <c r="AV33" s="26">
        <f t="shared" si="11"/>
        <v>101802380.02000001</v>
      </c>
      <c r="AW33" s="30">
        <f t="shared" si="12"/>
        <v>0.54683705660901105</v>
      </c>
      <c r="AX33" s="31" t="str">
        <f t="shared" si="13"/>
        <v>✓ Within Budget</v>
      </c>
    </row>
    <row r="34" spans="1:50" ht="15.1" customHeight="1" x14ac:dyDescent="0.35">
      <c r="A34" s="32" t="s">
        <v>158</v>
      </c>
      <c r="B34" s="33">
        <v>2024</v>
      </c>
      <c r="C34" s="34">
        <v>67</v>
      </c>
      <c r="D34" s="34">
        <v>1</v>
      </c>
      <c r="E34" s="34">
        <v>2</v>
      </c>
      <c r="F34" s="34">
        <v>2</v>
      </c>
      <c r="G34" s="35">
        <f t="shared" si="0"/>
        <v>66</v>
      </c>
      <c r="H34" s="34">
        <v>1</v>
      </c>
      <c r="I34" s="34">
        <v>126736</v>
      </c>
      <c r="J34" s="34">
        <v>5</v>
      </c>
      <c r="K34" s="34">
        <v>13</v>
      </c>
      <c r="L34" s="34">
        <v>26</v>
      </c>
      <c r="M34" s="34">
        <v>15</v>
      </c>
      <c r="N34" s="34">
        <v>7</v>
      </c>
      <c r="O34" s="36">
        <f t="shared" si="1"/>
        <v>0.35820895522388058</v>
      </c>
      <c r="P34" s="37">
        <v>0.1023</v>
      </c>
      <c r="Q34" s="38">
        <v>86.34</v>
      </c>
      <c r="R34" s="33">
        <v>1901041</v>
      </c>
      <c r="S34" s="34">
        <v>26</v>
      </c>
      <c r="T34" s="35">
        <f t="shared" si="2"/>
        <v>39</v>
      </c>
      <c r="U34" s="34">
        <v>11635955</v>
      </c>
      <c r="V34" s="35">
        <f t="shared" si="3"/>
        <v>2094471.9</v>
      </c>
      <c r="W34" s="35">
        <f t="shared" si="4"/>
        <v>930876.4</v>
      </c>
      <c r="X34" s="35">
        <f t="shared" si="5"/>
        <v>1570853.925</v>
      </c>
      <c r="Y34" s="34">
        <v>65520</v>
      </c>
      <c r="Z34" s="34">
        <v>88704</v>
      </c>
      <c r="AA34" s="34">
        <v>187075</v>
      </c>
      <c r="AB34" s="34">
        <v>36045</v>
      </c>
      <c r="AC34" s="34">
        <v>165000</v>
      </c>
      <c r="AD34" s="34">
        <v>211200</v>
      </c>
      <c r="AE34" s="34">
        <v>45000</v>
      </c>
      <c r="AF34" s="34">
        <v>312000</v>
      </c>
      <c r="AG34" s="34">
        <v>46800</v>
      </c>
      <c r="AH34" s="34">
        <v>99000</v>
      </c>
      <c r="AI34" s="34">
        <v>52800</v>
      </c>
      <c r="AJ34" s="34">
        <v>39600</v>
      </c>
      <c r="AK34" s="34">
        <v>73920</v>
      </c>
      <c r="AL34" s="34">
        <v>23191</v>
      </c>
      <c r="AM34" s="35">
        <f t="shared" si="6"/>
        <v>16573456.225000001</v>
      </c>
      <c r="AN34" s="35">
        <f t="shared" si="7"/>
        <v>1104556</v>
      </c>
      <c r="AO34" s="35">
        <f t="shared" si="8"/>
        <v>17678012.225000001</v>
      </c>
      <c r="AP34" s="34">
        <v>20715744</v>
      </c>
      <c r="AQ34" s="26">
        <f>SUM(AP27:AP38)</f>
        <v>224648510</v>
      </c>
      <c r="AR34" s="26">
        <f>AQ34-SUM(AO27:AO33)</f>
        <v>101802380.02000001</v>
      </c>
      <c r="AS34" s="39">
        <v>5</v>
      </c>
      <c r="AT34" s="28">
        <f t="shared" si="9"/>
        <v>20360476.004000001</v>
      </c>
      <c r="AU34" s="29">
        <f t="shared" si="10"/>
        <v>2682463.7789999992</v>
      </c>
      <c r="AV34" s="26">
        <f t="shared" si="11"/>
        <v>84124367.795000017</v>
      </c>
      <c r="AW34" s="30">
        <f t="shared" si="12"/>
        <v>0.6255289305279611</v>
      </c>
      <c r="AX34" s="31" t="str">
        <f t="shared" si="13"/>
        <v>✓ Within Budget</v>
      </c>
    </row>
    <row r="35" spans="1:50" ht="15.1" customHeight="1" x14ac:dyDescent="0.35">
      <c r="A35" s="19" t="s">
        <v>159</v>
      </c>
      <c r="B35" s="20">
        <v>2024</v>
      </c>
      <c r="C35" s="21">
        <v>66</v>
      </c>
      <c r="D35" s="21">
        <v>0</v>
      </c>
      <c r="E35" s="21">
        <v>1</v>
      </c>
      <c r="F35" s="21">
        <v>1</v>
      </c>
      <c r="G35" s="22">
        <f t="shared" si="0"/>
        <v>65</v>
      </c>
      <c r="H35" s="21">
        <v>1</v>
      </c>
      <c r="I35" s="21">
        <v>127608</v>
      </c>
      <c r="J35" s="21">
        <v>4</v>
      </c>
      <c r="K35" s="21">
        <v>15</v>
      </c>
      <c r="L35" s="21">
        <v>25</v>
      </c>
      <c r="M35" s="21">
        <v>15</v>
      </c>
      <c r="N35" s="21">
        <v>6</v>
      </c>
      <c r="O35" s="23">
        <f t="shared" si="1"/>
        <v>0.18181818181818182</v>
      </c>
      <c r="P35" s="24">
        <v>0.1009</v>
      </c>
      <c r="Q35" s="25">
        <v>85.99</v>
      </c>
      <c r="R35" s="20">
        <v>1914125</v>
      </c>
      <c r="S35" s="21">
        <v>26</v>
      </c>
      <c r="T35" s="22">
        <f t="shared" si="2"/>
        <v>38</v>
      </c>
      <c r="U35" s="21">
        <v>11420946</v>
      </c>
      <c r="V35" s="22">
        <f t="shared" si="3"/>
        <v>2055770.28</v>
      </c>
      <c r="W35" s="22">
        <f t="shared" si="4"/>
        <v>913675.68</v>
      </c>
      <c r="X35" s="22">
        <f t="shared" si="5"/>
        <v>1541827.7100000002</v>
      </c>
      <c r="Y35" s="21">
        <v>57000</v>
      </c>
      <c r="Z35" s="21">
        <v>78000</v>
      </c>
      <c r="AA35" s="21">
        <v>168838</v>
      </c>
      <c r="AB35" s="21">
        <v>-7179</v>
      </c>
      <c r="AC35" s="21">
        <v>162500</v>
      </c>
      <c r="AD35" s="21">
        <v>208000</v>
      </c>
      <c r="AE35" s="21">
        <v>0</v>
      </c>
      <c r="AF35" s="21">
        <v>304000</v>
      </c>
      <c r="AG35" s="21">
        <v>45600</v>
      </c>
      <c r="AH35" s="21">
        <v>97500</v>
      </c>
      <c r="AI35" s="21">
        <v>52000</v>
      </c>
      <c r="AJ35" s="21">
        <v>39000</v>
      </c>
      <c r="AK35" s="21">
        <v>65000</v>
      </c>
      <c r="AL35" s="21">
        <v>36234</v>
      </c>
      <c r="AM35" s="22">
        <f t="shared" si="6"/>
        <v>16236057.67</v>
      </c>
      <c r="AN35" s="22">
        <f t="shared" si="7"/>
        <v>1002655</v>
      </c>
      <c r="AO35" s="22">
        <f t="shared" si="8"/>
        <v>17238712.670000002</v>
      </c>
      <c r="AP35" s="21">
        <v>16645175</v>
      </c>
      <c r="AQ35" s="26">
        <f>SUM(AP27:AP38)</f>
        <v>224648510</v>
      </c>
      <c r="AR35" s="26">
        <f>AQ35-SUM(AO27:AO34)</f>
        <v>84124367.795000017</v>
      </c>
      <c r="AS35" s="27">
        <v>4</v>
      </c>
      <c r="AT35" s="28">
        <f t="shared" si="9"/>
        <v>21031091.948750004</v>
      </c>
      <c r="AU35" s="29">
        <f t="shared" si="10"/>
        <v>3792379.2787500024</v>
      </c>
      <c r="AV35" s="26">
        <f t="shared" si="11"/>
        <v>66885655.125000015</v>
      </c>
      <c r="AW35" s="30">
        <f t="shared" si="12"/>
        <v>0.70226530714581636</v>
      </c>
      <c r="AX35" s="31" t="str">
        <f t="shared" si="13"/>
        <v>✓ Within Budget</v>
      </c>
    </row>
    <row r="36" spans="1:50" ht="15.1" customHeight="1" x14ac:dyDescent="0.35">
      <c r="A36" s="32" t="s">
        <v>160</v>
      </c>
      <c r="B36" s="33">
        <v>2025</v>
      </c>
      <c r="C36" s="34">
        <v>65</v>
      </c>
      <c r="D36" s="34">
        <v>3</v>
      </c>
      <c r="E36" s="34">
        <v>1</v>
      </c>
      <c r="F36" s="34">
        <v>1</v>
      </c>
      <c r="G36" s="35">
        <f t="shared" si="0"/>
        <v>67</v>
      </c>
      <c r="H36" s="34">
        <v>1</v>
      </c>
      <c r="I36" s="34">
        <v>127828</v>
      </c>
      <c r="J36" s="34">
        <v>4</v>
      </c>
      <c r="K36" s="34">
        <v>16</v>
      </c>
      <c r="L36" s="34">
        <v>22</v>
      </c>
      <c r="M36" s="34">
        <v>18</v>
      </c>
      <c r="N36" s="34">
        <v>7</v>
      </c>
      <c r="O36" s="36">
        <f t="shared" si="1"/>
        <v>0.18461538461538463</v>
      </c>
      <c r="P36" s="37">
        <v>0.12089999999999999</v>
      </c>
      <c r="Q36" s="38">
        <v>86.6</v>
      </c>
      <c r="R36" s="33">
        <v>1917419</v>
      </c>
      <c r="S36" s="34">
        <v>27</v>
      </c>
      <c r="T36" s="35">
        <f t="shared" si="2"/>
        <v>39</v>
      </c>
      <c r="U36" s="34">
        <v>12063761</v>
      </c>
      <c r="V36" s="35">
        <f t="shared" si="3"/>
        <v>2171476.98</v>
      </c>
      <c r="W36" s="35">
        <f t="shared" si="4"/>
        <v>965100.88</v>
      </c>
      <c r="X36" s="35">
        <f t="shared" si="5"/>
        <v>1628607.7350000001</v>
      </c>
      <c r="Y36" s="34">
        <v>63180</v>
      </c>
      <c r="Z36" s="34">
        <v>86832</v>
      </c>
      <c r="AA36" s="34">
        <v>174026</v>
      </c>
      <c r="AB36" s="34">
        <v>112055</v>
      </c>
      <c r="AC36" s="34">
        <v>167500</v>
      </c>
      <c r="AD36" s="34">
        <v>214400</v>
      </c>
      <c r="AE36" s="34">
        <v>135000</v>
      </c>
      <c r="AF36" s="34">
        <v>312000</v>
      </c>
      <c r="AG36" s="34">
        <v>46800</v>
      </c>
      <c r="AH36" s="34">
        <v>100500</v>
      </c>
      <c r="AI36" s="34">
        <v>53600</v>
      </c>
      <c r="AJ36" s="34">
        <v>40200</v>
      </c>
      <c r="AK36" s="34">
        <v>72360</v>
      </c>
      <c r="AL36" s="34">
        <v>22704</v>
      </c>
      <c r="AM36" s="35">
        <f t="shared" si="6"/>
        <v>17152984.595000003</v>
      </c>
      <c r="AN36" s="35">
        <f t="shared" si="7"/>
        <v>1277119</v>
      </c>
      <c r="AO36" s="35">
        <f t="shared" si="8"/>
        <v>18430103.595000003</v>
      </c>
      <c r="AP36" s="34">
        <v>21162324</v>
      </c>
      <c r="AQ36" s="26">
        <f>SUM(AP27:AP38)</f>
        <v>224648510</v>
      </c>
      <c r="AR36" s="26">
        <f>AQ36-SUM(AO27:AO35)</f>
        <v>66885655.125</v>
      </c>
      <c r="AS36" s="39">
        <v>3</v>
      </c>
      <c r="AT36" s="28">
        <f t="shared" si="9"/>
        <v>22295218.375</v>
      </c>
      <c r="AU36" s="29">
        <f t="shared" si="10"/>
        <v>3865114.7799999975</v>
      </c>
      <c r="AV36" s="26">
        <f t="shared" si="11"/>
        <v>48455551.530000001</v>
      </c>
      <c r="AW36" s="30">
        <f t="shared" si="12"/>
        <v>0.78430503932565587</v>
      </c>
      <c r="AX36" s="31" t="str">
        <f t="shared" si="13"/>
        <v>✓ Within Budget</v>
      </c>
    </row>
    <row r="37" spans="1:50" ht="15.1" customHeight="1" x14ac:dyDescent="0.35">
      <c r="A37" s="19" t="s">
        <v>161</v>
      </c>
      <c r="B37" s="20">
        <v>2025</v>
      </c>
      <c r="C37" s="21">
        <v>67</v>
      </c>
      <c r="D37" s="21">
        <v>3</v>
      </c>
      <c r="E37" s="21">
        <v>1</v>
      </c>
      <c r="F37" s="21">
        <v>1</v>
      </c>
      <c r="G37" s="22">
        <f t="shared" si="0"/>
        <v>69</v>
      </c>
      <c r="H37" s="21">
        <v>1</v>
      </c>
      <c r="I37" s="21">
        <v>128693</v>
      </c>
      <c r="J37" s="21">
        <v>5</v>
      </c>
      <c r="K37" s="21">
        <v>13</v>
      </c>
      <c r="L37" s="21">
        <v>26</v>
      </c>
      <c r="M37" s="21">
        <v>17</v>
      </c>
      <c r="N37" s="21">
        <v>8</v>
      </c>
      <c r="O37" s="23">
        <f t="shared" si="1"/>
        <v>0.17910447761194029</v>
      </c>
      <c r="P37" s="24">
        <v>9.7000000000000003E-2</v>
      </c>
      <c r="Q37" s="25">
        <v>86.6</v>
      </c>
      <c r="R37" s="20">
        <v>1930402</v>
      </c>
      <c r="S37" s="21">
        <v>28</v>
      </c>
      <c r="T37" s="22">
        <f t="shared" si="2"/>
        <v>40</v>
      </c>
      <c r="U37" s="21">
        <v>12571743</v>
      </c>
      <c r="V37" s="22">
        <f t="shared" si="3"/>
        <v>2262913.7399999998</v>
      </c>
      <c r="W37" s="22">
        <f t="shared" si="4"/>
        <v>1005739.4400000001</v>
      </c>
      <c r="X37" s="22">
        <f t="shared" si="5"/>
        <v>1697185.3050000002</v>
      </c>
      <c r="Y37" s="21">
        <v>64800</v>
      </c>
      <c r="Z37" s="21">
        <v>89424</v>
      </c>
      <c r="AA37" s="21">
        <v>186500</v>
      </c>
      <c r="AB37" s="21">
        <v>100668</v>
      </c>
      <c r="AC37" s="21">
        <v>172500</v>
      </c>
      <c r="AD37" s="21">
        <v>220800</v>
      </c>
      <c r="AE37" s="21">
        <v>135000</v>
      </c>
      <c r="AF37" s="21">
        <v>320000</v>
      </c>
      <c r="AG37" s="21">
        <v>48000</v>
      </c>
      <c r="AH37" s="21">
        <v>103500</v>
      </c>
      <c r="AI37" s="21">
        <v>55200</v>
      </c>
      <c r="AJ37" s="21">
        <v>41400</v>
      </c>
      <c r="AK37" s="21">
        <v>74520</v>
      </c>
      <c r="AL37" s="21">
        <v>23768</v>
      </c>
      <c r="AM37" s="22">
        <f t="shared" si="6"/>
        <v>17878305.484999999</v>
      </c>
      <c r="AN37" s="22">
        <f t="shared" si="7"/>
        <v>1295356</v>
      </c>
      <c r="AO37" s="22">
        <f t="shared" si="8"/>
        <v>19173661.484999999</v>
      </c>
      <c r="AP37" s="21">
        <v>19847311</v>
      </c>
      <c r="AQ37" s="26">
        <f>SUM(AP27:AP38)</f>
        <v>224648510</v>
      </c>
      <c r="AR37" s="26">
        <f>AQ37-SUM(AO27:AO36)</f>
        <v>48455551.530000001</v>
      </c>
      <c r="AS37" s="27">
        <v>2</v>
      </c>
      <c r="AT37" s="28">
        <f t="shared" si="9"/>
        <v>24227775.765000001</v>
      </c>
      <c r="AU37" s="29">
        <f t="shared" si="10"/>
        <v>5054114.2800000012</v>
      </c>
      <c r="AV37" s="26">
        <f t="shared" si="11"/>
        <v>29281890.045000002</v>
      </c>
      <c r="AW37" s="30">
        <f t="shared" si="12"/>
        <v>0.86965464384784918</v>
      </c>
      <c r="AX37" s="31" t="str">
        <f t="shared" si="13"/>
        <v>✓ Within Budget</v>
      </c>
    </row>
    <row r="38" spans="1:50" ht="15.1" customHeight="1" x14ac:dyDescent="0.35">
      <c r="A38" s="32" t="s">
        <v>162</v>
      </c>
      <c r="B38" s="33">
        <v>2025</v>
      </c>
      <c r="C38" s="34">
        <v>69</v>
      </c>
      <c r="D38" s="34">
        <v>1</v>
      </c>
      <c r="E38" s="34">
        <v>1</v>
      </c>
      <c r="F38" s="34">
        <v>1</v>
      </c>
      <c r="G38" s="35">
        <f t="shared" si="0"/>
        <v>69</v>
      </c>
      <c r="H38" s="34">
        <v>1</v>
      </c>
      <c r="I38" s="34">
        <v>129643</v>
      </c>
      <c r="J38" s="34">
        <v>4</v>
      </c>
      <c r="K38" s="34">
        <v>14</v>
      </c>
      <c r="L38" s="34">
        <v>29</v>
      </c>
      <c r="M38" s="34">
        <v>16</v>
      </c>
      <c r="N38" s="34">
        <v>6</v>
      </c>
      <c r="O38" s="36">
        <f t="shared" si="1"/>
        <v>0.17391304347826086</v>
      </c>
      <c r="P38" s="37">
        <v>9.3100000000000002E-2</v>
      </c>
      <c r="Q38" s="38">
        <v>86.33</v>
      </c>
      <c r="R38" s="33">
        <v>1944644</v>
      </c>
      <c r="S38" s="34">
        <v>28</v>
      </c>
      <c r="T38" s="35">
        <f t="shared" si="2"/>
        <v>40</v>
      </c>
      <c r="U38" s="41">
        <v>19140157</v>
      </c>
      <c r="V38" s="35">
        <f t="shared" si="3"/>
        <v>3445228.26</v>
      </c>
      <c r="W38" s="35">
        <f t="shared" si="4"/>
        <v>1531212.56</v>
      </c>
      <c r="X38" s="35">
        <f t="shared" si="5"/>
        <v>2583921.1950000003</v>
      </c>
      <c r="Y38" s="34">
        <v>63600</v>
      </c>
      <c r="Z38" s="34">
        <v>87768</v>
      </c>
      <c r="AA38" s="41">
        <v>239653</v>
      </c>
      <c r="AB38" s="41">
        <v>45613</v>
      </c>
      <c r="AC38" s="34">
        <v>172500</v>
      </c>
      <c r="AD38" s="34">
        <v>220800</v>
      </c>
      <c r="AE38" s="34">
        <v>45000</v>
      </c>
      <c r="AF38" s="34">
        <v>320000</v>
      </c>
      <c r="AG38" s="34">
        <v>48000</v>
      </c>
      <c r="AH38" s="34">
        <v>103500</v>
      </c>
      <c r="AI38" s="34">
        <v>55200</v>
      </c>
      <c r="AJ38" s="34">
        <v>41400</v>
      </c>
      <c r="AK38" s="41">
        <v>98739</v>
      </c>
      <c r="AL38" s="34">
        <v>29556</v>
      </c>
      <c r="AM38" s="35">
        <f t="shared" si="6"/>
        <v>27091540.014999997</v>
      </c>
      <c r="AN38" s="35">
        <f t="shared" si="7"/>
        <v>1180308</v>
      </c>
      <c r="AO38" s="35">
        <f t="shared" si="8"/>
        <v>28271848.014999997</v>
      </c>
      <c r="AP38" s="34">
        <v>21325103</v>
      </c>
      <c r="AQ38" s="26">
        <f>SUM(AP27:AP38)</f>
        <v>224648510</v>
      </c>
      <c r="AR38" s="26">
        <f>AQ38-SUM(AO27:AO37)</f>
        <v>29281890.045000017</v>
      </c>
      <c r="AS38" s="39">
        <v>1</v>
      </c>
      <c r="AT38" s="28">
        <f t="shared" si="9"/>
        <v>29281890.045000017</v>
      </c>
      <c r="AU38" s="29">
        <f t="shared" si="10"/>
        <v>1010042.0300000198</v>
      </c>
      <c r="AV38" s="26">
        <f t="shared" si="11"/>
        <v>1010042.0300000198</v>
      </c>
      <c r="AW38" s="30">
        <f t="shared" si="12"/>
        <v>0.99550390060454874</v>
      </c>
      <c r="AX38" s="31" t="str">
        <f t="shared" si="13"/>
        <v>✓ Within Budget</v>
      </c>
    </row>
  </sheetData>
  <mergeCells count="1">
    <mergeCell ref="A1:AV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38"/>
  <sheetViews>
    <sheetView zoomScaleNormal="100" workbookViewId="0">
      <pane xSplit="2" ySplit="2" topLeftCell="C32" activePane="bottomRight" state="frozen"/>
      <selection pane="topRight" activeCell="C1" sqref="C1"/>
      <selection pane="bottomLeft" activeCell="A3" sqref="A3"/>
      <selection pane="bottomRight" activeCell="A40" sqref="A40:XFD63"/>
    </sheetView>
  </sheetViews>
  <sheetFormatPr defaultColWidth="8.6328125" defaultRowHeight="14.85" x14ac:dyDescent="0.35"/>
  <cols>
    <col min="1" max="1" width="10" customWidth="1"/>
    <col min="2" max="48" width="16" customWidth="1"/>
    <col min="49" max="50" width="18" customWidth="1"/>
  </cols>
  <sheetData>
    <row r="1" spans="1:50" ht="21.7" customHeight="1" x14ac:dyDescent="0.35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50" ht="30" customHeight="1" x14ac:dyDescent="0.35">
      <c r="A2" s="18" t="s">
        <v>37</v>
      </c>
      <c r="B2" s="18" t="s">
        <v>78</v>
      </c>
      <c r="C2" s="18" t="s">
        <v>79</v>
      </c>
      <c r="D2" s="18" t="s">
        <v>80</v>
      </c>
      <c r="E2" s="18" t="s">
        <v>81</v>
      </c>
      <c r="F2" s="18" t="s">
        <v>82</v>
      </c>
      <c r="G2" s="18" t="s">
        <v>83</v>
      </c>
      <c r="H2" s="18" t="s">
        <v>84</v>
      </c>
      <c r="I2" s="18" t="s">
        <v>85</v>
      </c>
      <c r="J2" s="18" t="s">
        <v>86</v>
      </c>
      <c r="K2" s="18" t="s">
        <v>87</v>
      </c>
      <c r="L2" s="18" t="s">
        <v>88</v>
      </c>
      <c r="M2" s="18" t="s">
        <v>89</v>
      </c>
      <c r="N2" s="18" t="s">
        <v>90</v>
      </c>
      <c r="O2" s="18" t="s">
        <v>91</v>
      </c>
      <c r="P2" s="18" t="s">
        <v>92</v>
      </c>
      <c r="Q2" s="18" t="s">
        <v>93</v>
      </c>
      <c r="R2" s="18" t="s">
        <v>94</v>
      </c>
      <c r="S2" s="18" t="s">
        <v>95</v>
      </c>
      <c r="T2" s="18" t="s">
        <v>96</v>
      </c>
      <c r="U2" s="18" t="s">
        <v>97</v>
      </c>
      <c r="V2" s="18" t="s">
        <v>98</v>
      </c>
      <c r="W2" s="18" t="s">
        <v>99</v>
      </c>
      <c r="X2" s="18" t="s">
        <v>100</v>
      </c>
      <c r="Y2" s="18" t="s">
        <v>101</v>
      </c>
      <c r="Z2" s="18" t="s">
        <v>102</v>
      </c>
      <c r="AA2" s="18" t="s">
        <v>103</v>
      </c>
      <c r="AB2" s="18" t="s">
        <v>104</v>
      </c>
      <c r="AC2" s="18" t="s">
        <v>105</v>
      </c>
      <c r="AD2" s="18" t="s">
        <v>106</v>
      </c>
      <c r="AE2" s="18" t="s">
        <v>107</v>
      </c>
      <c r="AF2" s="18" t="s">
        <v>108</v>
      </c>
      <c r="AG2" s="18" t="s">
        <v>109</v>
      </c>
      <c r="AH2" s="18" t="s">
        <v>110</v>
      </c>
      <c r="AI2" s="18" t="s">
        <v>111</v>
      </c>
      <c r="AJ2" s="18" t="s">
        <v>112</v>
      </c>
      <c r="AK2" s="18" t="s">
        <v>113</v>
      </c>
      <c r="AL2" s="18" t="s">
        <v>114</v>
      </c>
      <c r="AM2" s="18" t="s">
        <v>115</v>
      </c>
      <c r="AN2" s="18" t="s">
        <v>116</v>
      </c>
      <c r="AO2" s="18" t="s">
        <v>117</v>
      </c>
      <c r="AP2" s="18" t="s">
        <v>118</v>
      </c>
      <c r="AQ2" s="18" t="s">
        <v>119</v>
      </c>
      <c r="AR2" s="18" t="s">
        <v>120</v>
      </c>
      <c r="AS2" s="18" t="s">
        <v>121</v>
      </c>
      <c r="AT2" s="18" t="s">
        <v>122</v>
      </c>
      <c r="AU2" s="18" t="s">
        <v>123</v>
      </c>
      <c r="AV2" s="18" t="s">
        <v>124</v>
      </c>
      <c r="AW2" s="18" t="s">
        <v>125</v>
      </c>
      <c r="AX2" s="18" t="s">
        <v>126</v>
      </c>
    </row>
    <row r="3" spans="1:50" ht="15.1" customHeight="1" x14ac:dyDescent="0.35">
      <c r="A3" s="19" t="s">
        <v>127</v>
      </c>
      <c r="B3" s="20">
        <v>2022</v>
      </c>
      <c r="C3" s="21">
        <v>30</v>
      </c>
      <c r="D3" s="21">
        <v>0</v>
      </c>
      <c r="E3" s="21">
        <v>1</v>
      </c>
      <c r="F3" s="21">
        <v>1</v>
      </c>
      <c r="G3" s="22">
        <f t="shared" ref="G3:G38" si="0">C3+D3-E3</f>
        <v>29</v>
      </c>
      <c r="H3" s="21">
        <v>0</v>
      </c>
      <c r="I3" s="21">
        <v>0</v>
      </c>
      <c r="J3" s="21">
        <v>2</v>
      </c>
      <c r="K3" s="21">
        <v>8</v>
      </c>
      <c r="L3" s="21">
        <v>11</v>
      </c>
      <c r="M3" s="21">
        <v>5</v>
      </c>
      <c r="N3" s="21">
        <v>3</v>
      </c>
      <c r="O3" s="23">
        <f t="shared" ref="O3:O38" si="1">F3/(C3)*12</f>
        <v>0.4</v>
      </c>
      <c r="P3" s="24">
        <v>0.12189999999999999</v>
      </c>
      <c r="Q3" s="25">
        <v>82.69</v>
      </c>
      <c r="R3" s="20">
        <v>1093900</v>
      </c>
      <c r="S3" s="21">
        <v>10</v>
      </c>
      <c r="T3" s="22">
        <f t="shared" ref="T3:T38" si="2">G3-H3-S3</f>
        <v>19</v>
      </c>
      <c r="U3" s="21">
        <v>2844140</v>
      </c>
      <c r="V3" s="22">
        <f t="shared" ref="V3:V38" si="3">U3*0.18</f>
        <v>511945.19999999995</v>
      </c>
      <c r="W3" s="22">
        <f t="shared" ref="W3:W38" si="4">U3*0.08</f>
        <v>227531.2</v>
      </c>
      <c r="X3" s="22">
        <f t="shared" ref="X3:X38" si="5">U3*0.135</f>
        <v>383958.9</v>
      </c>
      <c r="Y3" s="21">
        <v>31350</v>
      </c>
      <c r="Z3" s="21">
        <v>38280</v>
      </c>
      <c r="AA3" s="21">
        <v>57367</v>
      </c>
      <c r="AB3" s="21">
        <v>-984</v>
      </c>
      <c r="AC3" s="21">
        <v>94250</v>
      </c>
      <c r="AD3" s="21">
        <v>92800</v>
      </c>
      <c r="AE3" s="21">
        <v>0</v>
      </c>
      <c r="AF3" s="21">
        <v>152000</v>
      </c>
      <c r="AG3" s="21">
        <v>22800</v>
      </c>
      <c r="AH3" s="21">
        <v>43500</v>
      </c>
      <c r="AI3" s="21">
        <v>23200</v>
      </c>
      <c r="AJ3" s="21">
        <v>17400</v>
      </c>
      <c r="AK3" s="21">
        <v>31900</v>
      </c>
      <c r="AL3" s="21">
        <v>0</v>
      </c>
      <c r="AM3" s="22">
        <f t="shared" ref="AM3:AM38" si="6">SUM(U3:AA3)</f>
        <v>4094572.3000000003</v>
      </c>
      <c r="AN3" s="22">
        <f t="shared" ref="AN3:AN38" si="7">SUM(AB3:AL3)</f>
        <v>476866</v>
      </c>
      <c r="AO3" s="22">
        <f t="shared" ref="AO3:AO38" si="8">AM3+AN3</f>
        <v>4571438.3000000007</v>
      </c>
      <c r="AP3" s="21">
        <v>5132916</v>
      </c>
      <c r="AQ3" s="26">
        <f>SUM(AP3:AP14)</f>
        <v>68784379</v>
      </c>
      <c r="AR3" s="26">
        <f>AQ3</f>
        <v>68784379</v>
      </c>
      <c r="AS3" s="27">
        <v>12</v>
      </c>
      <c r="AT3" s="28">
        <f t="shared" ref="AT3:AT38" si="9">IF(AM3&gt;0,AR3/AS3,0)</f>
        <v>5732031.583333333</v>
      </c>
      <c r="AU3" s="29">
        <f t="shared" ref="AU3:AU38" si="10">AT3-AO3</f>
        <v>1160593.2833333323</v>
      </c>
      <c r="AV3" s="26">
        <f t="shared" ref="AV3:AV38" si="11">AR3-AO3</f>
        <v>64212940.700000003</v>
      </c>
      <c r="AW3" s="30">
        <f t="shared" ref="AW3:AW38" si="12">IF(AQ3&gt;0,(AQ3-AV3)/AQ3,0)</f>
        <v>6.6460413926249115E-2</v>
      </c>
      <c r="AX3" s="31" t="str">
        <f t="shared" ref="AX3:AX38" si="13">IF(AU3&lt;0,"⚠ Over Budget","✓ Within Budget")</f>
        <v>✓ Within Budget</v>
      </c>
    </row>
    <row r="4" spans="1:50" ht="15.1" customHeight="1" x14ac:dyDescent="0.35">
      <c r="A4" s="32" t="s">
        <v>128</v>
      </c>
      <c r="B4" s="33">
        <v>2022</v>
      </c>
      <c r="C4" s="34">
        <v>29</v>
      </c>
      <c r="D4" s="34">
        <v>1</v>
      </c>
      <c r="E4" s="34">
        <v>0</v>
      </c>
      <c r="F4" s="34">
        <v>0</v>
      </c>
      <c r="G4" s="35">
        <f t="shared" si="0"/>
        <v>30</v>
      </c>
      <c r="H4" s="34">
        <v>1</v>
      </c>
      <c r="I4" s="34">
        <v>74558</v>
      </c>
      <c r="J4" s="34">
        <v>2</v>
      </c>
      <c r="K4" s="34">
        <v>9</v>
      </c>
      <c r="L4" s="34">
        <v>8</v>
      </c>
      <c r="M4" s="34">
        <v>7</v>
      </c>
      <c r="N4" s="34">
        <v>4</v>
      </c>
      <c r="O4" s="36">
        <f t="shared" si="1"/>
        <v>0</v>
      </c>
      <c r="P4" s="37">
        <v>0.1024</v>
      </c>
      <c r="Q4" s="38">
        <v>82.09</v>
      </c>
      <c r="R4" s="33">
        <v>1118364</v>
      </c>
      <c r="S4" s="34">
        <v>10</v>
      </c>
      <c r="T4" s="35">
        <f t="shared" si="2"/>
        <v>19</v>
      </c>
      <c r="U4" s="41">
        <v>4554071</v>
      </c>
      <c r="V4" s="35">
        <f t="shared" si="3"/>
        <v>819732.77999999991</v>
      </c>
      <c r="W4" s="35">
        <f t="shared" si="4"/>
        <v>364325.68</v>
      </c>
      <c r="X4" s="35">
        <f t="shared" si="5"/>
        <v>614799.58500000008</v>
      </c>
      <c r="Y4" s="34">
        <v>31350</v>
      </c>
      <c r="Z4" s="34">
        <v>39600</v>
      </c>
      <c r="AA4" s="41">
        <v>66260</v>
      </c>
      <c r="AB4" s="41">
        <v>58514</v>
      </c>
      <c r="AC4" s="34">
        <v>97500</v>
      </c>
      <c r="AD4" s="34">
        <v>96000</v>
      </c>
      <c r="AE4" s="34">
        <v>45000</v>
      </c>
      <c r="AF4" s="34">
        <v>152000</v>
      </c>
      <c r="AG4" s="34">
        <v>22800</v>
      </c>
      <c r="AH4" s="34">
        <v>45000</v>
      </c>
      <c r="AI4" s="34">
        <v>24000</v>
      </c>
      <c r="AJ4" s="34">
        <v>18000</v>
      </c>
      <c r="AK4" s="41">
        <v>44550</v>
      </c>
      <c r="AL4" s="34">
        <v>18829</v>
      </c>
      <c r="AM4" s="35">
        <f t="shared" si="6"/>
        <v>6490139.0449999999</v>
      </c>
      <c r="AN4" s="35">
        <f t="shared" si="7"/>
        <v>622193</v>
      </c>
      <c r="AO4" s="35">
        <f t="shared" si="8"/>
        <v>7112332.0449999999</v>
      </c>
      <c r="AP4" s="34">
        <v>5761020</v>
      </c>
      <c r="AQ4" s="26">
        <f>SUM(AP3:AP14)</f>
        <v>68784379</v>
      </c>
      <c r="AR4" s="26">
        <f>AQ4-SUM(AO3:AO3)</f>
        <v>64212940.700000003</v>
      </c>
      <c r="AS4" s="39">
        <v>11</v>
      </c>
      <c r="AT4" s="28">
        <f t="shared" si="9"/>
        <v>5837540.0636363635</v>
      </c>
      <c r="AU4" s="29">
        <f t="shared" si="10"/>
        <v>-1274791.9813636364</v>
      </c>
      <c r="AV4" s="26">
        <f t="shared" si="11"/>
        <v>57100608.655000001</v>
      </c>
      <c r="AW4" s="30">
        <f t="shared" si="12"/>
        <v>0.16986081018482407</v>
      </c>
      <c r="AX4" s="31" t="str">
        <f t="shared" si="13"/>
        <v>⚠ Over Budget</v>
      </c>
    </row>
    <row r="5" spans="1:50" ht="15.1" customHeight="1" x14ac:dyDescent="0.35">
      <c r="A5" s="19" t="s">
        <v>129</v>
      </c>
      <c r="B5" s="20">
        <v>2022</v>
      </c>
      <c r="C5" s="21">
        <v>30</v>
      </c>
      <c r="D5" s="21">
        <v>0</v>
      </c>
      <c r="E5" s="21">
        <v>0</v>
      </c>
      <c r="F5" s="21">
        <v>0</v>
      </c>
      <c r="G5" s="22">
        <f t="shared" si="0"/>
        <v>30</v>
      </c>
      <c r="H5" s="21">
        <v>0</v>
      </c>
      <c r="I5" s="21">
        <v>0</v>
      </c>
      <c r="J5" s="21">
        <v>1</v>
      </c>
      <c r="K5" s="21">
        <v>6</v>
      </c>
      <c r="L5" s="21">
        <v>13</v>
      </c>
      <c r="M5" s="21">
        <v>7</v>
      </c>
      <c r="N5" s="21">
        <v>3</v>
      </c>
      <c r="O5" s="23">
        <f t="shared" si="1"/>
        <v>0</v>
      </c>
      <c r="P5" s="24">
        <v>0.1056</v>
      </c>
      <c r="Q5" s="25">
        <v>82.38</v>
      </c>
      <c r="R5" s="20">
        <v>1125142</v>
      </c>
      <c r="S5" s="21">
        <v>10</v>
      </c>
      <c r="T5" s="22">
        <f t="shared" si="2"/>
        <v>20</v>
      </c>
      <c r="U5" s="21">
        <v>3173838</v>
      </c>
      <c r="V5" s="22">
        <f t="shared" si="3"/>
        <v>571290.84</v>
      </c>
      <c r="W5" s="22">
        <f t="shared" si="4"/>
        <v>253907.04</v>
      </c>
      <c r="X5" s="22">
        <f t="shared" si="5"/>
        <v>428468.13</v>
      </c>
      <c r="Y5" s="21">
        <v>31500</v>
      </c>
      <c r="Z5" s="21">
        <v>37800</v>
      </c>
      <c r="AA5" s="21">
        <v>46161</v>
      </c>
      <c r="AB5" s="21">
        <v>-970</v>
      </c>
      <c r="AC5" s="21">
        <v>75000</v>
      </c>
      <c r="AD5" s="21">
        <v>96000</v>
      </c>
      <c r="AE5" s="21">
        <v>0</v>
      </c>
      <c r="AF5" s="21">
        <v>160000</v>
      </c>
      <c r="AG5" s="21">
        <v>24000</v>
      </c>
      <c r="AH5" s="21">
        <v>45000</v>
      </c>
      <c r="AI5" s="21">
        <v>24000</v>
      </c>
      <c r="AJ5" s="21">
        <v>18000</v>
      </c>
      <c r="AK5" s="21">
        <v>31500</v>
      </c>
      <c r="AL5" s="21">
        <v>17057</v>
      </c>
      <c r="AM5" s="22">
        <f t="shared" si="6"/>
        <v>4542965.01</v>
      </c>
      <c r="AN5" s="22">
        <f t="shared" si="7"/>
        <v>489587</v>
      </c>
      <c r="AO5" s="22">
        <f t="shared" si="8"/>
        <v>5032552.01</v>
      </c>
      <c r="AP5" s="21">
        <v>4968895</v>
      </c>
      <c r="AQ5" s="26">
        <f>SUM(AP3:AP14)</f>
        <v>68784379</v>
      </c>
      <c r="AR5" s="26">
        <f>AQ5-SUM(AO3:AO4)</f>
        <v>57100608.655000001</v>
      </c>
      <c r="AS5" s="27">
        <v>10</v>
      </c>
      <c r="AT5" s="28">
        <f t="shared" si="9"/>
        <v>5710060.8655000003</v>
      </c>
      <c r="AU5" s="29">
        <f t="shared" si="10"/>
        <v>677508.85550000053</v>
      </c>
      <c r="AV5" s="26">
        <f t="shared" si="11"/>
        <v>52068056.645000003</v>
      </c>
      <c r="AW5" s="30">
        <f t="shared" si="12"/>
        <v>0.2430249803520069</v>
      </c>
      <c r="AX5" s="31" t="str">
        <f t="shared" si="13"/>
        <v>✓ Within Budget</v>
      </c>
    </row>
    <row r="6" spans="1:50" ht="15.1" customHeight="1" x14ac:dyDescent="0.35">
      <c r="A6" s="32" t="s">
        <v>130</v>
      </c>
      <c r="B6" s="33">
        <v>2022</v>
      </c>
      <c r="C6" s="34">
        <v>30</v>
      </c>
      <c r="D6" s="34">
        <v>1</v>
      </c>
      <c r="E6" s="34">
        <v>0</v>
      </c>
      <c r="F6" s="34">
        <v>0</v>
      </c>
      <c r="G6" s="35">
        <f t="shared" si="0"/>
        <v>31</v>
      </c>
      <c r="H6" s="34">
        <v>0</v>
      </c>
      <c r="I6" s="34">
        <v>0</v>
      </c>
      <c r="J6" s="34">
        <v>1</v>
      </c>
      <c r="K6" s="34">
        <v>7</v>
      </c>
      <c r="L6" s="34">
        <v>12</v>
      </c>
      <c r="M6" s="34">
        <v>8</v>
      </c>
      <c r="N6" s="34">
        <v>3</v>
      </c>
      <c r="O6" s="36">
        <f t="shared" si="1"/>
        <v>0</v>
      </c>
      <c r="P6" s="37">
        <v>9.1600000000000001E-2</v>
      </c>
      <c r="Q6" s="38">
        <v>82.4</v>
      </c>
      <c r="R6" s="33">
        <v>1135050</v>
      </c>
      <c r="S6" s="34">
        <v>11</v>
      </c>
      <c r="T6" s="35">
        <f t="shared" si="2"/>
        <v>20</v>
      </c>
      <c r="U6" s="34">
        <v>3315292</v>
      </c>
      <c r="V6" s="35">
        <f t="shared" si="3"/>
        <v>596752.55999999994</v>
      </c>
      <c r="W6" s="35">
        <f t="shared" si="4"/>
        <v>265223.36</v>
      </c>
      <c r="X6" s="35">
        <f t="shared" si="5"/>
        <v>447564.42000000004</v>
      </c>
      <c r="Y6" s="34">
        <v>30000</v>
      </c>
      <c r="Z6" s="34">
        <v>37200</v>
      </c>
      <c r="AA6" s="34">
        <v>43781</v>
      </c>
      <c r="AB6" s="34">
        <v>33594</v>
      </c>
      <c r="AC6" s="34">
        <v>77500</v>
      </c>
      <c r="AD6" s="34">
        <v>99200</v>
      </c>
      <c r="AE6" s="34">
        <v>45000</v>
      </c>
      <c r="AF6" s="34">
        <v>160000</v>
      </c>
      <c r="AG6" s="34">
        <v>24000</v>
      </c>
      <c r="AH6" s="34">
        <v>46500</v>
      </c>
      <c r="AI6" s="34">
        <v>24800</v>
      </c>
      <c r="AJ6" s="34">
        <v>18600</v>
      </c>
      <c r="AK6" s="34">
        <v>31000</v>
      </c>
      <c r="AL6" s="34">
        <v>12547</v>
      </c>
      <c r="AM6" s="35">
        <f t="shared" si="6"/>
        <v>4735813.34</v>
      </c>
      <c r="AN6" s="35">
        <f t="shared" si="7"/>
        <v>572741</v>
      </c>
      <c r="AO6" s="35">
        <f t="shared" si="8"/>
        <v>5308554.34</v>
      </c>
      <c r="AP6" s="34">
        <v>5288125</v>
      </c>
      <c r="AQ6" s="26">
        <f>SUM(AP3:AP14)</f>
        <v>68784379</v>
      </c>
      <c r="AR6" s="26">
        <f>AQ6-SUM(AO3:AO5)</f>
        <v>52068056.644999996</v>
      </c>
      <c r="AS6" s="39">
        <v>9</v>
      </c>
      <c r="AT6" s="28">
        <f t="shared" si="9"/>
        <v>5785339.6272222213</v>
      </c>
      <c r="AU6" s="29">
        <f t="shared" si="10"/>
        <v>476785.28722222149</v>
      </c>
      <c r="AV6" s="26">
        <f t="shared" si="11"/>
        <v>46759502.304999992</v>
      </c>
      <c r="AW6" s="30">
        <f t="shared" si="12"/>
        <v>0.32020172334477293</v>
      </c>
      <c r="AX6" s="31" t="str">
        <f t="shared" si="13"/>
        <v>✓ Within Budget</v>
      </c>
    </row>
    <row r="7" spans="1:50" ht="15.1" customHeight="1" x14ac:dyDescent="0.35">
      <c r="A7" s="19" t="s">
        <v>131</v>
      </c>
      <c r="B7" s="20">
        <v>2022</v>
      </c>
      <c r="C7" s="21">
        <v>31</v>
      </c>
      <c r="D7" s="21">
        <v>0</v>
      </c>
      <c r="E7" s="21">
        <v>1</v>
      </c>
      <c r="F7" s="21">
        <v>1</v>
      </c>
      <c r="G7" s="22">
        <f t="shared" si="0"/>
        <v>30</v>
      </c>
      <c r="H7" s="21">
        <v>0</v>
      </c>
      <c r="I7" s="21">
        <v>0</v>
      </c>
      <c r="J7" s="21">
        <v>5</v>
      </c>
      <c r="K7" s="21">
        <v>7</v>
      </c>
      <c r="L7" s="21">
        <v>7</v>
      </c>
      <c r="M7" s="21">
        <v>8</v>
      </c>
      <c r="N7" s="21">
        <v>3</v>
      </c>
      <c r="O7" s="23">
        <f t="shared" si="1"/>
        <v>0.38709677419354838</v>
      </c>
      <c r="P7" s="24">
        <v>0.1013</v>
      </c>
      <c r="Q7" s="25">
        <v>82.44</v>
      </c>
      <c r="R7" s="20">
        <v>1152219</v>
      </c>
      <c r="S7" s="21">
        <v>10</v>
      </c>
      <c r="T7" s="22">
        <f t="shared" si="2"/>
        <v>20</v>
      </c>
      <c r="U7" s="21">
        <v>3096589</v>
      </c>
      <c r="V7" s="22">
        <f t="shared" si="3"/>
        <v>557386.02</v>
      </c>
      <c r="W7" s="22">
        <f t="shared" si="4"/>
        <v>247727.12</v>
      </c>
      <c r="X7" s="22">
        <f t="shared" si="5"/>
        <v>418039.51500000001</v>
      </c>
      <c r="Y7" s="21">
        <v>30000</v>
      </c>
      <c r="Z7" s="21">
        <v>36000</v>
      </c>
      <c r="AA7" s="21">
        <v>40172</v>
      </c>
      <c r="AB7" s="21">
        <v>1877</v>
      </c>
      <c r="AC7" s="21">
        <v>75000</v>
      </c>
      <c r="AD7" s="21">
        <v>96000</v>
      </c>
      <c r="AE7" s="21">
        <v>0</v>
      </c>
      <c r="AF7" s="21">
        <v>160000</v>
      </c>
      <c r="AG7" s="21">
        <v>24000</v>
      </c>
      <c r="AH7" s="21">
        <v>45000</v>
      </c>
      <c r="AI7" s="21">
        <v>24000</v>
      </c>
      <c r="AJ7" s="21">
        <v>18000</v>
      </c>
      <c r="AK7" s="21">
        <v>30000</v>
      </c>
      <c r="AL7" s="21">
        <v>24059</v>
      </c>
      <c r="AM7" s="22">
        <f t="shared" si="6"/>
        <v>4425913.6550000003</v>
      </c>
      <c r="AN7" s="22">
        <f t="shared" si="7"/>
        <v>497936</v>
      </c>
      <c r="AO7" s="22">
        <f t="shared" si="8"/>
        <v>4923849.6550000003</v>
      </c>
      <c r="AP7" s="21">
        <v>4878870</v>
      </c>
      <c r="AQ7" s="26">
        <f>SUM(AP3:AP14)</f>
        <v>68784379</v>
      </c>
      <c r="AR7" s="26">
        <f>AQ7-SUM(AO3:AO6)</f>
        <v>46759502.305</v>
      </c>
      <c r="AS7" s="27">
        <v>8</v>
      </c>
      <c r="AT7" s="28">
        <f t="shared" si="9"/>
        <v>5844937.788125</v>
      </c>
      <c r="AU7" s="29">
        <f t="shared" si="10"/>
        <v>921088.1331249997</v>
      </c>
      <c r="AV7" s="26">
        <f t="shared" si="11"/>
        <v>41835652.649999999</v>
      </c>
      <c r="AW7" s="30">
        <f t="shared" si="12"/>
        <v>0.39178555860771819</v>
      </c>
      <c r="AX7" s="31" t="str">
        <f t="shared" si="13"/>
        <v>✓ Within Budget</v>
      </c>
    </row>
    <row r="8" spans="1:50" ht="15.1" customHeight="1" x14ac:dyDescent="0.35">
      <c r="A8" s="32" t="s">
        <v>132</v>
      </c>
      <c r="B8" s="33">
        <v>2022</v>
      </c>
      <c r="C8" s="34">
        <v>30</v>
      </c>
      <c r="D8" s="34">
        <v>1</v>
      </c>
      <c r="E8" s="34">
        <v>1</v>
      </c>
      <c r="F8" s="34">
        <v>1</v>
      </c>
      <c r="G8" s="35">
        <f t="shared" si="0"/>
        <v>30</v>
      </c>
      <c r="H8" s="34">
        <v>1</v>
      </c>
      <c r="I8" s="34">
        <v>78126</v>
      </c>
      <c r="J8" s="34">
        <v>1</v>
      </c>
      <c r="K8" s="34">
        <v>8</v>
      </c>
      <c r="L8" s="34">
        <v>13</v>
      </c>
      <c r="M8" s="34">
        <v>6</v>
      </c>
      <c r="N8" s="34">
        <v>2</v>
      </c>
      <c r="O8" s="36">
        <f t="shared" si="1"/>
        <v>0.4</v>
      </c>
      <c r="P8" s="37">
        <v>0.1061</v>
      </c>
      <c r="Q8" s="38">
        <v>83.28</v>
      </c>
      <c r="R8" s="33">
        <v>1171888</v>
      </c>
      <c r="S8" s="34">
        <v>10</v>
      </c>
      <c r="T8" s="35">
        <f t="shared" si="2"/>
        <v>19</v>
      </c>
      <c r="U8" s="41">
        <v>4772318</v>
      </c>
      <c r="V8" s="35">
        <f t="shared" si="3"/>
        <v>859017.24</v>
      </c>
      <c r="W8" s="35">
        <f t="shared" si="4"/>
        <v>381785.44</v>
      </c>
      <c r="X8" s="35">
        <f t="shared" si="5"/>
        <v>644262.93000000005</v>
      </c>
      <c r="Y8" s="34">
        <v>32775</v>
      </c>
      <c r="Z8" s="34">
        <v>41400</v>
      </c>
      <c r="AA8" s="41">
        <v>65141</v>
      </c>
      <c r="AB8" s="41">
        <v>40030</v>
      </c>
      <c r="AC8" s="34">
        <v>75000</v>
      </c>
      <c r="AD8" s="34">
        <v>96000</v>
      </c>
      <c r="AE8" s="34">
        <v>45000</v>
      </c>
      <c r="AF8" s="34">
        <v>152000</v>
      </c>
      <c r="AG8" s="34">
        <v>22800</v>
      </c>
      <c r="AH8" s="34">
        <v>45000</v>
      </c>
      <c r="AI8" s="34">
        <v>24000</v>
      </c>
      <c r="AJ8" s="34">
        <v>18000</v>
      </c>
      <c r="AK8" s="41">
        <v>46575</v>
      </c>
      <c r="AL8" s="34">
        <v>7244</v>
      </c>
      <c r="AM8" s="35">
        <f t="shared" si="6"/>
        <v>6796699.6100000003</v>
      </c>
      <c r="AN8" s="35">
        <f t="shared" si="7"/>
        <v>571649</v>
      </c>
      <c r="AO8" s="35">
        <f t="shared" si="8"/>
        <v>7368348.6100000003</v>
      </c>
      <c r="AP8" s="34">
        <v>6134065</v>
      </c>
      <c r="AQ8" s="26">
        <f>SUM(AP3:AP14)</f>
        <v>68784379</v>
      </c>
      <c r="AR8" s="26">
        <f>AQ8-SUM(AO3:AO7)</f>
        <v>41835652.649999999</v>
      </c>
      <c r="AS8" s="39">
        <v>7</v>
      </c>
      <c r="AT8" s="28">
        <f t="shared" si="9"/>
        <v>5976521.8071428565</v>
      </c>
      <c r="AU8" s="29">
        <f t="shared" si="10"/>
        <v>-1391826.8028571438</v>
      </c>
      <c r="AV8" s="26">
        <f t="shared" si="11"/>
        <v>34467304.039999999</v>
      </c>
      <c r="AW8" s="30">
        <f t="shared" si="12"/>
        <v>0.49890797095078815</v>
      </c>
      <c r="AX8" s="31" t="str">
        <f t="shared" si="13"/>
        <v>⚠ Over Budget</v>
      </c>
    </row>
    <row r="9" spans="1:50" ht="15.1" customHeight="1" x14ac:dyDescent="0.35">
      <c r="A9" s="19" t="s">
        <v>133</v>
      </c>
      <c r="B9" s="20">
        <v>2022</v>
      </c>
      <c r="C9" s="21">
        <v>30</v>
      </c>
      <c r="D9" s="21">
        <v>0</v>
      </c>
      <c r="E9" s="21">
        <v>0</v>
      </c>
      <c r="F9" s="21">
        <v>0</v>
      </c>
      <c r="G9" s="22">
        <f t="shared" si="0"/>
        <v>30</v>
      </c>
      <c r="H9" s="21">
        <v>0</v>
      </c>
      <c r="I9" s="21">
        <v>0</v>
      </c>
      <c r="J9" s="21">
        <v>4</v>
      </c>
      <c r="K9" s="21">
        <v>6</v>
      </c>
      <c r="L9" s="21">
        <v>9</v>
      </c>
      <c r="M9" s="21">
        <v>8</v>
      </c>
      <c r="N9" s="21">
        <v>3</v>
      </c>
      <c r="O9" s="23">
        <f t="shared" si="1"/>
        <v>0</v>
      </c>
      <c r="P9" s="24">
        <v>0.1023</v>
      </c>
      <c r="Q9" s="25">
        <v>82.44</v>
      </c>
      <c r="R9" s="20">
        <v>1154118</v>
      </c>
      <c r="S9" s="21">
        <v>10</v>
      </c>
      <c r="T9" s="22">
        <f t="shared" si="2"/>
        <v>20</v>
      </c>
      <c r="U9" s="21">
        <v>3164207</v>
      </c>
      <c r="V9" s="22">
        <f t="shared" si="3"/>
        <v>569557.26</v>
      </c>
      <c r="W9" s="22">
        <f t="shared" si="4"/>
        <v>253136.56</v>
      </c>
      <c r="X9" s="22">
        <f t="shared" si="5"/>
        <v>427167.94500000001</v>
      </c>
      <c r="Y9" s="21">
        <v>34500</v>
      </c>
      <c r="Z9" s="21">
        <v>41400</v>
      </c>
      <c r="AA9" s="21">
        <v>45313</v>
      </c>
      <c r="AB9" s="21">
        <v>-12898</v>
      </c>
      <c r="AC9" s="21">
        <v>97500</v>
      </c>
      <c r="AD9" s="21">
        <v>96000</v>
      </c>
      <c r="AE9" s="21">
        <v>0</v>
      </c>
      <c r="AF9" s="21">
        <v>160000</v>
      </c>
      <c r="AG9" s="21">
        <v>24000</v>
      </c>
      <c r="AH9" s="21">
        <v>45000</v>
      </c>
      <c r="AI9" s="21">
        <v>24000</v>
      </c>
      <c r="AJ9" s="21">
        <v>18000</v>
      </c>
      <c r="AK9" s="21">
        <v>34500</v>
      </c>
      <c r="AL9" s="21">
        <v>18323</v>
      </c>
      <c r="AM9" s="22">
        <f t="shared" si="6"/>
        <v>4535281.7649999997</v>
      </c>
      <c r="AN9" s="22">
        <f t="shared" si="7"/>
        <v>504425</v>
      </c>
      <c r="AO9" s="22">
        <f t="shared" si="8"/>
        <v>5039706.7649999997</v>
      </c>
      <c r="AP9" s="21">
        <v>5901547</v>
      </c>
      <c r="AQ9" s="26">
        <f>SUM(AP3:AP14)</f>
        <v>68784379</v>
      </c>
      <c r="AR9" s="26">
        <f>AQ9-SUM(AO3:AO8)</f>
        <v>34467304.039999999</v>
      </c>
      <c r="AS9" s="27">
        <v>6</v>
      </c>
      <c r="AT9" s="28">
        <f t="shared" si="9"/>
        <v>5744550.6733333329</v>
      </c>
      <c r="AU9" s="29">
        <f t="shared" si="10"/>
        <v>704843.90833333321</v>
      </c>
      <c r="AV9" s="26">
        <f t="shared" si="11"/>
        <v>29427597.274999999</v>
      </c>
      <c r="AW9" s="30">
        <f t="shared" si="12"/>
        <v>0.57217615826698098</v>
      </c>
      <c r="AX9" s="31" t="str">
        <f t="shared" si="13"/>
        <v>✓ Within Budget</v>
      </c>
    </row>
    <row r="10" spans="1:50" ht="15.1" customHeight="1" x14ac:dyDescent="0.35">
      <c r="A10" s="32" t="s">
        <v>134</v>
      </c>
      <c r="B10" s="33">
        <v>2022</v>
      </c>
      <c r="C10" s="34">
        <v>30</v>
      </c>
      <c r="D10" s="34">
        <v>0</v>
      </c>
      <c r="E10" s="34">
        <v>0</v>
      </c>
      <c r="F10" s="34">
        <v>0</v>
      </c>
      <c r="G10" s="35">
        <f t="shared" si="0"/>
        <v>30</v>
      </c>
      <c r="H10" s="34">
        <v>0</v>
      </c>
      <c r="I10" s="34">
        <v>0</v>
      </c>
      <c r="J10" s="34">
        <v>2</v>
      </c>
      <c r="K10" s="34">
        <v>7</v>
      </c>
      <c r="L10" s="34">
        <v>12</v>
      </c>
      <c r="M10" s="34">
        <v>6</v>
      </c>
      <c r="N10" s="34">
        <v>3</v>
      </c>
      <c r="O10" s="36">
        <f t="shared" si="1"/>
        <v>0</v>
      </c>
      <c r="P10" s="37">
        <v>9.7600000000000006E-2</v>
      </c>
      <c r="Q10" s="38">
        <v>82.97</v>
      </c>
      <c r="R10" s="33">
        <v>1161870</v>
      </c>
      <c r="S10" s="34">
        <v>10</v>
      </c>
      <c r="T10" s="35">
        <f t="shared" si="2"/>
        <v>20</v>
      </c>
      <c r="U10" s="34">
        <v>3175778</v>
      </c>
      <c r="V10" s="35">
        <f t="shared" si="3"/>
        <v>571640.03999999992</v>
      </c>
      <c r="W10" s="35">
        <f t="shared" si="4"/>
        <v>254062.24000000002</v>
      </c>
      <c r="X10" s="35">
        <f t="shared" si="5"/>
        <v>428730.03</v>
      </c>
      <c r="Y10" s="34">
        <v>33600</v>
      </c>
      <c r="Z10" s="34">
        <v>40320</v>
      </c>
      <c r="AA10" s="34">
        <v>52209</v>
      </c>
      <c r="AB10" s="34">
        <v>-771</v>
      </c>
      <c r="AC10" s="34">
        <v>75000</v>
      </c>
      <c r="AD10" s="34">
        <v>96000</v>
      </c>
      <c r="AE10" s="34">
        <v>0</v>
      </c>
      <c r="AF10" s="34">
        <v>160000</v>
      </c>
      <c r="AG10" s="34">
        <v>24000</v>
      </c>
      <c r="AH10" s="34">
        <v>45000</v>
      </c>
      <c r="AI10" s="34">
        <v>24000</v>
      </c>
      <c r="AJ10" s="34">
        <v>18000</v>
      </c>
      <c r="AK10" s="34">
        <v>33600</v>
      </c>
      <c r="AL10" s="34">
        <v>21892</v>
      </c>
      <c r="AM10" s="35">
        <f t="shared" si="6"/>
        <v>4556339.3100000005</v>
      </c>
      <c r="AN10" s="35">
        <f t="shared" si="7"/>
        <v>496721</v>
      </c>
      <c r="AO10" s="35">
        <f t="shared" si="8"/>
        <v>5053060.3100000005</v>
      </c>
      <c r="AP10" s="34">
        <v>5711167</v>
      </c>
      <c r="AQ10" s="26">
        <f>SUM(AP3:AP14)</f>
        <v>68784379</v>
      </c>
      <c r="AR10" s="26">
        <f>AQ10-SUM(AO3:AO9)</f>
        <v>29427597.274999999</v>
      </c>
      <c r="AS10" s="39">
        <v>5</v>
      </c>
      <c r="AT10" s="28">
        <f t="shared" si="9"/>
        <v>5885519.4550000001</v>
      </c>
      <c r="AU10" s="29">
        <f t="shared" si="10"/>
        <v>832459.14499999955</v>
      </c>
      <c r="AV10" s="26">
        <f t="shared" si="11"/>
        <v>24374536.964999996</v>
      </c>
      <c r="AW10" s="30">
        <f t="shared" si="12"/>
        <v>0.64563848188554562</v>
      </c>
      <c r="AX10" s="31" t="str">
        <f t="shared" si="13"/>
        <v>✓ Within Budget</v>
      </c>
    </row>
    <row r="11" spans="1:50" ht="15.1" customHeight="1" x14ac:dyDescent="0.35">
      <c r="A11" s="19" t="s">
        <v>135</v>
      </c>
      <c r="B11" s="20">
        <v>2022</v>
      </c>
      <c r="C11" s="21">
        <v>30</v>
      </c>
      <c r="D11" s="21">
        <v>2</v>
      </c>
      <c r="E11" s="21">
        <v>1</v>
      </c>
      <c r="F11" s="21">
        <v>1</v>
      </c>
      <c r="G11" s="22">
        <f t="shared" si="0"/>
        <v>31</v>
      </c>
      <c r="H11" s="21">
        <v>0</v>
      </c>
      <c r="I11" s="21">
        <v>0</v>
      </c>
      <c r="J11" s="21">
        <v>3</v>
      </c>
      <c r="K11" s="21">
        <v>10</v>
      </c>
      <c r="L11" s="21">
        <v>8</v>
      </c>
      <c r="M11" s="21">
        <v>7</v>
      </c>
      <c r="N11" s="21">
        <v>3</v>
      </c>
      <c r="O11" s="23">
        <f t="shared" si="1"/>
        <v>0.4</v>
      </c>
      <c r="P11" s="24">
        <v>0.1022</v>
      </c>
      <c r="Q11" s="25">
        <v>83.26</v>
      </c>
      <c r="R11" s="20">
        <v>1166640</v>
      </c>
      <c r="S11" s="21">
        <v>11</v>
      </c>
      <c r="T11" s="22">
        <f t="shared" si="2"/>
        <v>20</v>
      </c>
      <c r="U11" s="21">
        <v>3222843</v>
      </c>
      <c r="V11" s="22">
        <f t="shared" si="3"/>
        <v>580111.74</v>
      </c>
      <c r="W11" s="22">
        <f t="shared" si="4"/>
        <v>257827.44</v>
      </c>
      <c r="X11" s="22">
        <f t="shared" si="5"/>
        <v>435083.80500000005</v>
      </c>
      <c r="Y11" s="21">
        <v>30000</v>
      </c>
      <c r="Z11" s="21">
        <v>37200</v>
      </c>
      <c r="AA11" s="21">
        <v>61468</v>
      </c>
      <c r="AB11" s="21">
        <v>65717</v>
      </c>
      <c r="AC11" s="21">
        <v>77500</v>
      </c>
      <c r="AD11" s="21">
        <v>99200</v>
      </c>
      <c r="AE11" s="21">
        <v>90000</v>
      </c>
      <c r="AF11" s="21">
        <v>160000</v>
      </c>
      <c r="AG11" s="21">
        <v>24000</v>
      </c>
      <c r="AH11" s="21">
        <v>46500</v>
      </c>
      <c r="AI11" s="21">
        <v>24800</v>
      </c>
      <c r="AJ11" s="21">
        <v>18600</v>
      </c>
      <c r="AK11" s="21">
        <v>31000</v>
      </c>
      <c r="AL11" s="21">
        <v>14393</v>
      </c>
      <c r="AM11" s="22">
        <f t="shared" si="6"/>
        <v>4624533.9850000003</v>
      </c>
      <c r="AN11" s="22">
        <f t="shared" si="7"/>
        <v>651710</v>
      </c>
      <c r="AO11" s="22">
        <f t="shared" si="8"/>
        <v>5276243.9850000003</v>
      </c>
      <c r="AP11" s="21">
        <v>5438266</v>
      </c>
      <c r="AQ11" s="26">
        <f>SUM(AP3:AP14)</f>
        <v>68784379</v>
      </c>
      <c r="AR11" s="26">
        <f>AQ11-SUM(AO3:AO10)</f>
        <v>24374536.964999996</v>
      </c>
      <c r="AS11" s="27">
        <v>4</v>
      </c>
      <c r="AT11" s="28">
        <f t="shared" si="9"/>
        <v>6093634.241249999</v>
      </c>
      <c r="AU11" s="29">
        <f t="shared" si="10"/>
        <v>817390.2562499987</v>
      </c>
      <c r="AV11" s="26">
        <f t="shared" si="11"/>
        <v>19098292.979999997</v>
      </c>
      <c r="AW11" s="30">
        <f t="shared" si="12"/>
        <v>0.72234549097259426</v>
      </c>
      <c r="AX11" s="31" t="str">
        <f t="shared" si="13"/>
        <v>✓ Within Budget</v>
      </c>
    </row>
    <row r="12" spans="1:50" ht="15.1" customHeight="1" x14ac:dyDescent="0.35">
      <c r="A12" s="32" t="s">
        <v>136</v>
      </c>
      <c r="B12" s="33">
        <v>2023</v>
      </c>
      <c r="C12" s="34">
        <v>31</v>
      </c>
      <c r="D12" s="34">
        <v>3</v>
      </c>
      <c r="E12" s="34">
        <v>0</v>
      </c>
      <c r="F12" s="34">
        <v>0</v>
      </c>
      <c r="G12" s="35">
        <f t="shared" si="0"/>
        <v>34</v>
      </c>
      <c r="H12" s="34">
        <v>1</v>
      </c>
      <c r="I12" s="34">
        <v>79685</v>
      </c>
      <c r="J12" s="34">
        <v>3</v>
      </c>
      <c r="K12" s="34">
        <v>7</v>
      </c>
      <c r="L12" s="34">
        <v>15</v>
      </c>
      <c r="M12" s="34">
        <v>6</v>
      </c>
      <c r="N12" s="34">
        <v>3</v>
      </c>
      <c r="O12" s="36">
        <f t="shared" si="1"/>
        <v>0</v>
      </c>
      <c r="P12" s="37">
        <v>0.1179</v>
      </c>
      <c r="Q12" s="38">
        <v>83.51</v>
      </c>
      <c r="R12" s="33">
        <v>1195277</v>
      </c>
      <c r="S12" s="34">
        <v>12</v>
      </c>
      <c r="T12" s="35">
        <f t="shared" si="2"/>
        <v>21</v>
      </c>
      <c r="U12" s="41">
        <v>5358625</v>
      </c>
      <c r="V12" s="35">
        <f t="shared" si="3"/>
        <v>964552.5</v>
      </c>
      <c r="W12" s="35">
        <f t="shared" si="4"/>
        <v>428690</v>
      </c>
      <c r="X12" s="35">
        <f t="shared" si="5"/>
        <v>723414.375</v>
      </c>
      <c r="Y12" s="34">
        <v>34020</v>
      </c>
      <c r="Z12" s="34">
        <v>44064</v>
      </c>
      <c r="AA12" s="41">
        <v>81949</v>
      </c>
      <c r="AB12" s="41">
        <v>153744</v>
      </c>
      <c r="AC12" s="34">
        <v>85000</v>
      </c>
      <c r="AD12" s="34">
        <v>108800</v>
      </c>
      <c r="AE12" s="34">
        <v>135000</v>
      </c>
      <c r="AF12" s="34">
        <v>168000</v>
      </c>
      <c r="AG12" s="34">
        <v>25200</v>
      </c>
      <c r="AH12" s="34">
        <v>51000</v>
      </c>
      <c r="AI12" s="34">
        <v>27200</v>
      </c>
      <c r="AJ12" s="34">
        <v>20400</v>
      </c>
      <c r="AK12" s="41">
        <v>49572</v>
      </c>
      <c r="AL12" s="34">
        <v>15053</v>
      </c>
      <c r="AM12" s="35">
        <f t="shared" si="6"/>
        <v>7635314.875</v>
      </c>
      <c r="AN12" s="35">
        <f t="shared" si="7"/>
        <v>838969</v>
      </c>
      <c r="AO12" s="35">
        <f t="shared" si="8"/>
        <v>8474283.875</v>
      </c>
      <c r="AP12" s="34">
        <v>6634865</v>
      </c>
      <c r="AQ12" s="26">
        <f>SUM(AP3:AP14)</f>
        <v>68784379</v>
      </c>
      <c r="AR12" s="26">
        <f>AQ12-SUM(AO3:AO11)</f>
        <v>19098292.979999997</v>
      </c>
      <c r="AS12" s="39">
        <v>3</v>
      </c>
      <c r="AT12" s="28">
        <f t="shared" si="9"/>
        <v>6366097.6599999992</v>
      </c>
      <c r="AU12" s="29">
        <f t="shared" si="10"/>
        <v>-2108186.2150000008</v>
      </c>
      <c r="AV12" s="26">
        <f t="shared" si="11"/>
        <v>10624009.104999997</v>
      </c>
      <c r="AW12" s="30">
        <f t="shared" si="12"/>
        <v>0.84554619436194955</v>
      </c>
      <c r="AX12" s="31" t="str">
        <f t="shared" si="13"/>
        <v>⚠ Over Budget</v>
      </c>
    </row>
    <row r="13" spans="1:50" ht="15.1" customHeight="1" x14ac:dyDescent="0.35">
      <c r="A13" s="19" t="s">
        <v>137</v>
      </c>
      <c r="B13" s="20">
        <v>2023</v>
      </c>
      <c r="C13" s="21">
        <v>34</v>
      </c>
      <c r="D13" s="21">
        <v>1</v>
      </c>
      <c r="E13" s="21">
        <v>1</v>
      </c>
      <c r="F13" s="21">
        <v>1</v>
      </c>
      <c r="G13" s="22">
        <f t="shared" si="0"/>
        <v>34</v>
      </c>
      <c r="H13" s="21">
        <v>0</v>
      </c>
      <c r="I13" s="21">
        <v>0</v>
      </c>
      <c r="J13" s="21">
        <v>4</v>
      </c>
      <c r="K13" s="21">
        <v>10</v>
      </c>
      <c r="L13" s="21">
        <v>9</v>
      </c>
      <c r="M13" s="21">
        <v>7</v>
      </c>
      <c r="N13" s="21">
        <v>4</v>
      </c>
      <c r="O13" s="23">
        <f t="shared" si="1"/>
        <v>0.3529411764705882</v>
      </c>
      <c r="P13" s="24">
        <v>9.7799999999999998E-2</v>
      </c>
      <c r="Q13" s="25">
        <v>83.34</v>
      </c>
      <c r="R13" s="20">
        <v>1209994</v>
      </c>
      <c r="S13" s="21">
        <v>12</v>
      </c>
      <c r="T13" s="22">
        <f t="shared" si="2"/>
        <v>22</v>
      </c>
      <c r="U13" s="21">
        <v>3690482</v>
      </c>
      <c r="V13" s="22">
        <f t="shared" si="3"/>
        <v>664286.76</v>
      </c>
      <c r="W13" s="22">
        <f t="shared" si="4"/>
        <v>295238.56</v>
      </c>
      <c r="X13" s="22">
        <f t="shared" si="5"/>
        <v>498215.07</v>
      </c>
      <c r="Y13" s="21">
        <v>35640</v>
      </c>
      <c r="Z13" s="21">
        <v>44064</v>
      </c>
      <c r="AA13" s="21">
        <v>53061</v>
      </c>
      <c r="AB13" s="21">
        <v>43670</v>
      </c>
      <c r="AC13" s="21">
        <v>85000</v>
      </c>
      <c r="AD13" s="21">
        <v>108800</v>
      </c>
      <c r="AE13" s="21">
        <v>45000</v>
      </c>
      <c r="AF13" s="21">
        <v>176000</v>
      </c>
      <c r="AG13" s="21">
        <v>26400</v>
      </c>
      <c r="AH13" s="21">
        <v>51000</v>
      </c>
      <c r="AI13" s="21">
        <v>27200</v>
      </c>
      <c r="AJ13" s="21">
        <v>20400</v>
      </c>
      <c r="AK13" s="21">
        <v>36720</v>
      </c>
      <c r="AL13" s="21">
        <v>12933</v>
      </c>
      <c r="AM13" s="22">
        <f t="shared" si="6"/>
        <v>5280987.3899999997</v>
      </c>
      <c r="AN13" s="22">
        <f t="shared" si="7"/>
        <v>633123</v>
      </c>
      <c r="AO13" s="22">
        <f t="shared" si="8"/>
        <v>5914110.3899999997</v>
      </c>
      <c r="AP13" s="21">
        <v>6372908</v>
      </c>
      <c r="AQ13" s="26">
        <f>SUM(AP3:AP14)</f>
        <v>68784379</v>
      </c>
      <c r="AR13" s="26">
        <f>AQ13-SUM(AO3:AO12)</f>
        <v>10624009.104999997</v>
      </c>
      <c r="AS13" s="27">
        <v>2</v>
      </c>
      <c r="AT13" s="28">
        <f t="shared" si="9"/>
        <v>5312004.5524999984</v>
      </c>
      <c r="AU13" s="29">
        <f t="shared" si="10"/>
        <v>-602105.8375000013</v>
      </c>
      <c r="AV13" s="26">
        <f t="shared" si="11"/>
        <v>4709898.7149999971</v>
      </c>
      <c r="AW13" s="30">
        <f t="shared" si="12"/>
        <v>0.93152662299967848</v>
      </c>
      <c r="AX13" s="31" t="str">
        <f t="shared" si="13"/>
        <v>⚠ Over Budget</v>
      </c>
    </row>
    <row r="14" spans="1:50" ht="15.1" customHeight="1" x14ac:dyDescent="0.35">
      <c r="A14" s="32" t="s">
        <v>138</v>
      </c>
      <c r="B14" s="33">
        <v>2023</v>
      </c>
      <c r="C14" s="34">
        <v>34</v>
      </c>
      <c r="D14" s="34">
        <v>2</v>
      </c>
      <c r="E14" s="34">
        <v>1</v>
      </c>
      <c r="F14" s="34">
        <v>1</v>
      </c>
      <c r="G14" s="35">
        <f t="shared" si="0"/>
        <v>35</v>
      </c>
      <c r="H14" s="34">
        <v>0</v>
      </c>
      <c r="I14" s="34">
        <v>0</v>
      </c>
      <c r="J14" s="34">
        <v>2</v>
      </c>
      <c r="K14" s="34">
        <v>9</v>
      </c>
      <c r="L14" s="34">
        <v>15</v>
      </c>
      <c r="M14" s="34">
        <v>8</v>
      </c>
      <c r="N14" s="34">
        <v>1</v>
      </c>
      <c r="O14" s="36">
        <f t="shared" si="1"/>
        <v>0.3529411764705882</v>
      </c>
      <c r="P14" s="37">
        <v>9.7199999999999995E-2</v>
      </c>
      <c r="Q14" s="38">
        <v>83.65</v>
      </c>
      <c r="R14" s="33">
        <v>1195707</v>
      </c>
      <c r="S14" s="34">
        <v>12</v>
      </c>
      <c r="T14" s="35">
        <f t="shared" si="2"/>
        <v>23</v>
      </c>
      <c r="U14" s="34">
        <v>3626978</v>
      </c>
      <c r="V14" s="35">
        <f t="shared" si="3"/>
        <v>652856.03999999992</v>
      </c>
      <c r="W14" s="35">
        <f t="shared" si="4"/>
        <v>290158.24</v>
      </c>
      <c r="X14" s="35">
        <f t="shared" si="5"/>
        <v>489642.03</v>
      </c>
      <c r="Y14" s="34">
        <v>36570</v>
      </c>
      <c r="Z14" s="34">
        <v>44520</v>
      </c>
      <c r="AA14" s="34">
        <v>44469</v>
      </c>
      <c r="AB14" s="34">
        <v>65582</v>
      </c>
      <c r="AC14" s="34">
        <v>87500</v>
      </c>
      <c r="AD14" s="34">
        <v>112000</v>
      </c>
      <c r="AE14" s="34">
        <v>90000</v>
      </c>
      <c r="AF14" s="34">
        <v>184000</v>
      </c>
      <c r="AG14" s="34">
        <v>27600</v>
      </c>
      <c r="AH14" s="34">
        <v>52500</v>
      </c>
      <c r="AI14" s="34">
        <v>28000</v>
      </c>
      <c r="AJ14" s="34">
        <v>21000</v>
      </c>
      <c r="AK14" s="34">
        <v>37100</v>
      </c>
      <c r="AL14" s="34">
        <v>18064</v>
      </c>
      <c r="AM14" s="35">
        <f t="shared" si="6"/>
        <v>5185193.3100000005</v>
      </c>
      <c r="AN14" s="35">
        <f t="shared" si="7"/>
        <v>723346</v>
      </c>
      <c r="AO14" s="35">
        <f t="shared" si="8"/>
        <v>5908539.3100000005</v>
      </c>
      <c r="AP14" s="34">
        <v>6561735</v>
      </c>
      <c r="AQ14" s="26">
        <f>SUM(AP3:AP14)</f>
        <v>68784379</v>
      </c>
      <c r="AR14" s="26">
        <f>AQ14-SUM(AO3:AO13)</f>
        <v>4709898.7149999961</v>
      </c>
      <c r="AS14" s="39">
        <v>1</v>
      </c>
      <c r="AT14" s="28">
        <f t="shared" si="9"/>
        <v>4709898.7149999961</v>
      </c>
      <c r="AU14" s="29">
        <f t="shared" si="10"/>
        <v>-1198640.5950000044</v>
      </c>
      <c r="AV14" s="26">
        <f t="shared" si="11"/>
        <v>-1198640.5950000044</v>
      </c>
      <c r="AW14" s="30">
        <f t="shared" si="12"/>
        <v>1.0174260582479053</v>
      </c>
      <c r="AX14" s="31" t="str">
        <f t="shared" si="13"/>
        <v>⚠ Over Budget</v>
      </c>
    </row>
    <row r="15" spans="1:50" ht="15.1" customHeight="1" x14ac:dyDescent="0.35">
      <c r="A15" s="19" t="s">
        <v>139</v>
      </c>
      <c r="B15" s="20">
        <v>2023</v>
      </c>
      <c r="C15" s="21">
        <v>35</v>
      </c>
      <c r="D15" s="21">
        <v>0</v>
      </c>
      <c r="E15" s="21">
        <v>1</v>
      </c>
      <c r="F15" s="21">
        <v>1</v>
      </c>
      <c r="G15" s="22">
        <f t="shared" si="0"/>
        <v>34</v>
      </c>
      <c r="H15" s="21">
        <v>1</v>
      </c>
      <c r="I15" s="21">
        <v>79367</v>
      </c>
      <c r="J15" s="21">
        <v>3</v>
      </c>
      <c r="K15" s="21">
        <v>8</v>
      </c>
      <c r="L15" s="21">
        <v>13</v>
      </c>
      <c r="M15" s="21">
        <v>7</v>
      </c>
      <c r="N15" s="21">
        <v>3</v>
      </c>
      <c r="O15" s="23">
        <f t="shared" si="1"/>
        <v>0.34285714285714286</v>
      </c>
      <c r="P15" s="24">
        <v>0.1091</v>
      </c>
      <c r="Q15" s="25">
        <v>83.59</v>
      </c>
      <c r="R15" s="20">
        <v>1190504</v>
      </c>
      <c r="S15" s="21">
        <v>12</v>
      </c>
      <c r="T15" s="22">
        <f t="shared" si="2"/>
        <v>21</v>
      </c>
      <c r="U15" s="21">
        <v>3626077</v>
      </c>
      <c r="V15" s="22">
        <f t="shared" si="3"/>
        <v>652693.86</v>
      </c>
      <c r="W15" s="22">
        <f t="shared" si="4"/>
        <v>290086.16000000003</v>
      </c>
      <c r="X15" s="22">
        <f t="shared" si="5"/>
        <v>489520.39500000002</v>
      </c>
      <c r="Y15" s="21">
        <v>34650</v>
      </c>
      <c r="Z15" s="21">
        <v>44880</v>
      </c>
      <c r="AA15" s="21">
        <v>67302</v>
      </c>
      <c r="AB15" s="21">
        <v>4113</v>
      </c>
      <c r="AC15" s="21">
        <v>110500</v>
      </c>
      <c r="AD15" s="21">
        <v>108800</v>
      </c>
      <c r="AE15" s="21">
        <v>0</v>
      </c>
      <c r="AF15" s="21">
        <v>168000</v>
      </c>
      <c r="AG15" s="21">
        <v>25200</v>
      </c>
      <c r="AH15" s="21">
        <v>51000</v>
      </c>
      <c r="AI15" s="21">
        <v>27200</v>
      </c>
      <c r="AJ15" s="21">
        <v>20400</v>
      </c>
      <c r="AK15" s="21">
        <v>37400</v>
      </c>
      <c r="AL15" s="21">
        <v>10694</v>
      </c>
      <c r="AM15" s="22">
        <f t="shared" si="6"/>
        <v>5205209.415000001</v>
      </c>
      <c r="AN15" s="22">
        <f t="shared" si="7"/>
        <v>563307</v>
      </c>
      <c r="AO15" s="22">
        <f t="shared" si="8"/>
        <v>5768516.415000001</v>
      </c>
      <c r="AP15" s="21">
        <v>6531265</v>
      </c>
      <c r="AQ15" s="26">
        <f>SUM(AP15:AP26)</f>
        <v>90549557</v>
      </c>
      <c r="AR15" s="26">
        <f>AQ15</f>
        <v>90549557</v>
      </c>
      <c r="AS15" s="27">
        <v>12</v>
      </c>
      <c r="AT15" s="28">
        <f t="shared" si="9"/>
        <v>7545796.416666667</v>
      </c>
      <c r="AU15" s="29">
        <f t="shared" si="10"/>
        <v>1777280.001666666</v>
      </c>
      <c r="AV15" s="26">
        <f t="shared" si="11"/>
        <v>84781040.584999993</v>
      </c>
      <c r="AW15" s="30">
        <f t="shared" si="12"/>
        <v>6.3705628234050959E-2</v>
      </c>
      <c r="AX15" s="31" t="str">
        <f t="shared" si="13"/>
        <v>✓ Within Budget</v>
      </c>
    </row>
    <row r="16" spans="1:50" ht="15.1" customHeight="1" x14ac:dyDescent="0.35">
      <c r="A16" s="32" t="s">
        <v>140</v>
      </c>
      <c r="B16" s="33">
        <v>2023</v>
      </c>
      <c r="C16" s="34">
        <v>34</v>
      </c>
      <c r="D16" s="34">
        <v>4</v>
      </c>
      <c r="E16" s="34">
        <v>0</v>
      </c>
      <c r="F16" s="34">
        <v>0</v>
      </c>
      <c r="G16" s="35">
        <f t="shared" si="0"/>
        <v>38</v>
      </c>
      <c r="H16" s="34">
        <v>1</v>
      </c>
      <c r="I16" s="34">
        <v>81063</v>
      </c>
      <c r="J16" s="34">
        <v>3</v>
      </c>
      <c r="K16" s="34">
        <v>9</v>
      </c>
      <c r="L16" s="34">
        <v>15</v>
      </c>
      <c r="M16" s="34">
        <v>8</v>
      </c>
      <c r="N16" s="34">
        <v>3</v>
      </c>
      <c r="O16" s="36">
        <f t="shared" si="1"/>
        <v>0</v>
      </c>
      <c r="P16" s="37">
        <v>8.8400000000000006E-2</v>
      </c>
      <c r="Q16" s="38">
        <v>84.06</v>
      </c>
      <c r="R16" s="33">
        <v>1215949</v>
      </c>
      <c r="S16" s="34">
        <v>13</v>
      </c>
      <c r="T16" s="35">
        <f t="shared" si="2"/>
        <v>24</v>
      </c>
      <c r="U16" s="41">
        <v>6400198</v>
      </c>
      <c r="V16" s="35">
        <f t="shared" si="3"/>
        <v>1152035.6399999999</v>
      </c>
      <c r="W16" s="35">
        <f t="shared" si="4"/>
        <v>512015.84</v>
      </c>
      <c r="X16" s="35">
        <f t="shared" si="5"/>
        <v>864026.7300000001</v>
      </c>
      <c r="Y16" s="34">
        <v>39600</v>
      </c>
      <c r="Z16" s="34">
        <v>50160</v>
      </c>
      <c r="AA16" s="41">
        <v>93142</v>
      </c>
      <c r="AB16" s="41">
        <v>179275</v>
      </c>
      <c r="AC16" s="34">
        <v>123500</v>
      </c>
      <c r="AD16" s="34">
        <v>121600</v>
      </c>
      <c r="AE16" s="34">
        <v>180000</v>
      </c>
      <c r="AF16" s="34">
        <v>192000</v>
      </c>
      <c r="AG16" s="34">
        <v>28800</v>
      </c>
      <c r="AH16" s="34">
        <v>57000</v>
      </c>
      <c r="AI16" s="34">
        <v>30400</v>
      </c>
      <c r="AJ16" s="34">
        <v>22800</v>
      </c>
      <c r="AK16" s="41">
        <v>56430</v>
      </c>
      <c r="AL16" s="34">
        <v>42986</v>
      </c>
      <c r="AM16" s="35">
        <f t="shared" si="6"/>
        <v>9111178.209999999</v>
      </c>
      <c r="AN16" s="35">
        <f t="shared" si="7"/>
        <v>1034791</v>
      </c>
      <c r="AO16" s="35">
        <f t="shared" si="8"/>
        <v>10145969.209999999</v>
      </c>
      <c r="AP16" s="34">
        <v>7242210</v>
      </c>
      <c r="AQ16" s="26">
        <f>SUM(AP15:AP26)</f>
        <v>90549557</v>
      </c>
      <c r="AR16" s="26">
        <f>AQ16-SUM(AO15:AO15)</f>
        <v>84781040.584999993</v>
      </c>
      <c r="AS16" s="39">
        <v>11</v>
      </c>
      <c r="AT16" s="28">
        <f t="shared" si="9"/>
        <v>7707367.3259090902</v>
      </c>
      <c r="AU16" s="29">
        <f t="shared" si="10"/>
        <v>-2438601.8840909088</v>
      </c>
      <c r="AV16" s="26">
        <f t="shared" si="11"/>
        <v>74635071.375</v>
      </c>
      <c r="AW16" s="30">
        <f t="shared" si="12"/>
        <v>0.17575442831818602</v>
      </c>
      <c r="AX16" s="31" t="str">
        <f t="shared" si="13"/>
        <v>⚠ Over Budget</v>
      </c>
    </row>
    <row r="17" spans="1:50" ht="15.1" customHeight="1" x14ac:dyDescent="0.35">
      <c r="A17" s="19" t="s">
        <v>141</v>
      </c>
      <c r="B17" s="20">
        <v>2023</v>
      </c>
      <c r="C17" s="21">
        <v>38</v>
      </c>
      <c r="D17" s="21">
        <v>0</v>
      </c>
      <c r="E17" s="21">
        <v>1</v>
      </c>
      <c r="F17" s="21">
        <v>1</v>
      </c>
      <c r="G17" s="22">
        <f t="shared" si="0"/>
        <v>37</v>
      </c>
      <c r="H17" s="21">
        <v>1</v>
      </c>
      <c r="I17" s="21">
        <v>81457</v>
      </c>
      <c r="J17" s="21">
        <v>2</v>
      </c>
      <c r="K17" s="21">
        <v>11</v>
      </c>
      <c r="L17" s="21">
        <v>11</v>
      </c>
      <c r="M17" s="21">
        <v>9</v>
      </c>
      <c r="N17" s="21">
        <v>4</v>
      </c>
      <c r="O17" s="23">
        <f t="shared" si="1"/>
        <v>0.31578947368421051</v>
      </c>
      <c r="P17" s="24">
        <v>0.1111</v>
      </c>
      <c r="Q17" s="25">
        <v>84.53</v>
      </c>
      <c r="R17" s="20">
        <v>1221856</v>
      </c>
      <c r="S17" s="21">
        <v>13</v>
      </c>
      <c r="T17" s="22">
        <f t="shared" si="2"/>
        <v>23</v>
      </c>
      <c r="U17" s="21">
        <v>4184857</v>
      </c>
      <c r="V17" s="22">
        <f t="shared" si="3"/>
        <v>753274.26</v>
      </c>
      <c r="W17" s="22">
        <f t="shared" si="4"/>
        <v>334788.56</v>
      </c>
      <c r="X17" s="22">
        <f t="shared" si="5"/>
        <v>564955.69500000007</v>
      </c>
      <c r="Y17" s="21">
        <v>36225</v>
      </c>
      <c r="Z17" s="21">
        <v>46620</v>
      </c>
      <c r="AA17" s="21">
        <v>92130</v>
      </c>
      <c r="AB17" s="21">
        <v>-5621</v>
      </c>
      <c r="AC17" s="21">
        <v>92500</v>
      </c>
      <c r="AD17" s="21">
        <v>118400</v>
      </c>
      <c r="AE17" s="21">
        <v>0</v>
      </c>
      <c r="AF17" s="21">
        <v>184000</v>
      </c>
      <c r="AG17" s="21">
        <v>27600</v>
      </c>
      <c r="AH17" s="21">
        <v>55500</v>
      </c>
      <c r="AI17" s="21">
        <v>29600</v>
      </c>
      <c r="AJ17" s="21">
        <v>22200</v>
      </c>
      <c r="AK17" s="21">
        <v>38850</v>
      </c>
      <c r="AL17" s="21">
        <v>15991</v>
      </c>
      <c r="AM17" s="22">
        <f t="shared" si="6"/>
        <v>6012850.5149999997</v>
      </c>
      <c r="AN17" s="22">
        <f t="shared" si="7"/>
        <v>579020</v>
      </c>
      <c r="AO17" s="22">
        <f t="shared" si="8"/>
        <v>6591870.5149999997</v>
      </c>
      <c r="AP17" s="21">
        <v>7315394</v>
      </c>
      <c r="AQ17" s="26">
        <f>SUM(AP15:AP26)</f>
        <v>90549557</v>
      </c>
      <c r="AR17" s="26">
        <f>AQ17-SUM(AO15:AO16)</f>
        <v>74635071.375</v>
      </c>
      <c r="AS17" s="27">
        <v>10</v>
      </c>
      <c r="AT17" s="28">
        <f t="shared" si="9"/>
        <v>7463507.1375000002</v>
      </c>
      <c r="AU17" s="29">
        <f t="shared" si="10"/>
        <v>871636.62250000052</v>
      </c>
      <c r="AV17" s="26">
        <f t="shared" si="11"/>
        <v>68043200.859999999</v>
      </c>
      <c r="AW17" s="30">
        <f t="shared" si="12"/>
        <v>0.24855291274368135</v>
      </c>
      <c r="AX17" s="31" t="str">
        <f t="shared" si="13"/>
        <v>✓ Within Budget</v>
      </c>
    </row>
    <row r="18" spans="1:50" ht="15.1" customHeight="1" x14ac:dyDescent="0.35">
      <c r="A18" s="32" t="s">
        <v>142</v>
      </c>
      <c r="B18" s="33">
        <v>2023</v>
      </c>
      <c r="C18" s="34">
        <v>37</v>
      </c>
      <c r="D18" s="34">
        <v>0</v>
      </c>
      <c r="E18" s="34">
        <v>0</v>
      </c>
      <c r="F18" s="34">
        <v>0</v>
      </c>
      <c r="G18" s="35">
        <f t="shared" si="0"/>
        <v>37</v>
      </c>
      <c r="H18" s="34">
        <v>1</v>
      </c>
      <c r="I18" s="34">
        <v>81665</v>
      </c>
      <c r="J18" s="34">
        <v>3</v>
      </c>
      <c r="K18" s="34">
        <v>10</v>
      </c>
      <c r="L18" s="34">
        <v>12</v>
      </c>
      <c r="M18" s="34">
        <v>8</v>
      </c>
      <c r="N18" s="34">
        <v>4</v>
      </c>
      <c r="O18" s="36">
        <f t="shared" si="1"/>
        <v>0</v>
      </c>
      <c r="P18" s="37">
        <v>0.1075</v>
      </c>
      <c r="Q18" s="38">
        <v>84.2</v>
      </c>
      <c r="R18" s="33">
        <v>1224970</v>
      </c>
      <c r="S18" s="34">
        <v>13</v>
      </c>
      <c r="T18" s="35">
        <f t="shared" si="2"/>
        <v>23</v>
      </c>
      <c r="U18" s="34">
        <v>4129170</v>
      </c>
      <c r="V18" s="35">
        <f t="shared" si="3"/>
        <v>743250.6</v>
      </c>
      <c r="W18" s="35">
        <f t="shared" si="4"/>
        <v>330333.60000000003</v>
      </c>
      <c r="X18" s="35">
        <f t="shared" si="5"/>
        <v>557437.95000000007</v>
      </c>
      <c r="Y18" s="34">
        <v>34500</v>
      </c>
      <c r="Z18" s="34">
        <v>44400</v>
      </c>
      <c r="AA18" s="34">
        <v>62222</v>
      </c>
      <c r="AB18" s="34">
        <v>-3103</v>
      </c>
      <c r="AC18" s="34">
        <v>92500</v>
      </c>
      <c r="AD18" s="34">
        <v>118400</v>
      </c>
      <c r="AE18" s="34">
        <v>0</v>
      </c>
      <c r="AF18" s="34">
        <v>184000</v>
      </c>
      <c r="AG18" s="34">
        <v>27600</v>
      </c>
      <c r="AH18" s="34">
        <v>55500</v>
      </c>
      <c r="AI18" s="34">
        <v>29600</v>
      </c>
      <c r="AJ18" s="34">
        <v>22200</v>
      </c>
      <c r="AK18" s="34">
        <v>37000</v>
      </c>
      <c r="AL18" s="34">
        <v>29052</v>
      </c>
      <c r="AM18" s="35">
        <f t="shared" si="6"/>
        <v>5901314.1499999994</v>
      </c>
      <c r="AN18" s="35">
        <f t="shared" si="7"/>
        <v>592749</v>
      </c>
      <c r="AO18" s="35">
        <f t="shared" si="8"/>
        <v>6494063.1499999994</v>
      </c>
      <c r="AP18" s="34">
        <v>6167655</v>
      </c>
      <c r="AQ18" s="26">
        <f>SUM(AP15:AP26)</f>
        <v>90549557</v>
      </c>
      <c r="AR18" s="26">
        <f>AQ18-SUM(AO15:AO17)</f>
        <v>68043200.859999999</v>
      </c>
      <c r="AS18" s="39">
        <v>9</v>
      </c>
      <c r="AT18" s="28">
        <f t="shared" si="9"/>
        <v>7560355.651111111</v>
      </c>
      <c r="AU18" s="29">
        <f t="shared" si="10"/>
        <v>1066292.5011111116</v>
      </c>
      <c r="AV18" s="26">
        <f t="shared" si="11"/>
        <v>61549137.710000001</v>
      </c>
      <c r="AW18" s="30">
        <f t="shared" si="12"/>
        <v>0.32027124428670589</v>
      </c>
      <c r="AX18" s="31" t="str">
        <f t="shared" si="13"/>
        <v>✓ Within Budget</v>
      </c>
    </row>
    <row r="19" spans="1:50" ht="15.1" customHeight="1" x14ac:dyDescent="0.35">
      <c r="A19" s="19" t="s">
        <v>143</v>
      </c>
      <c r="B19" s="20">
        <v>2023</v>
      </c>
      <c r="C19" s="21">
        <v>37</v>
      </c>
      <c r="D19" s="21">
        <v>1</v>
      </c>
      <c r="E19" s="21">
        <v>0</v>
      </c>
      <c r="F19" s="21">
        <v>0</v>
      </c>
      <c r="G19" s="22">
        <f t="shared" si="0"/>
        <v>38</v>
      </c>
      <c r="H19" s="21">
        <v>1</v>
      </c>
      <c r="I19" s="21">
        <v>83150</v>
      </c>
      <c r="J19" s="21">
        <v>4</v>
      </c>
      <c r="K19" s="21">
        <v>10</v>
      </c>
      <c r="L19" s="21">
        <v>12</v>
      </c>
      <c r="M19" s="21">
        <v>8</v>
      </c>
      <c r="N19" s="21">
        <v>4</v>
      </c>
      <c r="O19" s="23">
        <f t="shared" si="1"/>
        <v>0</v>
      </c>
      <c r="P19" s="24">
        <v>9.98E-2</v>
      </c>
      <c r="Q19" s="25">
        <v>84.42</v>
      </c>
      <c r="R19" s="20">
        <v>1247252</v>
      </c>
      <c r="S19" s="21">
        <v>13</v>
      </c>
      <c r="T19" s="22">
        <f t="shared" si="2"/>
        <v>24</v>
      </c>
      <c r="U19" s="21">
        <v>4261444</v>
      </c>
      <c r="V19" s="22">
        <f t="shared" si="3"/>
        <v>767059.91999999993</v>
      </c>
      <c r="W19" s="22">
        <f t="shared" si="4"/>
        <v>340915.52</v>
      </c>
      <c r="X19" s="22">
        <f t="shared" si="5"/>
        <v>575294.94000000006</v>
      </c>
      <c r="Y19" s="21">
        <v>36000</v>
      </c>
      <c r="Z19" s="21">
        <v>45600</v>
      </c>
      <c r="AA19" s="21">
        <v>39110</v>
      </c>
      <c r="AB19" s="21">
        <v>32432</v>
      </c>
      <c r="AC19" s="21">
        <v>95000</v>
      </c>
      <c r="AD19" s="21">
        <v>121600</v>
      </c>
      <c r="AE19" s="21">
        <v>45000</v>
      </c>
      <c r="AF19" s="21">
        <v>192000</v>
      </c>
      <c r="AG19" s="21">
        <v>28800</v>
      </c>
      <c r="AH19" s="21">
        <v>57000</v>
      </c>
      <c r="AI19" s="21">
        <v>30400</v>
      </c>
      <c r="AJ19" s="21">
        <v>22800</v>
      </c>
      <c r="AK19" s="21">
        <v>38000</v>
      </c>
      <c r="AL19" s="21">
        <v>31140</v>
      </c>
      <c r="AM19" s="22">
        <f t="shared" si="6"/>
        <v>6065424.3799999999</v>
      </c>
      <c r="AN19" s="22">
        <f t="shared" si="7"/>
        <v>694172</v>
      </c>
      <c r="AO19" s="22">
        <f t="shared" si="8"/>
        <v>6759596.3799999999</v>
      </c>
      <c r="AP19" s="21">
        <v>7054155</v>
      </c>
      <c r="AQ19" s="26">
        <f>SUM(AP15:AP26)</f>
        <v>90549557</v>
      </c>
      <c r="AR19" s="26">
        <f>AQ19-SUM(AO15:AO18)</f>
        <v>61549137.710000001</v>
      </c>
      <c r="AS19" s="27">
        <v>8</v>
      </c>
      <c r="AT19" s="28">
        <f t="shared" si="9"/>
        <v>7693642.2137500001</v>
      </c>
      <c r="AU19" s="29">
        <f t="shared" si="10"/>
        <v>934045.83375000022</v>
      </c>
      <c r="AV19" s="26">
        <f t="shared" si="11"/>
        <v>54789541.329999998</v>
      </c>
      <c r="AW19" s="30">
        <f t="shared" si="12"/>
        <v>0.39492203887866623</v>
      </c>
      <c r="AX19" s="31" t="str">
        <f t="shared" si="13"/>
        <v>✓ Within Budget</v>
      </c>
    </row>
    <row r="20" spans="1:50" ht="15.1" customHeight="1" x14ac:dyDescent="0.35">
      <c r="A20" s="32" t="s">
        <v>144</v>
      </c>
      <c r="B20" s="33">
        <v>2023</v>
      </c>
      <c r="C20" s="34">
        <v>38</v>
      </c>
      <c r="D20" s="34">
        <v>1</v>
      </c>
      <c r="E20" s="34">
        <v>1</v>
      </c>
      <c r="F20" s="34">
        <v>1</v>
      </c>
      <c r="G20" s="35">
        <f t="shared" si="0"/>
        <v>38</v>
      </c>
      <c r="H20" s="34">
        <v>0</v>
      </c>
      <c r="I20" s="34">
        <v>0</v>
      </c>
      <c r="J20" s="34">
        <v>4</v>
      </c>
      <c r="K20" s="34">
        <v>10</v>
      </c>
      <c r="L20" s="34">
        <v>10</v>
      </c>
      <c r="M20" s="34">
        <v>9</v>
      </c>
      <c r="N20" s="34">
        <v>5</v>
      </c>
      <c r="O20" s="36">
        <f t="shared" si="1"/>
        <v>0.31578947368421051</v>
      </c>
      <c r="P20" s="37">
        <v>9.5200000000000007E-2</v>
      </c>
      <c r="Q20" s="38">
        <v>84.24</v>
      </c>
      <c r="R20" s="33">
        <v>1260469</v>
      </c>
      <c r="S20" s="34">
        <v>13</v>
      </c>
      <c r="T20" s="35">
        <f t="shared" si="2"/>
        <v>25</v>
      </c>
      <c r="U20" s="34">
        <v>4443153</v>
      </c>
      <c r="V20" s="35">
        <f t="shared" si="3"/>
        <v>799767.53999999992</v>
      </c>
      <c r="W20" s="35">
        <f t="shared" si="4"/>
        <v>355452.24</v>
      </c>
      <c r="X20" s="35">
        <f t="shared" si="5"/>
        <v>599825.65500000003</v>
      </c>
      <c r="Y20" s="34">
        <v>43125</v>
      </c>
      <c r="Z20" s="34">
        <v>52440</v>
      </c>
      <c r="AA20" s="34">
        <v>73875</v>
      </c>
      <c r="AB20" s="34">
        <v>32897</v>
      </c>
      <c r="AC20" s="34">
        <v>95000</v>
      </c>
      <c r="AD20" s="34">
        <v>121600</v>
      </c>
      <c r="AE20" s="34">
        <v>45000</v>
      </c>
      <c r="AF20" s="34">
        <v>200000</v>
      </c>
      <c r="AG20" s="34">
        <v>30000</v>
      </c>
      <c r="AH20" s="34">
        <v>57000</v>
      </c>
      <c r="AI20" s="34">
        <v>30400</v>
      </c>
      <c r="AJ20" s="34">
        <v>22800</v>
      </c>
      <c r="AK20" s="34">
        <v>43700</v>
      </c>
      <c r="AL20" s="34">
        <v>14771</v>
      </c>
      <c r="AM20" s="35">
        <f t="shared" si="6"/>
        <v>6367638.4350000005</v>
      </c>
      <c r="AN20" s="35">
        <f t="shared" si="7"/>
        <v>693168</v>
      </c>
      <c r="AO20" s="35">
        <f t="shared" si="8"/>
        <v>7060806.4350000005</v>
      </c>
      <c r="AP20" s="34">
        <v>8067389</v>
      </c>
      <c r="AQ20" s="26">
        <f>SUM(AP15:AP26)</f>
        <v>90549557</v>
      </c>
      <c r="AR20" s="26">
        <f>AQ20-SUM(AO15:AO19)</f>
        <v>54789541.329999998</v>
      </c>
      <c r="AS20" s="39">
        <v>7</v>
      </c>
      <c r="AT20" s="28">
        <f t="shared" si="9"/>
        <v>7827077.3328571422</v>
      </c>
      <c r="AU20" s="29">
        <f t="shared" si="10"/>
        <v>766270.89785714168</v>
      </c>
      <c r="AV20" s="26">
        <f t="shared" si="11"/>
        <v>47728734.894999996</v>
      </c>
      <c r="AW20" s="30">
        <f t="shared" si="12"/>
        <v>0.47289929982760714</v>
      </c>
      <c r="AX20" s="31" t="str">
        <f t="shared" si="13"/>
        <v>✓ Within Budget</v>
      </c>
    </row>
    <row r="21" spans="1:50" ht="15.1" customHeight="1" x14ac:dyDescent="0.35">
      <c r="A21" s="19" t="s">
        <v>145</v>
      </c>
      <c r="B21" s="20">
        <v>2023</v>
      </c>
      <c r="C21" s="21">
        <v>38</v>
      </c>
      <c r="D21" s="21">
        <v>2</v>
      </c>
      <c r="E21" s="21">
        <v>1</v>
      </c>
      <c r="F21" s="21">
        <v>1</v>
      </c>
      <c r="G21" s="22">
        <f t="shared" si="0"/>
        <v>39</v>
      </c>
      <c r="H21" s="21">
        <v>1</v>
      </c>
      <c r="I21" s="21">
        <v>84351</v>
      </c>
      <c r="J21" s="21">
        <v>2</v>
      </c>
      <c r="K21" s="21">
        <v>9</v>
      </c>
      <c r="L21" s="21">
        <v>17</v>
      </c>
      <c r="M21" s="21">
        <v>7</v>
      </c>
      <c r="N21" s="21">
        <v>4</v>
      </c>
      <c r="O21" s="23">
        <f t="shared" si="1"/>
        <v>0.31578947368421051</v>
      </c>
      <c r="P21" s="24">
        <v>9.8199999999999996E-2</v>
      </c>
      <c r="Q21" s="25">
        <v>84.22</v>
      </c>
      <c r="R21" s="20">
        <v>1265267</v>
      </c>
      <c r="S21" s="21">
        <v>14</v>
      </c>
      <c r="T21" s="22">
        <f t="shared" si="2"/>
        <v>24</v>
      </c>
      <c r="U21" s="21">
        <v>4502242</v>
      </c>
      <c r="V21" s="22">
        <f t="shared" si="3"/>
        <v>810403.55999999994</v>
      </c>
      <c r="W21" s="22">
        <f t="shared" si="4"/>
        <v>360179.36</v>
      </c>
      <c r="X21" s="22">
        <f t="shared" si="5"/>
        <v>607802.67000000004</v>
      </c>
      <c r="Y21" s="21">
        <v>41400</v>
      </c>
      <c r="Z21" s="21">
        <v>53820</v>
      </c>
      <c r="AA21" s="21">
        <v>84297</v>
      </c>
      <c r="AB21" s="21">
        <v>71444</v>
      </c>
      <c r="AC21" s="21">
        <v>126750</v>
      </c>
      <c r="AD21" s="21">
        <v>124800</v>
      </c>
      <c r="AE21" s="21">
        <v>90000</v>
      </c>
      <c r="AF21" s="21">
        <v>192000</v>
      </c>
      <c r="AG21" s="21">
        <v>28800</v>
      </c>
      <c r="AH21" s="21">
        <v>58500</v>
      </c>
      <c r="AI21" s="21">
        <v>31200</v>
      </c>
      <c r="AJ21" s="21">
        <v>23400</v>
      </c>
      <c r="AK21" s="21">
        <v>44850</v>
      </c>
      <c r="AL21" s="21">
        <v>17135</v>
      </c>
      <c r="AM21" s="22">
        <f t="shared" si="6"/>
        <v>6460144.5899999999</v>
      </c>
      <c r="AN21" s="22">
        <f t="shared" si="7"/>
        <v>808879</v>
      </c>
      <c r="AO21" s="22">
        <f t="shared" si="8"/>
        <v>7269023.5899999999</v>
      </c>
      <c r="AP21" s="21">
        <v>8049268</v>
      </c>
      <c r="AQ21" s="26">
        <f>SUM(AP15:AP26)</f>
        <v>90549557</v>
      </c>
      <c r="AR21" s="26">
        <f>AQ21-SUM(AO15:AO20)</f>
        <v>47728734.894999996</v>
      </c>
      <c r="AS21" s="27">
        <v>6</v>
      </c>
      <c r="AT21" s="28">
        <f t="shared" si="9"/>
        <v>7954789.149166666</v>
      </c>
      <c r="AU21" s="29">
        <f t="shared" si="10"/>
        <v>685765.55916666612</v>
      </c>
      <c r="AV21" s="26">
        <f t="shared" si="11"/>
        <v>40459711.304999992</v>
      </c>
      <c r="AW21" s="30">
        <f t="shared" si="12"/>
        <v>0.55317604364425554</v>
      </c>
      <c r="AX21" s="31" t="str">
        <f t="shared" si="13"/>
        <v>✓ Within Budget</v>
      </c>
    </row>
    <row r="22" spans="1:50" ht="15.1" customHeight="1" x14ac:dyDescent="0.35">
      <c r="A22" s="32" t="s">
        <v>146</v>
      </c>
      <c r="B22" s="33">
        <v>2023</v>
      </c>
      <c r="C22" s="34">
        <v>39</v>
      </c>
      <c r="D22" s="34">
        <v>1</v>
      </c>
      <c r="E22" s="34">
        <v>1</v>
      </c>
      <c r="F22" s="34">
        <v>1</v>
      </c>
      <c r="G22" s="35">
        <f t="shared" si="0"/>
        <v>39</v>
      </c>
      <c r="H22" s="34">
        <v>1</v>
      </c>
      <c r="I22" s="34">
        <v>84902</v>
      </c>
      <c r="J22" s="34">
        <v>4</v>
      </c>
      <c r="K22" s="34">
        <v>10</v>
      </c>
      <c r="L22" s="34">
        <v>12</v>
      </c>
      <c r="M22" s="34">
        <v>9</v>
      </c>
      <c r="N22" s="34">
        <v>4</v>
      </c>
      <c r="O22" s="36">
        <f t="shared" si="1"/>
        <v>0.30769230769230771</v>
      </c>
      <c r="P22" s="37">
        <v>0.1036</v>
      </c>
      <c r="Q22" s="38">
        <v>84.35</v>
      </c>
      <c r="R22" s="33">
        <v>1273533</v>
      </c>
      <c r="S22" s="34">
        <v>14</v>
      </c>
      <c r="T22" s="35">
        <f t="shared" si="2"/>
        <v>24</v>
      </c>
      <c r="U22" s="41">
        <v>7289703</v>
      </c>
      <c r="V22" s="35">
        <f t="shared" si="3"/>
        <v>1312146.54</v>
      </c>
      <c r="W22" s="35">
        <f t="shared" si="4"/>
        <v>583176.24</v>
      </c>
      <c r="X22" s="35">
        <f t="shared" si="5"/>
        <v>984109.90500000003</v>
      </c>
      <c r="Y22" s="34">
        <v>40320</v>
      </c>
      <c r="Z22" s="34">
        <v>52416</v>
      </c>
      <c r="AA22" s="41">
        <v>99618</v>
      </c>
      <c r="AB22" s="41">
        <v>53762</v>
      </c>
      <c r="AC22" s="34">
        <v>97500</v>
      </c>
      <c r="AD22" s="34">
        <v>124800</v>
      </c>
      <c r="AE22" s="34">
        <v>45000</v>
      </c>
      <c r="AF22" s="34">
        <v>192000</v>
      </c>
      <c r="AG22" s="34">
        <v>28800</v>
      </c>
      <c r="AH22" s="34">
        <v>58500</v>
      </c>
      <c r="AI22" s="34">
        <v>31200</v>
      </c>
      <c r="AJ22" s="34">
        <v>23400</v>
      </c>
      <c r="AK22" s="41">
        <v>58968</v>
      </c>
      <c r="AL22" s="34">
        <v>27542</v>
      </c>
      <c r="AM22" s="35">
        <f t="shared" si="6"/>
        <v>10361489.684999999</v>
      </c>
      <c r="AN22" s="35">
        <f t="shared" si="7"/>
        <v>741472</v>
      </c>
      <c r="AO22" s="35">
        <f t="shared" si="8"/>
        <v>11102961.684999999</v>
      </c>
      <c r="AP22" s="34">
        <v>8218203</v>
      </c>
      <c r="AQ22" s="26">
        <f>SUM(AP15:AP26)</f>
        <v>90549557</v>
      </c>
      <c r="AR22" s="26">
        <f>AQ22-SUM(AO15:AO21)</f>
        <v>40459711.304999992</v>
      </c>
      <c r="AS22" s="39">
        <v>5</v>
      </c>
      <c r="AT22" s="28">
        <f t="shared" si="9"/>
        <v>8091942.2609999981</v>
      </c>
      <c r="AU22" s="29">
        <f t="shared" si="10"/>
        <v>-3011019.4240000006</v>
      </c>
      <c r="AV22" s="26">
        <f t="shared" si="11"/>
        <v>29356749.619999994</v>
      </c>
      <c r="AW22" s="30">
        <f t="shared" si="12"/>
        <v>0.67579355887958692</v>
      </c>
      <c r="AX22" s="31" t="str">
        <f t="shared" si="13"/>
        <v>⚠ Over Budget</v>
      </c>
    </row>
    <row r="23" spans="1:50" ht="15.1" customHeight="1" x14ac:dyDescent="0.35">
      <c r="A23" s="19" t="s">
        <v>147</v>
      </c>
      <c r="B23" s="20">
        <v>2023</v>
      </c>
      <c r="C23" s="21">
        <v>39</v>
      </c>
      <c r="D23" s="21">
        <v>1</v>
      </c>
      <c r="E23" s="21">
        <v>0</v>
      </c>
      <c r="F23" s="21">
        <v>0</v>
      </c>
      <c r="G23" s="22">
        <f t="shared" si="0"/>
        <v>40</v>
      </c>
      <c r="H23" s="21">
        <v>0</v>
      </c>
      <c r="I23" s="21">
        <v>0</v>
      </c>
      <c r="J23" s="21">
        <v>3</v>
      </c>
      <c r="K23" s="21">
        <v>11</v>
      </c>
      <c r="L23" s="21">
        <v>15</v>
      </c>
      <c r="M23" s="21">
        <v>9</v>
      </c>
      <c r="N23" s="21">
        <v>2</v>
      </c>
      <c r="O23" s="23">
        <f t="shared" si="1"/>
        <v>0</v>
      </c>
      <c r="P23" s="24">
        <v>9.2700000000000005E-2</v>
      </c>
      <c r="Q23" s="25">
        <v>84.94</v>
      </c>
      <c r="R23" s="20">
        <v>1282987</v>
      </c>
      <c r="S23" s="21">
        <v>14</v>
      </c>
      <c r="T23" s="22">
        <f t="shared" si="2"/>
        <v>26</v>
      </c>
      <c r="U23" s="21">
        <v>4474417</v>
      </c>
      <c r="V23" s="22">
        <f t="shared" si="3"/>
        <v>805395.05999999994</v>
      </c>
      <c r="W23" s="22">
        <f t="shared" si="4"/>
        <v>357953.36</v>
      </c>
      <c r="X23" s="22">
        <f t="shared" si="5"/>
        <v>604046.29500000004</v>
      </c>
      <c r="Y23" s="21">
        <v>39000</v>
      </c>
      <c r="Z23" s="21">
        <v>48000</v>
      </c>
      <c r="AA23" s="21">
        <v>53979</v>
      </c>
      <c r="AB23" s="21">
        <v>39411</v>
      </c>
      <c r="AC23" s="21">
        <v>100000</v>
      </c>
      <c r="AD23" s="21">
        <v>128000</v>
      </c>
      <c r="AE23" s="21">
        <v>45000</v>
      </c>
      <c r="AF23" s="21">
        <v>208000</v>
      </c>
      <c r="AG23" s="21">
        <v>31200</v>
      </c>
      <c r="AH23" s="21">
        <v>60000</v>
      </c>
      <c r="AI23" s="21">
        <v>32000</v>
      </c>
      <c r="AJ23" s="21">
        <v>24000</v>
      </c>
      <c r="AK23" s="21">
        <v>40000</v>
      </c>
      <c r="AL23" s="21">
        <v>22064</v>
      </c>
      <c r="AM23" s="22">
        <f t="shared" si="6"/>
        <v>6382790.7149999999</v>
      </c>
      <c r="AN23" s="22">
        <f t="shared" si="7"/>
        <v>729675</v>
      </c>
      <c r="AO23" s="22">
        <f t="shared" si="8"/>
        <v>7112465.7149999999</v>
      </c>
      <c r="AP23" s="21">
        <v>7742231</v>
      </c>
      <c r="AQ23" s="26">
        <f>SUM(AP15:AP26)</f>
        <v>90549557</v>
      </c>
      <c r="AR23" s="26">
        <f>AQ23-SUM(AO15:AO22)</f>
        <v>29356749.61999999</v>
      </c>
      <c r="AS23" s="27">
        <v>4</v>
      </c>
      <c r="AT23" s="28">
        <f t="shared" si="9"/>
        <v>7339187.4049999975</v>
      </c>
      <c r="AU23" s="29">
        <f t="shared" si="10"/>
        <v>226721.68999999762</v>
      </c>
      <c r="AV23" s="26">
        <f t="shared" si="11"/>
        <v>22244283.90499999</v>
      </c>
      <c r="AW23" s="30">
        <f t="shared" si="12"/>
        <v>0.75434132819666933</v>
      </c>
      <c r="AX23" s="31" t="str">
        <f t="shared" si="13"/>
        <v>✓ Within Budget</v>
      </c>
    </row>
    <row r="24" spans="1:50" ht="15.1" customHeight="1" x14ac:dyDescent="0.35">
      <c r="A24" s="32" t="s">
        <v>148</v>
      </c>
      <c r="B24" s="33">
        <v>2024</v>
      </c>
      <c r="C24" s="34">
        <v>40</v>
      </c>
      <c r="D24" s="34">
        <v>2</v>
      </c>
      <c r="E24" s="34">
        <v>1</v>
      </c>
      <c r="F24" s="34">
        <v>1</v>
      </c>
      <c r="G24" s="35">
        <f t="shared" si="0"/>
        <v>41</v>
      </c>
      <c r="H24" s="34">
        <v>1</v>
      </c>
      <c r="I24" s="34">
        <v>85614</v>
      </c>
      <c r="J24" s="34">
        <v>4</v>
      </c>
      <c r="K24" s="34">
        <v>10</v>
      </c>
      <c r="L24" s="34">
        <v>13</v>
      </c>
      <c r="M24" s="34">
        <v>10</v>
      </c>
      <c r="N24" s="34">
        <v>4</v>
      </c>
      <c r="O24" s="36">
        <f t="shared" si="1"/>
        <v>0.30000000000000004</v>
      </c>
      <c r="P24" s="37">
        <v>0.1062</v>
      </c>
      <c r="Q24" s="38">
        <v>84.81</v>
      </c>
      <c r="R24" s="33">
        <v>1284213</v>
      </c>
      <c r="S24" s="34">
        <v>14</v>
      </c>
      <c r="T24" s="35">
        <f t="shared" si="2"/>
        <v>26</v>
      </c>
      <c r="U24" s="34">
        <v>4794395</v>
      </c>
      <c r="V24" s="35">
        <f t="shared" si="3"/>
        <v>862991.1</v>
      </c>
      <c r="W24" s="35">
        <f t="shared" si="4"/>
        <v>383551.60000000003</v>
      </c>
      <c r="X24" s="35">
        <f t="shared" si="5"/>
        <v>647243.32500000007</v>
      </c>
      <c r="Y24" s="34">
        <v>42120</v>
      </c>
      <c r="Z24" s="34">
        <v>53136</v>
      </c>
      <c r="AA24" s="34">
        <v>81725</v>
      </c>
      <c r="AB24" s="34">
        <v>69780</v>
      </c>
      <c r="AC24" s="34">
        <v>102500</v>
      </c>
      <c r="AD24" s="34">
        <v>131200</v>
      </c>
      <c r="AE24" s="34">
        <v>90000</v>
      </c>
      <c r="AF24" s="34">
        <v>208000</v>
      </c>
      <c r="AG24" s="34">
        <v>31200</v>
      </c>
      <c r="AH24" s="34">
        <v>61500</v>
      </c>
      <c r="AI24" s="34">
        <v>32800</v>
      </c>
      <c r="AJ24" s="34">
        <v>24600</v>
      </c>
      <c r="AK24" s="34">
        <v>44280</v>
      </c>
      <c r="AL24" s="34">
        <v>32399</v>
      </c>
      <c r="AM24" s="35">
        <f t="shared" si="6"/>
        <v>6865162.0249999994</v>
      </c>
      <c r="AN24" s="35">
        <f t="shared" si="7"/>
        <v>828259</v>
      </c>
      <c r="AO24" s="35">
        <f t="shared" si="8"/>
        <v>7693421.0249999994</v>
      </c>
      <c r="AP24" s="34">
        <v>7943738</v>
      </c>
      <c r="AQ24" s="26">
        <f>SUM(AP15:AP26)</f>
        <v>90549557</v>
      </c>
      <c r="AR24" s="26">
        <f>AQ24-SUM(AO15:AO23)</f>
        <v>22244283.904999986</v>
      </c>
      <c r="AS24" s="39">
        <v>3</v>
      </c>
      <c r="AT24" s="28">
        <f t="shared" si="9"/>
        <v>7414761.3016666621</v>
      </c>
      <c r="AU24" s="29">
        <f t="shared" si="10"/>
        <v>-278659.72333333734</v>
      </c>
      <c r="AV24" s="26">
        <f t="shared" si="11"/>
        <v>14550862.879999988</v>
      </c>
      <c r="AW24" s="30">
        <f t="shared" si="12"/>
        <v>0.83930497992386655</v>
      </c>
      <c r="AX24" s="31" t="str">
        <f t="shared" si="13"/>
        <v>⚠ Over Budget</v>
      </c>
    </row>
    <row r="25" spans="1:50" ht="15.1" customHeight="1" x14ac:dyDescent="0.35">
      <c r="A25" s="19" t="s">
        <v>149</v>
      </c>
      <c r="B25" s="20">
        <v>2024</v>
      </c>
      <c r="C25" s="21">
        <v>41</v>
      </c>
      <c r="D25" s="21">
        <v>0</v>
      </c>
      <c r="E25" s="21">
        <v>1</v>
      </c>
      <c r="F25" s="21">
        <v>1</v>
      </c>
      <c r="G25" s="22">
        <f t="shared" si="0"/>
        <v>40</v>
      </c>
      <c r="H25" s="21">
        <v>0</v>
      </c>
      <c r="I25" s="21">
        <v>0</v>
      </c>
      <c r="J25" s="21">
        <v>2</v>
      </c>
      <c r="K25" s="21">
        <v>9</v>
      </c>
      <c r="L25" s="21">
        <v>15</v>
      </c>
      <c r="M25" s="21">
        <v>9</v>
      </c>
      <c r="N25" s="21">
        <v>5</v>
      </c>
      <c r="O25" s="23">
        <f t="shared" si="1"/>
        <v>0.29268292682926833</v>
      </c>
      <c r="P25" s="24">
        <v>9.2100000000000001E-2</v>
      </c>
      <c r="Q25" s="25">
        <v>85.01</v>
      </c>
      <c r="R25" s="20">
        <v>1301809</v>
      </c>
      <c r="S25" s="21">
        <v>14</v>
      </c>
      <c r="T25" s="22">
        <f t="shared" si="2"/>
        <v>26</v>
      </c>
      <c r="U25" s="21">
        <v>4925177</v>
      </c>
      <c r="V25" s="22">
        <f t="shared" si="3"/>
        <v>886531.86</v>
      </c>
      <c r="W25" s="22">
        <f t="shared" si="4"/>
        <v>394014.16000000003</v>
      </c>
      <c r="X25" s="22">
        <f t="shared" si="5"/>
        <v>664898.89500000002</v>
      </c>
      <c r="Y25" s="21">
        <v>42120</v>
      </c>
      <c r="Z25" s="21">
        <v>51840</v>
      </c>
      <c r="AA25" s="21">
        <v>74700</v>
      </c>
      <c r="AB25" s="21">
        <v>4166</v>
      </c>
      <c r="AC25" s="21">
        <v>100000</v>
      </c>
      <c r="AD25" s="21">
        <v>128000</v>
      </c>
      <c r="AE25" s="21">
        <v>0</v>
      </c>
      <c r="AF25" s="21">
        <v>208000</v>
      </c>
      <c r="AG25" s="21">
        <v>31200</v>
      </c>
      <c r="AH25" s="21">
        <v>60000</v>
      </c>
      <c r="AI25" s="21">
        <v>32000</v>
      </c>
      <c r="AJ25" s="21">
        <v>24000</v>
      </c>
      <c r="AK25" s="21">
        <v>43200</v>
      </c>
      <c r="AL25" s="21">
        <v>20959</v>
      </c>
      <c r="AM25" s="22">
        <f t="shared" si="6"/>
        <v>7039281.915000001</v>
      </c>
      <c r="AN25" s="22">
        <f t="shared" si="7"/>
        <v>651525</v>
      </c>
      <c r="AO25" s="22">
        <f t="shared" si="8"/>
        <v>7690806.915000001</v>
      </c>
      <c r="AP25" s="21">
        <v>8195045</v>
      </c>
      <c r="AQ25" s="26">
        <f>SUM(AP15:AP26)</f>
        <v>90549557</v>
      </c>
      <c r="AR25" s="26">
        <f>AQ25-SUM(AO15:AO24)</f>
        <v>14550862.87999998</v>
      </c>
      <c r="AS25" s="27">
        <v>2</v>
      </c>
      <c r="AT25" s="28">
        <f t="shared" si="9"/>
        <v>7275431.4399999902</v>
      </c>
      <c r="AU25" s="29">
        <f t="shared" si="10"/>
        <v>-415375.4750000108</v>
      </c>
      <c r="AV25" s="26">
        <f t="shared" si="11"/>
        <v>6860055.9649999794</v>
      </c>
      <c r="AW25" s="30">
        <f t="shared" si="12"/>
        <v>0.92423976226631377</v>
      </c>
      <c r="AX25" s="31" t="str">
        <f t="shared" si="13"/>
        <v>⚠ Over Budget</v>
      </c>
    </row>
    <row r="26" spans="1:50" ht="15.1" customHeight="1" x14ac:dyDescent="0.35">
      <c r="A26" s="32" t="s">
        <v>150</v>
      </c>
      <c r="B26" s="33">
        <v>2024</v>
      </c>
      <c r="C26" s="34">
        <v>40</v>
      </c>
      <c r="D26" s="34">
        <v>0</v>
      </c>
      <c r="E26" s="34">
        <v>0</v>
      </c>
      <c r="F26" s="34">
        <v>0</v>
      </c>
      <c r="G26" s="35">
        <f t="shared" si="0"/>
        <v>40</v>
      </c>
      <c r="H26" s="34">
        <v>0</v>
      </c>
      <c r="I26" s="34">
        <v>0</v>
      </c>
      <c r="J26" s="34">
        <v>3</v>
      </c>
      <c r="K26" s="34">
        <v>11</v>
      </c>
      <c r="L26" s="34">
        <v>11</v>
      </c>
      <c r="M26" s="34">
        <v>11</v>
      </c>
      <c r="N26" s="34">
        <v>4</v>
      </c>
      <c r="O26" s="36">
        <f t="shared" si="1"/>
        <v>0</v>
      </c>
      <c r="P26" s="37">
        <v>9.7600000000000006E-2</v>
      </c>
      <c r="Q26" s="38">
        <v>85.31</v>
      </c>
      <c r="R26" s="33">
        <v>1301128</v>
      </c>
      <c r="S26" s="34">
        <v>14</v>
      </c>
      <c r="T26" s="35">
        <f t="shared" si="2"/>
        <v>26</v>
      </c>
      <c r="U26" s="34">
        <v>4819595</v>
      </c>
      <c r="V26" s="35">
        <f t="shared" si="3"/>
        <v>867527.1</v>
      </c>
      <c r="W26" s="35">
        <f t="shared" si="4"/>
        <v>385567.60000000003</v>
      </c>
      <c r="X26" s="35">
        <f t="shared" si="5"/>
        <v>650645.32500000007</v>
      </c>
      <c r="Y26" s="34">
        <v>41340</v>
      </c>
      <c r="Z26" s="34">
        <v>50880</v>
      </c>
      <c r="AA26" s="34">
        <v>74383</v>
      </c>
      <c r="AB26" s="34">
        <v>-10320</v>
      </c>
      <c r="AC26" s="34">
        <v>100000</v>
      </c>
      <c r="AD26" s="34">
        <v>128000</v>
      </c>
      <c r="AE26" s="34">
        <v>0</v>
      </c>
      <c r="AF26" s="34">
        <v>208000</v>
      </c>
      <c r="AG26" s="34">
        <v>31200</v>
      </c>
      <c r="AH26" s="34">
        <v>60000</v>
      </c>
      <c r="AI26" s="34">
        <v>32000</v>
      </c>
      <c r="AJ26" s="34">
        <v>24000</v>
      </c>
      <c r="AK26" s="34">
        <v>42400</v>
      </c>
      <c r="AL26" s="34">
        <v>25409</v>
      </c>
      <c r="AM26" s="35">
        <f t="shared" si="6"/>
        <v>6889938.0249999994</v>
      </c>
      <c r="AN26" s="35">
        <f t="shared" si="7"/>
        <v>640689</v>
      </c>
      <c r="AO26" s="35">
        <f t="shared" si="8"/>
        <v>7530627.0249999994</v>
      </c>
      <c r="AP26" s="34">
        <v>8023004</v>
      </c>
      <c r="AQ26" s="26">
        <f>SUM(AP15:AP26)</f>
        <v>90549557</v>
      </c>
      <c r="AR26" s="26">
        <f>AQ26-SUM(AO15:AO25)</f>
        <v>6860055.9649999738</v>
      </c>
      <c r="AS26" s="39">
        <v>1</v>
      </c>
      <c r="AT26" s="28">
        <f t="shared" si="9"/>
        <v>6860055.9649999738</v>
      </c>
      <c r="AU26" s="29">
        <f t="shared" si="10"/>
        <v>-670571.06000002567</v>
      </c>
      <c r="AV26" s="26">
        <f t="shared" si="11"/>
        <v>-670571.06000002567</v>
      </c>
      <c r="AW26" s="30">
        <f t="shared" si="12"/>
        <v>1.0074055697478457</v>
      </c>
      <c r="AX26" s="31" t="str">
        <f t="shared" si="13"/>
        <v>⚠ Over Budget</v>
      </c>
    </row>
    <row r="27" spans="1:50" ht="15.1" customHeight="1" x14ac:dyDescent="0.35">
      <c r="A27" s="19" t="s">
        <v>151</v>
      </c>
      <c r="B27" s="20">
        <v>2024</v>
      </c>
      <c r="C27" s="21">
        <v>40</v>
      </c>
      <c r="D27" s="21">
        <v>2</v>
      </c>
      <c r="E27" s="21">
        <v>1</v>
      </c>
      <c r="F27" s="21">
        <v>1</v>
      </c>
      <c r="G27" s="22">
        <f t="shared" si="0"/>
        <v>41</v>
      </c>
      <c r="H27" s="21">
        <v>0</v>
      </c>
      <c r="I27" s="21">
        <v>0</v>
      </c>
      <c r="J27" s="21">
        <v>2</v>
      </c>
      <c r="K27" s="21">
        <v>12</v>
      </c>
      <c r="L27" s="21">
        <v>14</v>
      </c>
      <c r="M27" s="21">
        <v>8</v>
      </c>
      <c r="N27" s="21">
        <v>5</v>
      </c>
      <c r="O27" s="23">
        <f t="shared" si="1"/>
        <v>0.30000000000000004</v>
      </c>
      <c r="P27" s="24">
        <v>0.122</v>
      </c>
      <c r="Q27" s="25">
        <v>85.89</v>
      </c>
      <c r="R27" s="20">
        <v>1331104</v>
      </c>
      <c r="S27" s="21">
        <v>14</v>
      </c>
      <c r="T27" s="22">
        <f t="shared" si="2"/>
        <v>27</v>
      </c>
      <c r="U27" s="21">
        <v>5036010</v>
      </c>
      <c r="V27" s="22">
        <f t="shared" si="3"/>
        <v>906481.79999999993</v>
      </c>
      <c r="W27" s="22">
        <f t="shared" si="4"/>
        <v>402880.8</v>
      </c>
      <c r="X27" s="22">
        <f t="shared" si="5"/>
        <v>679861.35000000009</v>
      </c>
      <c r="Y27" s="21">
        <v>44550</v>
      </c>
      <c r="Z27" s="21">
        <v>54120</v>
      </c>
      <c r="AA27" s="21">
        <v>79652</v>
      </c>
      <c r="AB27" s="21">
        <v>67754</v>
      </c>
      <c r="AC27" s="21">
        <v>133250</v>
      </c>
      <c r="AD27" s="21">
        <v>131200</v>
      </c>
      <c r="AE27" s="21">
        <v>90000</v>
      </c>
      <c r="AF27" s="21">
        <v>216000</v>
      </c>
      <c r="AG27" s="21">
        <v>32400</v>
      </c>
      <c r="AH27" s="21">
        <v>61500</v>
      </c>
      <c r="AI27" s="21">
        <v>32800</v>
      </c>
      <c r="AJ27" s="21">
        <v>24600</v>
      </c>
      <c r="AK27" s="21">
        <v>45100</v>
      </c>
      <c r="AL27" s="21">
        <v>34770</v>
      </c>
      <c r="AM27" s="22">
        <f t="shared" si="6"/>
        <v>7203555.9499999993</v>
      </c>
      <c r="AN27" s="22">
        <f t="shared" si="7"/>
        <v>869374</v>
      </c>
      <c r="AO27" s="22">
        <f t="shared" si="8"/>
        <v>8072929.9499999993</v>
      </c>
      <c r="AP27" s="21">
        <v>8897352</v>
      </c>
      <c r="AQ27" s="26">
        <f>SUM(AP27:AP38)</f>
        <v>104881328</v>
      </c>
      <c r="AR27" s="26">
        <f>AQ27</f>
        <v>104881328</v>
      </c>
      <c r="AS27" s="27">
        <v>12</v>
      </c>
      <c r="AT27" s="28">
        <f t="shared" si="9"/>
        <v>8740110.666666666</v>
      </c>
      <c r="AU27" s="29">
        <f t="shared" si="10"/>
        <v>667180.71666666679</v>
      </c>
      <c r="AV27" s="26">
        <f t="shared" si="11"/>
        <v>96808398.049999997</v>
      </c>
      <c r="AW27" s="30">
        <f t="shared" si="12"/>
        <v>7.6972041677428063E-2</v>
      </c>
      <c r="AX27" s="31" t="str">
        <f t="shared" si="13"/>
        <v>✓ Within Budget</v>
      </c>
    </row>
    <row r="28" spans="1:50" ht="15.1" customHeight="1" x14ac:dyDescent="0.35">
      <c r="A28" s="32" t="s">
        <v>152</v>
      </c>
      <c r="B28" s="33">
        <v>2024</v>
      </c>
      <c r="C28" s="34">
        <v>41</v>
      </c>
      <c r="D28" s="34">
        <v>1</v>
      </c>
      <c r="E28" s="34">
        <v>0</v>
      </c>
      <c r="F28" s="34">
        <v>0</v>
      </c>
      <c r="G28" s="35">
        <f t="shared" si="0"/>
        <v>42</v>
      </c>
      <c r="H28" s="34">
        <v>0</v>
      </c>
      <c r="I28" s="34">
        <v>0</v>
      </c>
      <c r="J28" s="34">
        <v>3</v>
      </c>
      <c r="K28" s="34">
        <v>11</v>
      </c>
      <c r="L28" s="34">
        <v>14</v>
      </c>
      <c r="M28" s="34">
        <v>10</v>
      </c>
      <c r="N28" s="34">
        <v>4</v>
      </c>
      <c r="O28" s="36">
        <f t="shared" si="1"/>
        <v>0</v>
      </c>
      <c r="P28" s="37">
        <v>0.1042</v>
      </c>
      <c r="Q28" s="38">
        <v>86.08</v>
      </c>
      <c r="R28" s="33">
        <v>1338270</v>
      </c>
      <c r="S28" s="34">
        <v>15</v>
      </c>
      <c r="T28" s="35">
        <f t="shared" si="2"/>
        <v>27</v>
      </c>
      <c r="U28" s="41">
        <v>7189855</v>
      </c>
      <c r="V28" s="35">
        <f t="shared" si="3"/>
        <v>1294173.8999999999</v>
      </c>
      <c r="W28" s="35">
        <f t="shared" si="4"/>
        <v>575188.4</v>
      </c>
      <c r="X28" s="35">
        <f t="shared" si="5"/>
        <v>970630.42500000005</v>
      </c>
      <c r="Y28" s="34">
        <v>44550</v>
      </c>
      <c r="Z28" s="34">
        <v>55440</v>
      </c>
      <c r="AA28" s="41">
        <v>130288</v>
      </c>
      <c r="AB28" s="41">
        <v>35681</v>
      </c>
      <c r="AC28" s="34">
        <v>136500</v>
      </c>
      <c r="AD28" s="34">
        <v>134400</v>
      </c>
      <c r="AE28" s="34">
        <v>45000</v>
      </c>
      <c r="AF28" s="34">
        <v>216000</v>
      </c>
      <c r="AG28" s="34">
        <v>32400</v>
      </c>
      <c r="AH28" s="34">
        <v>63000</v>
      </c>
      <c r="AI28" s="34">
        <v>33600</v>
      </c>
      <c r="AJ28" s="34">
        <v>25200</v>
      </c>
      <c r="AK28" s="41">
        <v>62370</v>
      </c>
      <c r="AL28" s="34">
        <v>15066</v>
      </c>
      <c r="AM28" s="35">
        <f t="shared" si="6"/>
        <v>10260125.725000001</v>
      </c>
      <c r="AN28" s="35">
        <f t="shared" si="7"/>
        <v>799217</v>
      </c>
      <c r="AO28" s="35">
        <f t="shared" si="8"/>
        <v>11059342.725000001</v>
      </c>
      <c r="AP28" s="34">
        <v>8787855</v>
      </c>
      <c r="AQ28" s="26">
        <f>SUM(AP27:AP38)</f>
        <v>104881328</v>
      </c>
      <c r="AR28" s="26">
        <f>AQ28-SUM(AO27:AO27)</f>
        <v>96808398.049999997</v>
      </c>
      <c r="AS28" s="39">
        <v>11</v>
      </c>
      <c r="AT28" s="28">
        <f t="shared" si="9"/>
        <v>8800763.459090909</v>
      </c>
      <c r="AU28" s="29">
        <f t="shared" si="10"/>
        <v>-2258579.2659090925</v>
      </c>
      <c r="AV28" s="26">
        <f t="shared" si="11"/>
        <v>85749055.324999988</v>
      </c>
      <c r="AW28" s="30">
        <f t="shared" si="12"/>
        <v>0.1824182916047746</v>
      </c>
      <c r="AX28" s="31" t="str">
        <f t="shared" si="13"/>
        <v>⚠ Over Budget</v>
      </c>
    </row>
    <row r="29" spans="1:50" ht="15.1" customHeight="1" x14ac:dyDescent="0.35">
      <c r="A29" s="19" t="s">
        <v>153</v>
      </c>
      <c r="B29" s="20">
        <v>2024</v>
      </c>
      <c r="C29" s="21">
        <v>42</v>
      </c>
      <c r="D29" s="21">
        <v>0</v>
      </c>
      <c r="E29" s="21">
        <v>1</v>
      </c>
      <c r="F29" s="21">
        <v>1</v>
      </c>
      <c r="G29" s="22">
        <f t="shared" si="0"/>
        <v>41</v>
      </c>
      <c r="H29" s="21">
        <v>1</v>
      </c>
      <c r="I29" s="21">
        <v>87943</v>
      </c>
      <c r="J29" s="21">
        <v>3</v>
      </c>
      <c r="K29" s="21">
        <v>10</v>
      </c>
      <c r="L29" s="21">
        <v>15</v>
      </c>
      <c r="M29" s="21">
        <v>9</v>
      </c>
      <c r="N29" s="21">
        <v>4</v>
      </c>
      <c r="O29" s="23">
        <f t="shared" si="1"/>
        <v>0.2857142857142857</v>
      </c>
      <c r="P29" s="24">
        <v>9.4E-2</v>
      </c>
      <c r="Q29" s="25">
        <v>85.85</v>
      </c>
      <c r="R29" s="20">
        <v>1319146</v>
      </c>
      <c r="S29" s="21">
        <v>14</v>
      </c>
      <c r="T29" s="22">
        <f t="shared" si="2"/>
        <v>26</v>
      </c>
      <c r="U29" s="21">
        <v>4930308</v>
      </c>
      <c r="V29" s="22">
        <f t="shared" si="3"/>
        <v>887455.44</v>
      </c>
      <c r="W29" s="22">
        <f t="shared" si="4"/>
        <v>394424.64</v>
      </c>
      <c r="X29" s="22">
        <f t="shared" si="5"/>
        <v>665591.58000000007</v>
      </c>
      <c r="Y29" s="21">
        <v>40950</v>
      </c>
      <c r="Z29" s="21">
        <v>51660</v>
      </c>
      <c r="AA29" s="21">
        <v>77177</v>
      </c>
      <c r="AB29" s="21">
        <v>-2457</v>
      </c>
      <c r="AC29" s="21">
        <v>102500</v>
      </c>
      <c r="AD29" s="21">
        <v>131200</v>
      </c>
      <c r="AE29" s="21">
        <v>0</v>
      </c>
      <c r="AF29" s="21">
        <v>208000</v>
      </c>
      <c r="AG29" s="21">
        <v>31200</v>
      </c>
      <c r="AH29" s="21">
        <v>61500</v>
      </c>
      <c r="AI29" s="21">
        <v>32800</v>
      </c>
      <c r="AJ29" s="21">
        <v>24600</v>
      </c>
      <c r="AK29" s="21">
        <v>43050</v>
      </c>
      <c r="AL29" s="21">
        <v>32413</v>
      </c>
      <c r="AM29" s="22">
        <f t="shared" si="6"/>
        <v>7047566.6599999992</v>
      </c>
      <c r="AN29" s="22">
        <f t="shared" si="7"/>
        <v>664806</v>
      </c>
      <c r="AO29" s="22">
        <f t="shared" si="8"/>
        <v>7712372.6599999992</v>
      </c>
      <c r="AP29" s="21">
        <v>8304254</v>
      </c>
      <c r="AQ29" s="26">
        <f>SUM(AP27:AP38)</f>
        <v>104881328</v>
      </c>
      <c r="AR29" s="26">
        <f>AQ29-SUM(AO27:AO28)</f>
        <v>85749055.325000003</v>
      </c>
      <c r="AS29" s="27">
        <v>10</v>
      </c>
      <c r="AT29" s="28">
        <f t="shared" si="9"/>
        <v>8574905.5325000007</v>
      </c>
      <c r="AU29" s="29">
        <f t="shared" si="10"/>
        <v>862532.87250000145</v>
      </c>
      <c r="AV29" s="26">
        <f t="shared" si="11"/>
        <v>78036682.665000007</v>
      </c>
      <c r="AW29" s="30">
        <f t="shared" si="12"/>
        <v>0.25595256893581664</v>
      </c>
      <c r="AX29" s="31" t="str">
        <f t="shared" si="13"/>
        <v>✓ Within Budget</v>
      </c>
    </row>
    <row r="30" spans="1:50" ht="15.1" customHeight="1" x14ac:dyDescent="0.35">
      <c r="A30" s="32" t="s">
        <v>154</v>
      </c>
      <c r="B30" s="33">
        <v>2024</v>
      </c>
      <c r="C30" s="34">
        <v>41</v>
      </c>
      <c r="D30" s="34">
        <v>0</v>
      </c>
      <c r="E30" s="34">
        <v>0</v>
      </c>
      <c r="F30" s="34">
        <v>0</v>
      </c>
      <c r="G30" s="35">
        <f t="shared" si="0"/>
        <v>41</v>
      </c>
      <c r="H30" s="34">
        <v>0</v>
      </c>
      <c r="I30" s="34">
        <v>0</v>
      </c>
      <c r="J30" s="34">
        <v>3</v>
      </c>
      <c r="K30" s="34">
        <v>10</v>
      </c>
      <c r="L30" s="34">
        <v>15</v>
      </c>
      <c r="M30" s="34">
        <v>10</v>
      </c>
      <c r="N30" s="34">
        <v>3</v>
      </c>
      <c r="O30" s="36">
        <f t="shared" si="1"/>
        <v>0</v>
      </c>
      <c r="P30" s="37">
        <v>9.0999999999999998E-2</v>
      </c>
      <c r="Q30" s="38">
        <v>85.68</v>
      </c>
      <c r="R30" s="33">
        <v>1343890</v>
      </c>
      <c r="S30" s="34">
        <v>14</v>
      </c>
      <c r="T30" s="35">
        <f t="shared" si="2"/>
        <v>27</v>
      </c>
      <c r="U30" s="34">
        <v>4966793</v>
      </c>
      <c r="V30" s="35">
        <f t="shared" si="3"/>
        <v>894022.74</v>
      </c>
      <c r="W30" s="35">
        <f t="shared" si="4"/>
        <v>397343.44</v>
      </c>
      <c r="X30" s="35">
        <f t="shared" si="5"/>
        <v>670517.05500000005</v>
      </c>
      <c r="Y30" s="34">
        <v>40500</v>
      </c>
      <c r="Z30" s="34">
        <v>49200</v>
      </c>
      <c r="AA30" s="34">
        <v>73468</v>
      </c>
      <c r="AB30" s="34">
        <v>-3209</v>
      </c>
      <c r="AC30" s="34">
        <v>102500</v>
      </c>
      <c r="AD30" s="34">
        <v>131200</v>
      </c>
      <c r="AE30" s="34">
        <v>0</v>
      </c>
      <c r="AF30" s="34">
        <v>216000</v>
      </c>
      <c r="AG30" s="34">
        <v>32400</v>
      </c>
      <c r="AH30" s="34">
        <v>61500</v>
      </c>
      <c r="AI30" s="34">
        <v>32800</v>
      </c>
      <c r="AJ30" s="34">
        <v>24600</v>
      </c>
      <c r="AK30" s="34">
        <v>41000</v>
      </c>
      <c r="AL30" s="34">
        <v>19114</v>
      </c>
      <c r="AM30" s="35">
        <f t="shared" si="6"/>
        <v>7091844.2350000003</v>
      </c>
      <c r="AN30" s="35">
        <f t="shared" si="7"/>
        <v>657905</v>
      </c>
      <c r="AO30" s="35">
        <f t="shared" si="8"/>
        <v>7749749.2350000003</v>
      </c>
      <c r="AP30" s="34">
        <v>8095351</v>
      </c>
      <c r="AQ30" s="26">
        <f>SUM(AP27:AP38)</f>
        <v>104881328</v>
      </c>
      <c r="AR30" s="26">
        <f>AQ30-SUM(AO27:AO29)</f>
        <v>78036682.664999992</v>
      </c>
      <c r="AS30" s="39">
        <v>9</v>
      </c>
      <c r="AT30" s="28">
        <f t="shared" si="9"/>
        <v>8670742.5183333326</v>
      </c>
      <c r="AU30" s="29">
        <f t="shared" si="10"/>
        <v>920993.28333333228</v>
      </c>
      <c r="AV30" s="26">
        <f t="shared" si="11"/>
        <v>70286933.429999992</v>
      </c>
      <c r="AW30" s="30">
        <f t="shared" si="12"/>
        <v>0.32984321642075326</v>
      </c>
      <c r="AX30" s="31" t="str">
        <f t="shared" si="13"/>
        <v>✓ Within Budget</v>
      </c>
    </row>
    <row r="31" spans="1:50" ht="15.1" customHeight="1" x14ac:dyDescent="0.35">
      <c r="A31" s="19" t="s">
        <v>155</v>
      </c>
      <c r="B31" s="20">
        <v>2024</v>
      </c>
      <c r="C31" s="21">
        <v>41</v>
      </c>
      <c r="D31" s="21">
        <v>0</v>
      </c>
      <c r="E31" s="21">
        <v>0</v>
      </c>
      <c r="F31" s="21">
        <v>0</v>
      </c>
      <c r="G31" s="22">
        <f t="shared" si="0"/>
        <v>41</v>
      </c>
      <c r="H31" s="21">
        <v>1</v>
      </c>
      <c r="I31" s="21">
        <v>92006</v>
      </c>
      <c r="J31" s="21">
        <v>5</v>
      </c>
      <c r="K31" s="21">
        <v>10</v>
      </c>
      <c r="L31" s="21">
        <v>15</v>
      </c>
      <c r="M31" s="21">
        <v>7</v>
      </c>
      <c r="N31" s="21">
        <v>4</v>
      </c>
      <c r="O31" s="23">
        <f t="shared" si="1"/>
        <v>0</v>
      </c>
      <c r="P31" s="24">
        <v>9.3799999999999994E-2</v>
      </c>
      <c r="Q31" s="25">
        <v>86.35</v>
      </c>
      <c r="R31" s="20">
        <v>1380083</v>
      </c>
      <c r="S31" s="21">
        <v>14</v>
      </c>
      <c r="T31" s="22">
        <f t="shared" si="2"/>
        <v>26</v>
      </c>
      <c r="U31" s="21">
        <v>4962548</v>
      </c>
      <c r="V31" s="22">
        <f t="shared" si="3"/>
        <v>893258.64</v>
      </c>
      <c r="W31" s="22">
        <f t="shared" si="4"/>
        <v>397003.84</v>
      </c>
      <c r="X31" s="22">
        <f t="shared" si="5"/>
        <v>669943.9800000001</v>
      </c>
      <c r="Y31" s="21">
        <v>39000</v>
      </c>
      <c r="Z31" s="21">
        <v>49200</v>
      </c>
      <c r="AA31" s="21">
        <v>76701</v>
      </c>
      <c r="AB31" s="21">
        <v>2427</v>
      </c>
      <c r="AC31" s="21">
        <v>102500</v>
      </c>
      <c r="AD31" s="21">
        <v>131200</v>
      </c>
      <c r="AE31" s="21">
        <v>0</v>
      </c>
      <c r="AF31" s="21">
        <v>208000</v>
      </c>
      <c r="AG31" s="21">
        <v>31200</v>
      </c>
      <c r="AH31" s="21">
        <v>61500</v>
      </c>
      <c r="AI31" s="21">
        <v>32800</v>
      </c>
      <c r="AJ31" s="21">
        <v>24600</v>
      </c>
      <c r="AK31" s="21">
        <v>41000</v>
      </c>
      <c r="AL31" s="21">
        <v>19557</v>
      </c>
      <c r="AM31" s="22">
        <f t="shared" si="6"/>
        <v>7087655.46</v>
      </c>
      <c r="AN31" s="22">
        <f t="shared" si="7"/>
        <v>654784</v>
      </c>
      <c r="AO31" s="22">
        <f t="shared" si="8"/>
        <v>7742439.46</v>
      </c>
      <c r="AP31" s="21">
        <v>8007649</v>
      </c>
      <c r="AQ31" s="26">
        <f>SUM(AP27:AP38)</f>
        <v>104881328</v>
      </c>
      <c r="AR31" s="26">
        <f>AQ31-SUM(AO27:AO30)</f>
        <v>70286933.430000007</v>
      </c>
      <c r="AS31" s="27">
        <v>8</v>
      </c>
      <c r="AT31" s="28">
        <f t="shared" si="9"/>
        <v>8785866.6787500009</v>
      </c>
      <c r="AU31" s="29">
        <f t="shared" si="10"/>
        <v>1043427.2187500009</v>
      </c>
      <c r="AV31" s="26">
        <f t="shared" si="11"/>
        <v>62544493.970000006</v>
      </c>
      <c r="AW31" s="30">
        <f t="shared" si="12"/>
        <v>0.40366416823021151</v>
      </c>
      <c r="AX31" s="31" t="str">
        <f t="shared" si="13"/>
        <v>✓ Within Budget</v>
      </c>
    </row>
    <row r="32" spans="1:50" ht="15.1" customHeight="1" x14ac:dyDescent="0.35">
      <c r="A32" s="32" t="s">
        <v>156</v>
      </c>
      <c r="B32" s="33">
        <v>2024</v>
      </c>
      <c r="C32" s="34">
        <v>41</v>
      </c>
      <c r="D32" s="34">
        <v>1</v>
      </c>
      <c r="E32" s="34">
        <v>1</v>
      </c>
      <c r="F32" s="34">
        <v>1</v>
      </c>
      <c r="G32" s="35">
        <f t="shared" si="0"/>
        <v>41</v>
      </c>
      <c r="H32" s="34">
        <v>1</v>
      </c>
      <c r="I32" s="34">
        <v>91457</v>
      </c>
      <c r="J32" s="34">
        <v>4</v>
      </c>
      <c r="K32" s="34">
        <v>12</v>
      </c>
      <c r="L32" s="34">
        <v>14</v>
      </c>
      <c r="M32" s="34">
        <v>8</v>
      </c>
      <c r="N32" s="34">
        <v>3</v>
      </c>
      <c r="O32" s="36">
        <f t="shared" si="1"/>
        <v>0.29268292682926833</v>
      </c>
      <c r="P32" s="37">
        <v>0.1042</v>
      </c>
      <c r="Q32" s="38">
        <v>85.65</v>
      </c>
      <c r="R32" s="33">
        <v>1371857</v>
      </c>
      <c r="S32" s="34">
        <v>14</v>
      </c>
      <c r="T32" s="35">
        <f t="shared" si="2"/>
        <v>26</v>
      </c>
      <c r="U32" s="34">
        <v>4881524</v>
      </c>
      <c r="V32" s="35">
        <f t="shared" si="3"/>
        <v>878674.32</v>
      </c>
      <c r="W32" s="35">
        <f t="shared" si="4"/>
        <v>390521.92</v>
      </c>
      <c r="X32" s="35">
        <f t="shared" si="5"/>
        <v>659005.74</v>
      </c>
      <c r="Y32" s="34">
        <v>44850</v>
      </c>
      <c r="Z32" s="34">
        <v>56580</v>
      </c>
      <c r="AA32" s="34">
        <v>61533</v>
      </c>
      <c r="AB32" s="34">
        <v>34528</v>
      </c>
      <c r="AC32" s="34">
        <v>102500</v>
      </c>
      <c r="AD32" s="34">
        <v>131200</v>
      </c>
      <c r="AE32" s="34">
        <v>45000</v>
      </c>
      <c r="AF32" s="34">
        <v>208000</v>
      </c>
      <c r="AG32" s="34">
        <v>31200</v>
      </c>
      <c r="AH32" s="34">
        <v>61500</v>
      </c>
      <c r="AI32" s="34">
        <v>32800</v>
      </c>
      <c r="AJ32" s="34">
        <v>24600</v>
      </c>
      <c r="AK32" s="34">
        <v>47150</v>
      </c>
      <c r="AL32" s="34">
        <v>38876</v>
      </c>
      <c r="AM32" s="35">
        <f t="shared" si="6"/>
        <v>6972688.9800000004</v>
      </c>
      <c r="AN32" s="35">
        <f t="shared" si="7"/>
        <v>757354</v>
      </c>
      <c r="AO32" s="35">
        <f t="shared" si="8"/>
        <v>7730042.9800000004</v>
      </c>
      <c r="AP32" s="34">
        <v>9397156</v>
      </c>
      <c r="AQ32" s="26">
        <f>SUM(AP27:AP38)</f>
        <v>104881328</v>
      </c>
      <c r="AR32" s="26">
        <f>AQ32-SUM(AO27:AO31)</f>
        <v>62544493.969999999</v>
      </c>
      <c r="AS32" s="39">
        <v>7</v>
      </c>
      <c r="AT32" s="28">
        <f t="shared" si="9"/>
        <v>8934927.709999999</v>
      </c>
      <c r="AU32" s="29">
        <f t="shared" si="10"/>
        <v>1204884.7299999986</v>
      </c>
      <c r="AV32" s="26">
        <f t="shared" si="11"/>
        <v>54814450.989999995</v>
      </c>
      <c r="AW32" s="30">
        <f t="shared" si="12"/>
        <v>0.47736692473993086</v>
      </c>
      <c r="AX32" s="31" t="str">
        <f t="shared" si="13"/>
        <v>✓ Within Budget</v>
      </c>
    </row>
    <row r="33" spans="1:50" ht="15.1" customHeight="1" x14ac:dyDescent="0.35">
      <c r="A33" s="19" t="s">
        <v>157</v>
      </c>
      <c r="B33" s="20">
        <v>2024</v>
      </c>
      <c r="C33" s="21">
        <v>41</v>
      </c>
      <c r="D33" s="21">
        <v>0</v>
      </c>
      <c r="E33" s="21">
        <v>1</v>
      </c>
      <c r="F33" s="21">
        <v>1</v>
      </c>
      <c r="G33" s="22">
        <f t="shared" si="0"/>
        <v>40</v>
      </c>
      <c r="H33" s="21">
        <v>1</v>
      </c>
      <c r="I33" s="21">
        <v>91057</v>
      </c>
      <c r="J33" s="21">
        <v>3</v>
      </c>
      <c r="K33" s="21">
        <v>9</v>
      </c>
      <c r="L33" s="21">
        <v>14</v>
      </c>
      <c r="M33" s="21">
        <v>9</v>
      </c>
      <c r="N33" s="21">
        <v>5</v>
      </c>
      <c r="O33" s="23">
        <f t="shared" si="1"/>
        <v>0.29268292682926833</v>
      </c>
      <c r="P33" s="24">
        <v>9.9199999999999997E-2</v>
      </c>
      <c r="Q33" s="25">
        <v>86.6</v>
      </c>
      <c r="R33" s="20">
        <v>1365862</v>
      </c>
      <c r="S33" s="21">
        <v>14</v>
      </c>
      <c r="T33" s="22">
        <f t="shared" si="2"/>
        <v>25</v>
      </c>
      <c r="U33" s="21">
        <v>5116291</v>
      </c>
      <c r="V33" s="22">
        <f t="shared" si="3"/>
        <v>920932.38</v>
      </c>
      <c r="W33" s="22">
        <f t="shared" si="4"/>
        <v>409303.28</v>
      </c>
      <c r="X33" s="22">
        <f t="shared" si="5"/>
        <v>690699.28500000003</v>
      </c>
      <c r="Y33" s="21">
        <v>43125</v>
      </c>
      <c r="Z33" s="21">
        <v>55200</v>
      </c>
      <c r="AA33" s="21">
        <v>71784</v>
      </c>
      <c r="AB33" s="21">
        <v>2574</v>
      </c>
      <c r="AC33" s="21">
        <v>130000</v>
      </c>
      <c r="AD33" s="21">
        <v>128000</v>
      </c>
      <c r="AE33" s="21">
        <v>0</v>
      </c>
      <c r="AF33" s="21">
        <v>200000</v>
      </c>
      <c r="AG33" s="21">
        <v>30000</v>
      </c>
      <c r="AH33" s="21">
        <v>60000</v>
      </c>
      <c r="AI33" s="21">
        <v>32000</v>
      </c>
      <c r="AJ33" s="21">
        <v>24000</v>
      </c>
      <c r="AK33" s="21">
        <v>46000</v>
      </c>
      <c r="AL33" s="21">
        <v>25854</v>
      </c>
      <c r="AM33" s="22">
        <f t="shared" si="6"/>
        <v>7307334.9450000003</v>
      </c>
      <c r="AN33" s="22">
        <f t="shared" si="7"/>
        <v>678428</v>
      </c>
      <c r="AO33" s="22">
        <f t="shared" si="8"/>
        <v>7985762.9450000003</v>
      </c>
      <c r="AP33" s="21">
        <v>8871464</v>
      </c>
      <c r="AQ33" s="26">
        <f>SUM(AP27:AP38)</f>
        <v>104881328</v>
      </c>
      <c r="AR33" s="26">
        <f>AQ33-SUM(AO27:AO32)</f>
        <v>54814450.989999995</v>
      </c>
      <c r="AS33" s="27">
        <v>6</v>
      </c>
      <c r="AT33" s="28">
        <f t="shared" si="9"/>
        <v>9135741.8316666652</v>
      </c>
      <c r="AU33" s="29">
        <f t="shared" si="10"/>
        <v>1149978.8866666649</v>
      </c>
      <c r="AV33" s="26">
        <f t="shared" si="11"/>
        <v>46828688.044999994</v>
      </c>
      <c r="AW33" s="30">
        <f t="shared" si="12"/>
        <v>0.55350786514640626</v>
      </c>
      <c r="AX33" s="31" t="str">
        <f t="shared" si="13"/>
        <v>✓ Within Budget</v>
      </c>
    </row>
    <row r="34" spans="1:50" ht="15.1" customHeight="1" x14ac:dyDescent="0.35">
      <c r="A34" s="32" t="s">
        <v>158</v>
      </c>
      <c r="B34" s="33">
        <v>2024</v>
      </c>
      <c r="C34" s="34">
        <v>40</v>
      </c>
      <c r="D34" s="34">
        <v>2</v>
      </c>
      <c r="E34" s="34">
        <v>0</v>
      </c>
      <c r="F34" s="34">
        <v>0</v>
      </c>
      <c r="G34" s="35">
        <f t="shared" si="0"/>
        <v>42</v>
      </c>
      <c r="H34" s="34">
        <v>1</v>
      </c>
      <c r="I34" s="34">
        <v>93311</v>
      </c>
      <c r="J34" s="34">
        <v>3</v>
      </c>
      <c r="K34" s="34">
        <v>10</v>
      </c>
      <c r="L34" s="34">
        <v>19</v>
      </c>
      <c r="M34" s="34">
        <v>7</v>
      </c>
      <c r="N34" s="34">
        <v>3</v>
      </c>
      <c r="O34" s="36">
        <f t="shared" si="1"/>
        <v>0</v>
      </c>
      <c r="P34" s="37">
        <v>9.5500000000000002E-2</v>
      </c>
      <c r="Q34" s="38">
        <v>86.26</v>
      </c>
      <c r="R34" s="33">
        <v>1399671</v>
      </c>
      <c r="S34" s="34">
        <v>15</v>
      </c>
      <c r="T34" s="35">
        <f t="shared" si="2"/>
        <v>26</v>
      </c>
      <c r="U34" s="34">
        <v>5149623</v>
      </c>
      <c r="V34" s="35">
        <f t="shared" si="3"/>
        <v>926932.14</v>
      </c>
      <c r="W34" s="35">
        <f t="shared" si="4"/>
        <v>411969.84</v>
      </c>
      <c r="X34" s="35">
        <f t="shared" si="5"/>
        <v>695199.1050000001</v>
      </c>
      <c r="Y34" s="34">
        <v>43680</v>
      </c>
      <c r="Z34" s="34">
        <v>56448</v>
      </c>
      <c r="AA34" s="34">
        <v>84999</v>
      </c>
      <c r="AB34" s="34">
        <v>76976</v>
      </c>
      <c r="AC34" s="34">
        <v>105000</v>
      </c>
      <c r="AD34" s="34">
        <v>134400</v>
      </c>
      <c r="AE34" s="34">
        <v>90000</v>
      </c>
      <c r="AF34" s="34">
        <v>208000</v>
      </c>
      <c r="AG34" s="34">
        <v>31200</v>
      </c>
      <c r="AH34" s="34">
        <v>63000</v>
      </c>
      <c r="AI34" s="34">
        <v>33600</v>
      </c>
      <c r="AJ34" s="34">
        <v>25200</v>
      </c>
      <c r="AK34" s="34">
        <v>47040</v>
      </c>
      <c r="AL34" s="34">
        <v>3204</v>
      </c>
      <c r="AM34" s="35">
        <f t="shared" si="6"/>
        <v>7368851.085</v>
      </c>
      <c r="AN34" s="35">
        <f t="shared" si="7"/>
        <v>817620</v>
      </c>
      <c r="AO34" s="35">
        <f t="shared" si="8"/>
        <v>8186471.085</v>
      </c>
      <c r="AP34" s="34">
        <v>9269488</v>
      </c>
      <c r="AQ34" s="26">
        <f>SUM(AP27:AP38)</f>
        <v>104881328</v>
      </c>
      <c r="AR34" s="26">
        <f>AQ34-SUM(AO27:AO33)</f>
        <v>46828688.044999994</v>
      </c>
      <c r="AS34" s="39">
        <v>5</v>
      </c>
      <c r="AT34" s="28">
        <f t="shared" si="9"/>
        <v>9365737.6089999992</v>
      </c>
      <c r="AU34" s="29">
        <f t="shared" si="10"/>
        <v>1179266.5239999993</v>
      </c>
      <c r="AV34" s="26">
        <f t="shared" si="11"/>
        <v>38642216.959999993</v>
      </c>
      <c r="AW34" s="30">
        <f t="shared" si="12"/>
        <v>0.63156247449498359</v>
      </c>
      <c r="AX34" s="31" t="str">
        <f t="shared" si="13"/>
        <v>✓ Within Budget</v>
      </c>
    </row>
    <row r="35" spans="1:50" ht="15.1" customHeight="1" x14ac:dyDescent="0.35">
      <c r="A35" s="19" t="s">
        <v>159</v>
      </c>
      <c r="B35" s="20">
        <v>2024</v>
      </c>
      <c r="C35" s="21">
        <v>42</v>
      </c>
      <c r="D35" s="21">
        <v>0</v>
      </c>
      <c r="E35" s="21">
        <v>1</v>
      </c>
      <c r="F35" s="21">
        <v>1</v>
      </c>
      <c r="G35" s="22">
        <f t="shared" si="0"/>
        <v>41</v>
      </c>
      <c r="H35" s="21">
        <v>1</v>
      </c>
      <c r="I35" s="21">
        <v>93011</v>
      </c>
      <c r="J35" s="21">
        <v>3</v>
      </c>
      <c r="K35" s="21">
        <v>12</v>
      </c>
      <c r="L35" s="21">
        <v>15</v>
      </c>
      <c r="M35" s="21">
        <v>8</v>
      </c>
      <c r="N35" s="21">
        <v>3</v>
      </c>
      <c r="O35" s="23">
        <f t="shared" si="1"/>
        <v>0.2857142857142857</v>
      </c>
      <c r="P35" s="24">
        <v>9.1800000000000007E-2</v>
      </c>
      <c r="Q35" s="25">
        <v>86.4</v>
      </c>
      <c r="R35" s="20">
        <v>1395158</v>
      </c>
      <c r="S35" s="21">
        <v>14</v>
      </c>
      <c r="T35" s="22">
        <f t="shared" si="2"/>
        <v>26</v>
      </c>
      <c r="U35" s="21">
        <v>5016756</v>
      </c>
      <c r="V35" s="22">
        <f t="shared" si="3"/>
        <v>903016.08</v>
      </c>
      <c r="W35" s="22">
        <f t="shared" si="4"/>
        <v>401340.48</v>
      </c>
      <c r="X35" s="22">
        <f t="shared" si="5"/>
        <v>677262.06</v>
      </c>
      <c r="Y35" s="21">
        <v>39000</v>
      </c>
      <c r="Z35" s="21">
        <v>49200</v>
      </c>
      <c r="AA35" s="21">
        <v>90817</v>
      </c>
      <c r="AB35" s="21">
        <v>5926</v>
      </c>
      <c r="AC35" s="21">
        <v>102500</v>
      </c>
      <c r="AD35" s="21">
        <v>131200</v>
      </c>
      <c r="AE35" s="21">
        <v>0</v>
      </c>
      <c r="AF35" s="21">
        <v>208000</v>
      </c>
      <c r="AG35" s="21">
        <v>31200</v>
      </c>
      <c r="AH35" s="21">
        <v>61500</v>
      </c>
      <c r="AI35" s="21">
        <v>32800</v>
      </c>
      <c r="AJ35" s="21">
        <v>24600</v>
      </c>
      <c r="AK35" s="21">
        <v>41000</v>
      </c>
      <c r="AL35" s="21">
        <v>21045</v>
      </c>
      <c r="AM35" s="22">
        <f t="shared" si="6"/>
        <v>7177391.620000001</v>
      </c>
      <c r="AN35" s="22">
        <f t="shared" si="7"/>
        <v>659771</v>
      </c>
      <c r="AO35" s="22">
        <f t="shared" si="8"/>
        <v>7837162.620000001</v>
      </c>
      <c r="AP35" s="21">
        <v>7609191</v>
      </c>
      <c r="AQ35" s="26">
        <f>SUM(AP27:AP38)</f>
        <v>104881328</v>
      </c>
      <c r="AR35" s="26">
        <f>AQ35-SUM(AO27:AO34)</f>
        <v>38642216.959999993</v>
      </c>
      <c r="AS35" s="27">
        <v>4</v>
      </c>
      <c r="AT35" s="28">
        <f t="shared" si="9"/>
        <v>9660554.2399999984</v>
      </c>
      <c r="AU35" s="29">
        <f t="shared" si="10"/>
        <v>1823391.6199999973</v>
      </c>
      <c r="AV35" s="26">
        <f t="shared" si="11"/>
        <v>30805054.339999992</v>
      </c>
      <c r="AW35" s="30">
        <f t="shared" si="12"/>
        <v>0.70628657238207371</v>
      </c>
      <c r="AX35" s="31" t="str">
        <f t="shared" si="13"/>
        <v>✓ Within Budget</v>
      </c>
    </row>
    <row r="36" spans="1:50" ht="15.1" customHeight="1" x14ac:dyDescent="0.35">
      <c r="A36" s="32" t="s">
        <v>160</v>
      </c>
      <c r="B36" s="33">
        <v>2025</v>
      </c>
      <c r="C36" s="34">
        <v>41</v>
      </c>
      <c r="D36" s="34">
        <v>2</v>
      </c>
      <c r="E36" s="34">
        <v>0</v>
      </c>
      <c r="F36" s="34">
        <v>0</v>
      </c>
      <c r="G36" s="35">
        <f t="shared" si="0"/>
        <v>43</v>
      </c>
      <c r="H36" s="34">
        <v>0</v>
      </c>
      <c r="I36" s="34">
        <v>0</v>
      </c>
      <c r="J36" s="34">
        <v>2</v>
      </c>
      <c r="K36" s="34">
        <v>11</v>
      </c>
      <c r="L36" s="34">
        <v>14</v>
      </c>
      <c r="M36" s="34">
        <v>10</v>
      </c>
      <c r="N36" s="34">
        <v>6</v>
      </c>
      <c r="O36" s="36">
        <f t="shared" si="1"/>
        <v>0</v>
      </c>
      <c r="P36" s="37">
        <v>0.1205</v>
      </c>
      <c r="Q36" s="38">
        <v>86.37</v>
      </c>
      <c r="R36" s="33">
        <v>1429712</v>
      </c>
      <c r="S36" s="34">
        <v>15</v>
      </c>
      <c r="T36" s="35">
        <f t="shared" si="2"/>
        <v>28</v>
      </c>
      <c r="U36" s="41">
        <v>8810599</v>
      </c>
      <c r="V36" s="35">
        <f t="shared" si="3"/>
        <v>1585907.8199999998</v>
      </c>
      <c r="W36" s="35">
        <f t="shared" si="4"/>
        <v>704847.92</v>
      </c>
      <c r="X36" s="35">
        <f t="shared" si="5"/>
        <v>1189430.865</v>
      </c>
      <c r="Y36" s="34">
        <v>45360</v>
      </c>
      <c r="Z36" s="34">
        <v>55728</v>
      </c>
      <c r="AA36" s="41">
        <v>148842</v>
      </c>
      <c r="AB36" s="41">
        <v>92280</v>
      </c>
      <c r="AC36" s="34">
        <v>107500</v>
      </c>
      <c r="AD36" s="34">
        <v>137600</v>
      </c>
      <c r="AE36" s="34">
        <v>90000</v>
      </c>
      <c r="AF36" s="34">
        <v>224000</v>
      </c>
      <c r="AG36" s="34">
        <v>33600</v>
      </c>
      <c r="AH36" s="34">
        <v>64500</v>
      </c>
      <c r="AI36" s="34">
        <v>34400</v>
      </c>
      <c r="AJ36" s="34">
        <v>25800</v>
      </c>
      <c r="AK36" s="41">
        <v>62694</v>
      </c>
      <c r="AL36" s="34">
        <v>14842</v>
      </c>
      <c r="AM36" s="35">
        <f t="shared" si="6"/>
        <v>12540715.605</v>
      </c>
      <c r="AN36" s="35">
        <f t="shared" si="7"/>
        <v>887216</v>
      </c>
      <c r="AO36" s="35">
        <f t="shared" si="8"/>
        <v>13427931.605</v>
      </c>
      <c r="AP36" s="34">
        <v>9547368</v>
      </c>
      <c r="AQ36" s="26">
        <f>SUM(AP27:AP38)</f>
        <v>104881328</v>
      </c>
      <c r="AR36" s="26">
        <f>AQ36-SUM(AO27:AO35)</f>
        <v>30805054.339999989</v>
      </c>
      <c r="AS36" s="39">
        <v>3</v>
      </c>
      <c r="AT36" s="28">
        <f t="shared" si="9"/>
        <v>10268351.446666664</v>
      </c>
      <c r="AU36" s="29">
        <f t="shared" si="10"/>
        <v>-3159580.1583333369</v>
      </c>
      <c r="AV36" s="26">
        <f t="shared" si="11"/>
        <v>17377122.734999988</v>
      </c>
      <c r="AW36" s="30">
        <f t="shared" si="12"/>
        <v>0.8343163357447192</v>
      </c>
      <c r="AX36" s="31" t="str">
        <f t="shared" si="13"/>
        <v>⚠ Over Budget</v>
      </c>
    </row>
    <row r="37" spans="1:50" ht="15.1" customHeight="1" x14ac:dyDescent="0.35">
      <c r="A37" s="19" t="s">
        <v>161</v>
      </c>
      <c r="B37" s="20">
        <v>2025</v>
      </c>
      <c r="C37" s="21">
        <v>43</v>
      </c>
      <c r="D37" s="21">
        <v>1</v>
      </c>
      <c r="E37" s="21">
        <v>1</v>
      </c>
      <c r="F37" s="21">
        <v>1</v>
      </c>
      <c r="G37" s="22">
        <f t="shared" si="0"/>
        <v>43</v>
      </c>
      <c r="H37" s="21">
        <v>1</v>
      </c>
      <c r="I37" s="21">
        <v>93397</v>
      </c>
      <c r="J37" s="21">
        <v>4</v>
      </c>
      <c r="K37" s="21">
        <v>11</v>
      </c>
      <c r="L37" s="21">
        <v>14</v>
      </c>
      <c r="M37" s="21">
        <v>10</v>
      </c>
      <c r="N37" s="21">
        <v>4</v>
      </c>
      <c r="O37" s="23">
        <f t="shared" si="1"/>
        <v>0.27906976744186046</v>
      </c>
      <c r="P37" s="24">
        <v>9.6100000000000005E-2</v>
      </c>
      <c r="Q37" s="25">
        <v>86.77</v>
      </c>
      <c r="R37" s="20">
        <v>1400948</v>
      </c>
      <c r="S37" s="21">
        <v>15</v>
      </c>
      <c r="T37" s="22">
        <f t="shared" si="2"/>
        <v>27</v>
      </c>
      <c r="U37" s="21">
        <v>5440348</v>
      </c>
      <c r="V37" s="22">
        <f t="shared" si="3"/>
        <v>979262.64</v>
      </c>
      <c r="W37" s="22">
        <f t="shared" si="4"/>
        <v>435227.84</v>
      </c>
      <c r="X37" s="22">
        <f t="shared" si="5"/>
        <v>734446.9800000001</v>
      </c>
      <c r="Y37" s="21">
        <v>43740</v>
      </c>
      <c r="Z37" s="21">
        <v>55728</v>
      </c>
      <c r="AA37" s="21">
        <v>88789</v>
      </c>
      <c r="AB37" s="21">
        <v>38571</v>
      </c>
      <c r="AC37" s="21">
        <v>107500</v>
      </c>
      <c r="AD37" s="21">
        <v>137600</v>
      </c>
      <c r="AE37" s="21">
        <v>45000</v>
      </c>
      <c r="AF37" s="21">
        <v>216000</v>
      </c>
      <c r="AG37" s="21">
        <v>32400</v>
      </c>
      <c r="AH37" s="21">
        <v>64500</v>
      </c>
      <c r="AI37" s="21">
        <v>34400</v>
      </c>
      <c r="AJ37" s="21">
        <v>25800</v>
      </c>
      <c r="AK37" s="21">
        <v>46440</v>
      </c>
      <c r="AL37" s="21">
        <v>21149</v>
      </c>
      <c r="AM37" s="22">
        <f t="shared" si="6"/>
        <v>7777542.46</v>
      </c>
      <c r="AN37" s="22">
        <f t="shared" si="7"/>
        <v>769360</v>
      </c>
      <c r="AO37" s="22">
        <f t="shared" si="8"/>
        <v>8546902.4600000009</v>
      </c>
      <c r="AP37" s="21">
        <v>9050986</v>
      </c>
      <c r="AQ37" s="26">
        <f>SUM(AP27:AP38)</f>
        <v>104881328</v>
      </c>
      <c r="AR37" s="26">
        <f>AQ37-SUM(AO27:AO36)</f>
        <v>17377122.734999985</v>
      </c>
      <c r="AS37" s="27">
        <v>2</v>
      </c>
      <c r="AT37" s="28">
        <f t="shared" si="9"/>
        <v>8688561.3674999923</v>
      </c>
      <c r="AU37" s="29">
        <f t="shared" si="10"/>
        <v>141658.90749999136</v>
      </c>
      <c r="AV37" s="26">
        <f t="shared" si="11"/>
        <v>8830220.2749999836</v>
      </c>
      <c r="AW37" s="30">
        <f t="shared" si="12"/>
        <v>0.9158075088923362</v>
      </c>
      <c r="AX37" s="31" t="str">
        <f t="shared" si="13"/>
        <v>✓ Within Budget</v>
      </c>
    </row>
    <row r="38" spans="1:50" ht="15.1" customHeight="1" x14ac:dyDescent="0.35">
      <c r="A38" s="32" t="s">
        <v>162</v>
      </c>
      <c r="B38" s="33">
        <v>2025</v>
      </c>
      <c r="C38" s="34">
        <v>43</v>
      </c>
      <c r="D38" s="34">
        <v>0</v>
      </c>
      <c r="E38" s="34">
        <v>0</v>
      </c>
      <c r="F38" s="34">
        <v>0</v>
      </c>
      <c r="G38" s="35">
        <f t="shared" si="0"/>
        <v>43</v>
      </c>
      <c r="H38" s="34">
        <v>0</v>
      </c>
      <c r="I38" s="34">
        <v>0</v>
      </c>
      <c r="J38" s="34">
        <v>3</v>
      </c>
      <c r="K38" s="34">
        <v>10</v>
      </c>
      <c r="L38" s="34">
        <v>16</v>
      </c>
      <c r="M38" s="34">
        <v>10</v>
      </c>
      <c r="N38" s="34">
        <v>4</v>
      </c>
      <c r="O38" s="36">
        <f t="shared" si="1"/>
        <v>0</v>
      </c>
      <c r="P38" s="37">
        <v>0.1002</v>
      </c>
      <c r="Q38" s="38">
        <v>86.87</v>
      </c>
      <c r="R38" s="33">
        <v>1431198</v>
      </c>
      <c r="S38" s="34">
        <v>15</v>
      </c>
      <c r="T38" s="35">
        <f t="shared" si="2"/>
        <v>28</v>
      </c>
      <c r="U38" s="34">
        <v>5635342</v>
      </c>
      <c r="V38" s="35">
        <f t="shared" si="3"/>
        <v>1014361.5599999999</v>
      </c>
      <c r="W38" s="35">
        <f t="shared" si="4"/>
        <v>450827.36</v>
      </c>
      <c r="X38" s="35">
        <f t="shared" si="5"/>
        <v>760771.17</v>
      </c>
      <c r="Y38" s="34">
        <v>44520</v>
      </c>
      <c r="Z38" s="34">
        <v>54696</v>
      </c>
      <c r="AA38" s="34">
        <v>68502</v>
      </c>
      <c r="AB38" s="34">
        <v>3533</v>
      </c>
      <c r="AC38" s="34">
        <v>107500</v>
      </c>
      <c r="AD38" s="34">
        <v>137600</v>
      </c>
      <c r="AE38" s="34">
        <v>0</v>
      </c>
      <c r="AF38" s="34">
        <v>224000</v>
      </c>
      <c r="AG38" s="34">
        <v>33600</v>
      </c>
      <c r="AH38" s="34">
        <v>64500</v>
      </c>
      <c r="AI38" s="34">
        <v>34400</v>
      </c>
      <c r="AJ38" s="34">
        <v>25800</v>
      </c>
      <c r="AK38" s="34">
        <v>45580</v>
      </c>
      <c r="AL38" s="34">
        <v>7029</v>
      </c>
      <c r="AM38" s="35">
        <f t="shared" si="6"/>
        <v>8029020.0899999999</v>
      </c>
      <c r="AN38" s="35">
        <f t="shared" si="7"/>
        <v>683542</v>
      </c>
      <c r="AO38" s="35">
        <f t="shared" si="8"/>
        <v>8712562.0899999999</v>
      </c>
      <c r="AP38" s="34">
        <v>9043214</v>
      </c>
      <c r="AQ38" s="26">
        <f>SUM(AP27:AP38)</f>
        <v>104881328</v>
      </c>
      <c r="AR38" s="26">
        <f>AQ38-SUM(AO27:AO37)</f>
        <v>8830220.2749999762</v>
      </c>
      <c r="AS38" s="39">
        <v>1</v>
      </c>
      <c r="AT38" s="28">
        <f t="shared" si="9"/>
        <v>8830220.2749999762</v>
      </c>
      <c r="AU38" s="29">
        <f t="shared" si="10"/>
        <v>117658.18499997631</v>
      </c>
      <c r="AV38" s="26">
        <f t="shared" si="11"/>
        <v>117658.18499997631</v>
      </c>
      <c r="AW38" s="30">
        <f t="shared" si="12"/>
        <v>0.99887817796319311</v>
      </c>
      <c r="AX38" s="31" t="str">
        <f t="shared" si="13"/>
        <v>✓ Within Budget</v>
      </c>
    </row>
  </sheetData>
  <mergeCells count="1">
    <mergeCell ref="A1:AV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38"/>
  <sheetViews>
    <sheetView zoomScaleNormal="100" workbookViewId="0">
      <pane xSplit="2" ySplit="2" topLeftCell="C32" activePane="bottomRight" state="frozen"/>
      <selection pane="topRight" activeCell="C1" sqref="C1"/>
      <selection pane="bottomLeft" activeCell="A3" sqref="A3"/>
      <selection pane="bottomRight" activeCell="A40" sqref="A40:XFD62"/>
    </sheetView>
  </sheetViews>
  <sheetFormatPr defaultColWidth="8.6328125" defaultRowHeight="14.85" x14ac:dyDescent="0.35"/>
  <cols>
    <col min="1" max="1" width="10" customWidth="1"/>
    <col min="2" max="48" width="16" customWidth="1"/>
    <col min="49" max="50" width="18" customWidth="1"/>
  </cols>
  <sheetData>
    <row r="1" spans="1:50" ht="21.7" customHeight="1" x14ac:dyDescent="0.35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50" ht="30" customHeight="1" x14ac:dyDescent="0.35">
      <c r="A2" s="18" t="s">
        <v>37</v>
      </c>
      <c r="B2" s="18" t="s">
        <v>78</v>
      </c>
      <c r="C2" s="18" t="s">
        <v>79</v>
      </c>
      <c r="D2" s="18" t="s">
        <v>80</v>
      </c>
      <c r="E2" s="18" t="s">
        <v>81</v>
      </c>
      <c r="F2" s="18" t="s">
        <v>82</v>
      </c>
      <c r="G2" s="18" t="s">
        <v>83</v>
      </c>
      <c r="H2" s="18" t="s">
        <v>84</v>
      </c>
      <c r="I2" s="18" t="s">
        <v>85</v>
      </c>
      <c r="J2" s="18" t="s">
        <v>86</v>
      </c>
      <c r="K2" s="18" t="s">
        <v>87</v>
      </c>
      <c r="L2" s="18" t="s">
        <v>88</v>
      </c>
      <c r="M2" s="18" t="s">
        <v>89</v>
      </c>
      <c r="N2" s="18" t="s">
        <v>90</v>
      </c>
      <c r="O2" s="18" t="s">
        <v>91</v>
      </c>
      <c r="P2" s="18" t="s">
        <v>92</v>
      </c>
      <c r="Q2" s="18" t="s">
        <v>93</v>
      </c>
      <c r="R2" s="18" t="s">
        <v>94</v>
      </c>
      <c r="S2" s="18" t="s">
        <v>95</v>
      </c>
      <c r="T2" s="18" t="s">
        <v>96</v>
      </c>
      <c r="U2" s="18" t="s">
        <v>97</v>
      </c>
      <c r="V2" s="18" t="s">
        <v>98</v>
      </c>
      <c r="W2" s="18" t="s">
        <v>99</v>
      </c>
      <c r="X2" s="18" t="s">
        <v>100</v>
      </c>
      <c r="Y2" s="18" t="s">
        <v>101</v>
      </c>
      <c r="Z2" s="18" t="s">
        <v>102</v>
      </c>
      <c r="AA2" s="18" t="s">
        <v>103</v>
      </c>
      <c r="AB2" s="18" t="s">
        <v>104</v>
      </c>
      <c r="AC2" s="18" t="s">
        <v>105</v>
      </c>
      <c r="AD2" s="18" t="s">
        <v>106</v>
      </c>
      <c r="AE2" s="18" t="s">
        <v>107</v>
      </c>
      <c r="AF2" s="18" t="s">
        <v>108</v>
      </c>
      <c r="AG2" s="18" t="s">
        <v>109</v>
      </c>
      <c r="AH2" s="18" t="s">
        <v>110</v>
      </c>
      <c r="AI2" s="18" t="s">
        <v>111</v>
      </c>
      <c r="AJ2" s="18" t="s">
        <v>112</v>
      </c>
      <c r="AK2" s="18" t="s">
        <v>113</v>
      </c>
      <c r="AL2" s="18" t="s">
        <v>114</v>
      </c>
      <c r="AM2" s="18" t="s">
        <v>115</v>
      </c>
      <c r="AN2" s="18" t="s">
        <v>116</v>
      </c>
      <c r="AO2" s="18" t="s">
        <v>117</v>
      </c>
      <c r="AP2" s="18" t="s">
        <v>118</v>
      </c>
      <c r="AQ2" s="18" t="s">
        <v>119</v>
      </c>
      <c r="AR2" s="18" t="s">
        <v>120</v>
      </c>
      <c r="AS2" s="18" t="s">
        <v>121</v>
      </c>
      <c r="AT2" s="18" t="s">
        <v>122</v>
      </c>
      <c r="AU2" s="18" t="s">
        <v>123</v>
      </c>
      <c r="AV2" s="18" t="s">
        <v>124</v>
      </c>
      <c r="AW2" s="18" t="s">
        <v>125</v>
      </c>
      <c r="AX2" s="18" t="s">
        <v>126</v>
      </c>
    </row>
    <row r="3" spans="1:50" ht="15.1" customHeight="1" x14ac:dyDescent="0.35">
      <c r="A3" s="19" t="s">
        <v>127</v>
      </c>
      <c r="B3" s="20">
        <v>2022</v>
      </c>
      <c r="C3" s="21">
        <v>60</v>
      </c>
      <c r="D3" s="21">
        <v>3</v>
      </c>
      <c r="E3" s="21">
        <v>2</v>
      </c>
      <c r="F3" s="21">
        <v>2</v>
      </c>
      <c r="G3" s="22">
        <f t="shared" ref="G3:G38" si="0">C3+D3-E3</f>
        <v>61</v>
      </c>
      <c r="H3" s="21">
        <v>1</v>
      </c>
      <c r="I3" s="21">
        <v>87359</v>
      </c>
      <c r="J3" s="21">
        <v>5</v>
      </c>
      <c r="K3" s="21">
        <v>15</v>
      </c>
      <c r="L3" s="21">
        <v>17</v>
      </c>
      <c r="M3" s="21">
        <v>15</v>
      </c>
      <c r="N3" s="21">
        <v>9</v>
      </c>
      <c r="O3" s="23">
        <f t="shared" ref="O3:O38" si="1">F3/(C3)*12</f>
        <v>0.4</v>
      </c>
      <c r="P3" s="24">
        <v>0.13020000000000001</v>
      </c>
      <c r="Q3" s="25">
        <v>82.61</v>
      </c>
      <c r="R3" s="20">
        <v>1310384</v>
      </c>
      <c r="S3" s="21">
        <v>18</v>
      </c>
      <c r="T3" s="22">
        <f t="shared" ref="T3:T38" si="2">G3-H3-S3</f>
        <v>42</v>
      </c>
      <c r="U3" s="21">
        <v>7627527</v>
      </c>
      <c r="V3" s="22">
        <f t="shared" ref="V3:V38" si="3">U3*0.18</f>
        <v>1372954.8599999999</v>
      </c>
      <c r="W3" s="22">
        <f t="shared" ref="W3:W38" si="4">U3*0.08</f>
        <v>610202.16</v>
      </c>
      <c r="X3" s="22">
        <f t="shared" ref="X3:X38" si="5">U3*0.135</f>
        <v>1029716.145</v>
      </c>
      <c r="Y3" s="21">
        <v>69300</v>
      </c>
      <c r="Z3" s="21">
        <v>80520</v>
      </c>
      <c r="AA3" s="21">
        <v>106799</v>
      </c>
      <c r="AB3" s="21">
        <v>116248</v>
      </c>
      <c r="AC3" s="21">
        <v>198250</v>
      </c>
      <c r="AD3" s="21">
        <v>195200</v>
      </c>
      <c r="AE3" s="21">
        <v>135000</v>
      </c>
      <c r="AF3" s="21">
        <v>336000</v>
      </c>
      <c r="AG3" s="21">
        <v>50400</v>
      </c>
      <c r="AH3" s="21">
        <v>91500</v>
      </c>
      <c r="AI3" s="21">
        <v>48800</v>
      </c>
      <c r="AJ3" s="21">
        <v>36600</v>
      </c>
      <c r="AK3" s="21">
        <v>67100</v>
      </c>
      <c r="AL3" s="21">
        <v>34274</v>
      </c>
      <c r="AM3" s="22">
        <f t="shared" ref="AM3:AM38" si="6">SUM(U3:AA3)</f>
        <v>10897019.164999999</v>
      </c>
      <c r="AN3" s="22">
        <f t="shared" ref="AN3:AN38" si="7">SUM(AB3:AL3)</f>
        <v>1309372</v>
      </c>
      <c r="AO3" s="22">
        <f t="shared" ref="AO3:AO38" si="8">AM3+AN3</f>
        <v>12206391.164999999</v>
      </c>
      <c r="AP3" s="21">
        <v>13086929</v>
      </c>
      <c r="AQ3" s="26">
        <f>SUM(AP3:AP14)</f>
        <v>179299979</v>
      </c>
      <c r="AR3" s="26">
        <f>AQ3</f>
        <v>179299979</v>
      </c>
      <c r="AS3" s="27">
        <v>12</v>
      </c>
      <c r="AT3" s="28">
        <f t="shared" ref="AT3:AT38" si="9">IF(AM3&gt;0,AR3/AS3,0)</f>
        <v>14941664.916666666</v>
      </c>
      <c r="AU3" s="29">
        <f t="shared" ref="AU3:AU38" si="10">AT3-AO3</f>
        <v>2735273.7516666669</v>
      </c>
      <c r="AV3" s="26">
        <f t="shared" ref="AV3:AV38" si="11">AR3-AO3</f>
        <v>167093587.83500001</v>
      </c>
      <c r="AW3" s="30">
        <f t="shared" ref="AW3:AW38" si="12">IF(AQ3&gt;0,(AQ3-AV3)/AQ3,0)</f>
        <v>6.8078040126262326E-2</v>
      </c>
      <c r="AX3" s="31" t="str">
        <f t="shared" ref="AX3:AX38" si="13">IF(AU3&lt;0,"⚠ Over Budget","✓ Within Budget")</f>
        <v>✓ Within Budget</v>
      </c>
    </row>
    <row r="4" spans="1:50" ht="15.1" customHeight="1" x14ac:dyDescent="0.35">
      <c r="A4" s="32" t="s">
        <v>128</v>
      </c>
      <c r="B4" s="33">
        <v>2022</v>
      </c>
      <c r="C4" s="34">
        <v>61</v>
      </c>
      <c r="D4" s="34">
        <v>4</v>
      </c>
      <c r="E4" s="34">
        <v>0</v>
      </c>
      <c r="F4" s="34">
        <v>0</v>
      </c>
      <c r="G4" s="35">
        <f t="shared" si="0"/>
        <v>65</v>
      </c>
      <c r="H4" s="34">
        <v>1</v>
      </c>
      <c r="I4" s="34">
        <v>88300</v>
      </c>
      <c r="J4" s="34">
        <v>5</v>
      </c>
      <c r="K4" s="34">
        <v>13</v>
      </c>
      <c r="L4" s="34">
        <v>20</v>
      </c>
      <c r="M4" s="34">
        <v>17</v>
      </c>
      <c r="N4" s="34">
        <v>10</v>
      </c>
      <c r="O4" s="36">
        <f t="shared" si="1"/>
        <v>0</v>
      </c>
      <c r="P4" s="37">
        <v>0.1095</v>
      </c>
      <c r="Q4" s="38">
        <v>81.91</v>
      </c>
      <c r="R4" s="33">
        <v>1324497</v>
      </c>
      <c r="S4" s="34">
        <v>20</v>
      </c>
      <c r="T4" s="35">
        <f t="shared" si="2"/>
        <v>44</v>
      </c>
      <c r="U4" s="34">
        <v>8382962</v>
      </c>
      <c r="V4" s="35">
        <f t="shared" si="3"/>
        <v>1508933.16</v>
      </c>
      <c r="W4" s="35">
        <f t="shared" si="4"/>
        <v>670636.96</v>
      </c>
      <c r="X4" s="35">
        <f t="shared" si="5"/>
        <v>1131699.8700000001</v>
      </c>
      <c r="Y4" s="34">
        <v>72600</v>
      </c>
      <c r="Z4" s="34">
        <v>85800</v>
      </c>
      <c r="AA4" s="34">
        <v>117498</v>
      </c>
      <c r="AB4" s="34">
        <v>147311</v>
      </c>
      <c r="AC4" s="34">
        <v>211250</v>
      </c>
      <c r="AD4" s="34">
        <v>208000</v>
      </c>
      <c r="AE4" s="34">
        <v>180000</v>
      </c>
      <c r="AF4" s="34">
        <v>352000</v>
      </c>
      <c r="AG4" s="34">
        <v>52800</v>
      </c>
      <c r="AH4" s="34">
        <v>97500</v>
      </c>
      <c r="AI4" s="34">
        <v>52000</v>
      </c>
      <c r="AJ4" s="34">
        <v>39000</v>
      </c>
      <c r="AK4" s="34">
        <v>71500</v>
      </c>
      <c r="AL4" s="34">
        <v>47742</v>
      </c>
      <c r="AM4" s="35">
        <f t="shared" si="6"/>
        <v>11970129.990000002</v>
      </c>
      <c r="AN4" s="35">
        <f t="shared" si="7"/>
        <v>1459103</v>
      </c>
      <c r="AO4" s="35">
        <f t="shared" si="8"/>
        <v>13429232.990000002</v>
      </c>
      <c r="AP4" s="34">
        <v>15870987</v>
      </c>
      <c r="AQ4" s="26">
        <f>SUM(AP3:AP14)</f>
        <v>179299979</v>
      </c>
      <c r="AR4" s="26">
        <f>AQ4-SUM(AO3:AO3)</f>
        <v>167093587.83500001</v>
      </c>
      <c r="AS4" s="39">
        <v>11</v>
      </c>
      <c r="AT4" s="28">
        <f t="shared" si="9"/>
        <v>15190326.166818183</v>
      </c>
      <c r="AU4" s="29">
        <f t="shared" si="10"/>
        <v>1761093.1768181808</v>
      </c>
      <c r="AV4" s="26">
        <f t="shared" si="11"/>
        <v>153664354.845</v>
      </c>
      <c r="AW4" s="30">
        <f t="shared" si="12"/>
        <v>0.1429761693112078</v>
      </c>
      <c r="AX4" s="31" t="str">
        <f t="shared" si="13"/>
        <v>✓ Within Budget</v>
      </c>
    </row>
    <row r="5" spans="1:50" ht="15.1" customHeight="1" x14ac:dyDescent="0.35">
      <c r="A5" s="19" t="s">
        <v>129</v>
      </c>
      <c r="B5" s="20">
        <v>2022</v>
      </c>
      <c r="C5" s="21">
        <v>65</v>
      </c>
      <c r="D5" s="21">
        <v>1</v>
      </c>
      <c r="E5" s="21">
        <v>1</v>
      </c>
      <c r="F5" s="21">
        <v>1</v>
      </c>
      <c r="G5" s="22">
        <f t="shared" si="0"/>
        <v>65</v>
      </c>
      <c r="H5" s="21">
        <v>1</v>
      </c>
      <c r="I5" s="21">
        <v>88135</v>
      </c>
      <c r="J5" s="21">
        <v>5</v>
      </c>
      <c r="K5" s="21">
        <v>13</v>
      </c>
      <c r="L5" s="21">
        <v>21</v>
      </c>
      <c r="M5" s="21">
        <v>15</v>
      </c>
      <c r="N5" s="21">
        <v>11</v>
      </c>
      <c r="O5" s="23">
        <f t="shared" si="1"/>
        <v>0.18461538461538463</v>
      </c>
      <c r="P5" s="24">
        <v>0.1048</v>
      </c>
      <c r="Q5" s="25">
        <v>82.42</v>
      </c>
      <c r="R5" s="20">
        <v>1322028</v>
      </c>
      <c r="S5" s="21">
        <v>20</v>
      </c>
      <c r="T5" s="22">
        <f t="shared" si="2"/>
        <v>44</v>
      </c>
      <c r="U5" s="21">
        <v>8378352</v>
      </c>
      <c r="V5" s="22">
        <f t="shared" si="3"/>
        <v>1508103.3599999999</v>
      </c>
      <c r="W5" s="22">
        <f t="shared" si="4"/>
        <v>670268.16000000003</v>
      </c>
      <c r="X5" s="22">
        <f t="shared" si="5"/>
        <v>1131077.52</v>
      </c>
      <c r="Y5" s="21">
        <v>69300</v>
      </c>
      <c r="Z5" s="21">
        <v>81900</v>
      </c>
      <c r="AA5" s="21">
        <v>123250</v>
      </c>
      <c r="AB5" s="21">
        <v>32713</v>
      </c>
      <c r="AC5" s="21">
        <v>162500</v>
      </c>
      <c r="AD5" s="21">
        <v>208000</v>
      </c>
      <c r="AE5" s="21">
        <v>45000</v>
      </c>
      <c r="AF5" s="21">
        <v>352000</v>
      </c>
      <c r="AG5" s="21">
        <v>52800</v>
      </c>
      <c r="AH5" s="21">
        <v>97500</v>
      </c>
      <c r="AI5" s="21">
        <v>52000</v>
      </c>
      <c r="AJ5" s="21">
        <v>39000</v>
      </c>
      <c r="AK5" s="21">
        <v>68250</v>
      </c>
      <c r="AL5" s="21">
        <v>57286</v>
      </c>
      <c r="AM5" s="22">
        <f t="shared" si="6"/>
        <v>11962251.039999999</v>
      </c>
      <c r="AN5" s="22">
        <f t="shared" si="7"/>
        <v>1167049</v>
      </c>
      <c r="AO5" s="22">
        <f t="shared" si="8"/>
        <v>13129300.039999999</v>
      </c>
      <c r="AP5" s="21">
        <v>13432781</v>
      </c>
      <c r="AQ5" s="26">
        <f>SUM(AP3:AP14)</f>
        <v>179299979</v>
      </c>
      <c r="AR5" s="26">
        <f>AQ5-SUM(AO3:AO4)</f>
        <v>153664354.845</v>
      </c>
      <c r="AS5" s="27">
        <v>10</v>
      </c>
      <c r="AT5" s="28">
        <f t="shared" si="9"/>
        <v>15366435.4845</v>
      </c>
      <c r="AU5" s="29">
        <f t="shared" si="10"/>
        <v>2237135.4445000011</v>
      </c>
      <c r="AV5" s="26">
        <f t="shared" si="11"/>
        <v>140535054.80500001</v>
      </c>
      <c r="AW5" s="30">
        <f t="shared" si="12"/>
        <v>0.21620149880218331</v>
      </c>
      <c r="AX5" s="31" t="str">
        <f t="shared" si="13"/>
        <v>✓ Within Budget</v>
      </c>
    </row>
    <row r="6" spans="1:50" ht="15.1" customHeight="1" x14ac:dyDescent="0.35">
      <c r="A6" s="32" t="s">
        <v>130</v>
      </c>
      <c r="B6" s="33">
        <v>2022</v>
      </c>
      <c r="C6" s="34">
        <v>65</v>
      </c>
      <c r="D6" s="34">
        <v>2</v>
      </c>
      <c r="E6" s="34">
        <v>2</v>
      </c>
      <c r="F6" s="34">
        <v>2</v>
      </c>
      <c r="G6" s="35">
        <f t="shared" si="0"/>
        <v>65</v>
      </c>
      <c r="H6" s="34">
        <v>1</v>
      </c>
      <c r="I6" s="34">
        <v>89024</v>
      </c>
      <c r="J6" s="34">
        <v>5</v>
      </c>
      <c r="K6" s="34">
        <v>13</v>
      </c>
      <c r="L6" s="34">
        <v>20</v>
      </c>
      <c r="M6" s="34">
        <v>17</v>
      </c>
      <c r="N6" s="34">
        <v>10</v>
      </c>
      <c r="O6" s="36">
        <f t="shared" si="1"/>
        <v>0.36923076923076925</v>
      </c>
      <c r="P6" s="37">
        <v>9.2499999999999999E-2</v>
      </c>
      <c r="Q6" s="38">
        <v>82.75</v>
      </c>
      <c r="R6" s="33">
        <v>1335353</v>
      </c>
      <c r="S6" s="34">
        <v>20</v>
      </c>
      <c r="T6" s="35">
        <f t="shared" si="2"/>
        <v>44</v>
      </c>
      <c r="U6" s="41">
        <v>12677508</v>
      </c>
      <c r="V6" s="35">
        <f t="shared" si="3"/>
        <v>2281951.44</v>
      </c>
      <c r="W6" s="35">
        <f t="shared" si="4"/>
        <v>1014200.64</v>
      </c>
      <c r="X6" s="35">
        <f t="shared" si="5"/>
        <v>1711463.58</v>
      </c>
      <c r="Y6" s="34">
        <v>66000</v>
      </c>
      <c r="Z6" s="34">
        <v>78000</v>
      </c>
      <c r="AA6" s="41">
        <v>172751</v>
      </c>
      <c r="AB6" s="41">
        <v>82050</v>
      </c>
      <c r="AC6" s="34">
        <v>162500</v>
      </c>
      <c r="AD6" s="34">
        <v>208000</v>
      </c>
      <c r="AE6" s="34">
        <v>90000</v>
      </c>
      <c r="AF6" s="34">
        <v>352000</v>
      </c>
      <c r="AG6" s="34">
        <v>52800</v>
      </c>
      <c r="AH6" s="34">
        <v>97500</v>
      </c>
      <c r="AI6" s="34">
        <v>52000</v>
      </c>
      <c r="AJ6" s="34">
        <v>39000</v>
      </c>
      <c r="AK6" s="41">
        <v>87750</v>
      </c>
      <c r="AL6" s="34">
        <v>32047</v>
      </c>
      <c r="AM6" s="35">
        <f t="shared" si="6"/>
        <v>18001874.66</v>
      </c>
      <c r="AN6" s="35">
        <f t="shared" si="7"/>
        <v>1255647</v>
      </c>
      <c r="AO6" s="35">
        <f t="shared" si="8"/>
        <v>19257521.66</v>
      </c>
      <c r="AP6" s="34">
        <v>12924720</v>
      </c>
      <c r="AQ6" s="26">
        <f>SUM(AP3:AP14)</f>
        <v>179299979</v>
      </c>
      <c r="AR6" s="26">
        <f>AQ6-SUM(AO3:AO5)</f>
        <v>140535054.80500001</v>
      </c>
      <c r="AS6" s="39">
        <v>9</v>
      </c>
      <c r="AT6" s="28">
        <f t="shared" si="9"/>
        <v>15615006.089444445</v>
      </c>
      <c r="AU6" s="29">
        <f t="shared" si="10"/>
        <v>-3642515.5705555547</v>
      </c>
      <c r="AV6" s="26">
        <f t="shared" si="11"/>
        <v>121277533.14500001</v>
      </c>
      <c r="AW6" s="30">
        <f t="shared" si="12"/>
        <v>0.32360542471117626</v>
      </c>
      <c r="AX6" s="31" t="str">
        <f t="shared" si="13"/>
        <v>⚠ Over Budget</v>
      </c>
    </row>
    <row r="7" spans="1:50" ht="15.1" customHeight="1" x14ac:dyDescent="0.35">
      <c r="A7" s="19" t="s">
        <v>131</v>
      </c>
      <c r="B7" s="20">
        <v>2022</v>
      </c>
      <c r="C7" s="21">
        <v>65</v>
      </c>
      <c r="D7" s="21">
        <v>2</v>
      </c>
      <c r="E7" s="21">
        <v>1</v>
      </c>
      <c r="F7" s="21">
        <v>1</v>
      </c>
      <c r="G7" s="22">
        <f t="shared" si="0"/>
        <v>66</v>
      </c>
      <c r="H7" s="21">
        <v>1</v>
      </c>
      <c r="I7" s="21">
        <v>90170</v>
      </c>
      <c r="J7" s="21">
        <v>6</v>
      </c>
      <c r="K7" s="21">
        <v>14</v>
      </c>
      <c r="L7" s="21">
        <v>18</v>
      </c>
      <c r="M7" s="21">
        <v>17</v>
      </c>
      <c r="N7" s="21">
        <v>11</v>
      </c>
      <c r="O7" s="23">
        <f t="shared" si="1"/>
        <v>0.18461538461538463</v>
      </c>
      <c r="P7" s="24">
        <v>9.5200000000000007E-2</v>
      </c>
      <c r="Q7" s="25">
        <v>82.6</v>
      </c>
      <c r="R7" s="20">
        <v>1352553</v>
      </c>
      <c r="S7" s="21">
        <v>20</v>
      </c>
      <c r="T7" s="22">
        <f t="shared" si="2"/>
        <v>45</v>
      </c>
      <c r="U7" s="21">
        <v>8701424</v>
      </c>
      <c r="V7" s="22">
        <f t="shared" si="3"/>
        <v>1566256.3199999998</v>
      </c>
      <c r="W7" s="22">
        <f t="shared" si="4"/>
        <v>696113.92</v>
      </c>
      <c r="X7" s="22">
        <f t="shared" si="5"/>
        <v>1174692.24</v>
      </c>
      <c r="Y7" s="21">
        <v>67500</v>
      </c>
      <c r="Z7" s="21">
        <v>79200</v>
      </c>
      <c r="AA7" s="21">
        <v>132057</v>
      </c>
      <c r="AB7" s="21">
        <v>75629</v>
      </c>
      <c r="AC7" s="21">
        <v>165000</v>
      </c>
      <c r="AD7" s="21">
        <v>211200</v>
      </c>
      <c r="AE7" s="21">
        <v>90000</v>
      </c>
      <c r="AF7" s="21">
        <v>360000</v>
      </c>
      <c r="AG7" s="21">
        <v>54000</v>
      </c>
      <c r="AH7" s="21">
        <v>99000</v>
      </c>
      <c r="AI7" s="21">
        <v>52800</v>
      </c>
      <c r="AJ7" s="21">
        <v>39600</v>
      </c>
      <c r="AK7" s="21">
        <v>66000</v>
      </c>
      <c r="AL7" s="21">
        <v>38962</v>
      </c>
      <c r="AM7" s="22">
        <f t="shared" si="6"/>
        <v>12417243.48</v>
      </c>
      <c r="AN7" s="22">
        <f t="shared" si="7"/>
        <v>1252191</v>
      </c>
      <c r="AO7" s="22">
        <f t="shared" si="8"/>
        <v>13669434.48</v>
      </c>
      <c r="AP7" s="21">
        <v>13487078</v>
      </c>
      <c r="AQ7" s="26">
        <f>SUM(AP3:AP14)</f>
        <v>179299979</v>
      </c>
      <c r="AR7" s="26">
        <f>AQ7-SUM(AO3:AO6)</f>
        <v>121277533.145</v>
      </c>
      <c r="AS7" s="27">
        <v>8</v>
      </c>
      <c r="AT7" s="28">
        <f t="shared" si="9"/>
        <v>15159691.643124999</v>
      </c>
      <c r="AU7" s="29">
        <f t="shared" si="10"/>
        <v>1490257.163124999</v>
      </c>
      <c r="AV7" s="26">
        <f t="shared" si="11"/>
        <v>107608098.66499999</v>
      </c>
      <c r="AW7" s="30">
        <f t="shared" si="12"/>
        <v>0.39984321657394062</v>
      </c>
      <c r="AX7" s="31" t="str">
        <f t="shared" si="13"/>
        <v>✓ Within Budget</v>
      </c>
    </row>
    <row r="8" spans="1:50" ht="15.1" customHeight="1" x14ac:dyDescent="0.35">
      <c r="A8" s="32" t="s">
        <v>132</v>
      </c>
      <c r="B8" s="33">
        <v>2022</v>
      </c>
      <c r="C8" s="34">
        <v>66</v>
      </c>
      <c r="D8" s="34">
        <v>3</v>
      </c>
      <c r="E8" s="34">
        <v>1</v>
      </c>
      <c r="F8" s="34">
        <v>1</v>
      </c>
      <c r="G8" s="35">
        <f t="shared" si="0"/>
        <v>68</v>
      </c>
      <c r="H8" s="34">
        <v>1</v>
      </c>
      <c r="I8" s="34">
        <v>90526</v>
      </c>
      <c r="J8" s="34">
        <v>7</v>
      </c>
      <c r="K8" s="34">
        <v>16</v>
      </c>
      <c r="L8" s="34">
        <v>20</v>
      </c>
      <c r="M8" s="34">
        <v>15</v>
      </c>
      <c r="N8" s="34">
        <v>10</v>
      </c>
      <c r="O8" s="36">
        <f t="shared" si="1"/>
        <v>0.18181818181818182</v>
      </c>
      <c r="P8" s="37">
        <v>9.8699999999999996E-2</v>
      </c>
      <c r="Q8" s="38">
        <v>82.68</v>
      </c>
      <c r="R8" s="33">
        <v>1357891</v>
      </c>
      <c r="S8" s="34">
        <v>20</v>
      </c>
      <c r="T8" s="35">
        <f t="shared" si="2"/>
        <v>47</v>
      </c>
      <c r="U8" s="34">
        <v>8673529</v>
      </c>
      <c r="V8" s="35">
        <f t="shared" si="3"/>
        <v>1561235.22</v>
      </c>
      <c r="W8" s="35">
        <f t="shared" si="4"/>
        <v>693882.32000000007</v>
      </c>
      <c r="X8" s="35">
        <f t="shared" si="5"/>
        <v>1170926.415</v>
      </c>
      <c r="Y8" s="34">
        <v>81075</v>
      </c>
      <c r="Z8" s="34">
        <v>93840</v>
      </c>
      <c r="AA8" s="34">
        <v>126422</v>
      </c>
      <c r="AB8" s="34">
        <v>110531</v>
      </c>
      <c r="AC8" s="34">
        <v>170000</v>
      </c>
      <c r="AD8" s="34">
        <v>217600</v>
      </c>
      <c r="AE8" s="34">
        <v>135000</v>
      </c>
      <c r="AF8" s="34">
        <v>376000</v>
      </c>
      <c r="AG8" s="34">
        <v>56400</v>
      </c>
      <c r="AH8" s="34">
        <v>102000</v>
      </c>
      <c r="AI8" s="34">
        <v>54400</v>
      </c>
      <c r="AJ8" s="34">
        <v>40800</v>
      </c>
      <c r="AK8" s="34">
        <v>78200</v>
      </c>
      <c r="AL8" s="34">
        <v>41878</v>
      </c>
      <c r="AM8" s="35">
        <f t="shared" si="6"/>
        <v>12400909.955000002</v>
      </c>
      <c r="AN8" s="35">
        <f t="shared" si="7"/>
        <v>1382809</v>
      </c>
      <c r="AO8" s="35">
        <f t="shared" si="8"/>
        <v>13783718.955000002</v>
      </c>
      <c r="AP8" s="34">
        <v>16169078</v>
      </c>
      <c r="AQ8" s="26">
        <f>SUM(AP3:AP14)</f>
        <v>179299979</v>
      </c>
      <c r="AR8" s="26">
        <f>AQ8-SUM(AO3:AO7)</f>
        <v>107608098.66499999</v>
      </c>
      <c r="AS8" s="39">
        <v>7</v>
      </c>
      <c r="AT8" s="28">
        <f t="shared" si="9"/>
        <v>15372585.523571428</v>
      </c>
      <c r="AU8" s="29">
        <f t="shared" si="10"/>
        <v>1588866.568571426</v>
      </c>
      <c r="AV8" s="26">
        <f t="shared" si="11"/>
        <v>93824379.709999993</v>
      </c>
      <c r="AW8" s="30">
        <f t="shared" si="12"/>
        <v>0.47671840100996332</v>
      </c>
      <c r="AX8" s="31" t="str">
        <f t="shared" si="13"/>
        <v>✓ Within Budget</v>
      </c>
    </row>
    <row r="9" spans="1:50" ht="15.1" customHeight="1" x14ac:dyDescent="0.35">
      <c r="A9" s="19" t="s">
        <v>133</v>
      </c>
      <c r="B9" s="20">
        <v>2022</v>
      </c>
      <c r="C9" s="21">
        <v>68</v>
      </c>
      <c r="D9" s="21">
        <v>1</v>
      </c>
      <c r="E9" s="21">
        <v>1</v>
      </c>
      <c r="F9" s="21">
        <v>1</v>
      </c>
      <c r="G9" s="22">
        <f t="shared" si="0"/>
        <v>68</v>
      </c>
      <c r="H9" s="21">
        <v>1</v>
      </c>
      <c r="I9" s="21">
        <v>91568</v>
      </c>
      <c r="J9" s="21">
        <v>6</v>
      </c>
      <c r="K9" s="21">
        <v>15</v>
      </c>
      <c r="L9" s="21">
        <v>21</v>
      </c>
      <c r="M9" s="21">
        <v>16</v>
      </c>
      <c r="N9" s="21">
        <v>10</v>
      </c>
      <c r="O9" s="23">
        <f t="shared" si="1"/>
        <v>0.1764705882352941</v>
      </c>
      <c r="P9" s="24">
        <v>0.1033</v>
      </c>
      <c r="Q9" s="25">
        <v>83.06</v>
      </c>
      <c r="R9" s="20">
        <v>1373526</v>
      </c>
      <c r="S9" s="21">
        <v>20</v>
      </c>
      <c r="T9" s="22">
        <f t="shared" si="2"/>
        <v>47</v>
      </c>
      <c r="U9" s="40">
        <v>14051857</v>
      </c>
      <c r="V9" s="22">
        <f t="shared" si="3"/>
        <v>2529334.2599999998</v>
      </c>
      <c r="W9" s="22">
        <f t="shared" si="4"/>
        <v>1124148.56</v>
      </c>
      <c r="X9" s="22">
        <f t="shared" si="5"/>
        <v>1897000.6950000001</v>
      </c>
      <c r="Y9" s="21">
        <v>81075</v>
      </c>
      <c r="Z9" s="21">
        <v>93840</v>
      </c>
      <c r="AA9" s="40">
        <v>182789</v>
      </c>
      <c r="AB9" s="40">
        <v>36953</v>
      </c>
      <c r="AC9" s="21">
        <v>221000</v>
      </c>
      <c r="AD9" s="21">
        <v>217600</v>
      </c>
      <c r="AE9" s="21">
        <v>45000</v>
      </c>
      <c r="AF9" s="21">
        <v>376000</v>
      </c>
      <c r="AG9" s="21">
        <v>56400</v>
      </c>
      <c r="AH9" s="21">
        <v>102000</v>
      </c>
      <c r="AI9" s="21">
        <v>54400</v>
      </c>
      <c r="AJ9" s="21">
        <v>40800</v>
      </c>
      <c r="AK9" s="40">
        <v>105570</v>
      </c>
      <c r="AL9" s="21">
        <v>24099</v>
      </c>
      <c r="AM9" s="22">
        <f t="shared" si="6"/>
        <v>19960044.515000001</v>
      </c>
      <c r="AN9" s="22">
        <f t="shared" si="7"/>
        <v>1279822</v>
      </c>
      <c r="AO9" s="22">
        <f t="shared" si="8"/>
        <v>21239866.515000001</v>
      </c>
      <c r="AP9" s="21">
        <v>15962156</v>
      </c>
      <c r="AQ9" s="26">
        <f>SUM(AP3:AP14)</f>
        <v>179299979</v>
      </c>
      <c r="AR9" s="26">
        <f>AQ9-SUM(AO3:AO8)</f>
        <v>93824379.709999993</v>
      </c>
      <c r="AS9" s="27">
        <v>6</v>
      </c>
      <c r="AT9" s="28">
        <f t="shared" si="9"/>
        <v>15637396.618333332</v>
      </c>
      <c r="AU9" s="29">
        <f t="shared" si="10"/>
        <v>-5602469.8966666684</v>
      </c>
      <c r="AV9" s="26">
        <f t="shared" si="11"/>
        <v>72584513.194999993</v>
      </c>
      <c r="AW9" s="30">
        <f t="shared" si="12"/>
        <v>0.59517835082958936</v>
      </c>
      <c r="AX9" s="31" t="str">
        <f t="shared" si="13"/>
        <v>⚠ Over Budget</v>
      </c>
    </row>
    <row r="10" spans="1:50" ht="15.1" customHeight="1" x14ac:dyDescent="0.35">
      <c r="A10" s="32" t="s">
        <v>134</v>
      </c>
      <c r="B10" s="33">
        <v>2022</v>
      </c>
      <c r="C10" s="34">
        <v>68</v>
      </c>
      <c r="D10" s="34">
        <v>2</v>
      </c>
      <c r="E10" s="34">
        <v>2</v>
      </c>
      <c r="F10" s="34">
        <v>2</v>
      </c>
      <c r="G10" s="35">
        <f t="shared" si="0"/>
        <v>68</v>
      </c>
      <c r="H10" s="34">
        <v>0</v>
      </c>
      <c r="I10" s="34">
        <v>0</v>
      </c>
      <c r="J10" s="34">
        <v>6</v>
      </c>
      <c r="K10" s="34">
        <v>15</v>
      </c>
      <c r="L10" s="34">
        <v>18</v>
      </c>
      <c r="M10" s="34">
        <v>19</v>
      </c>
      <c r="N10" s="34">
        <v>10</v>
      </c>
      <c r="O10" s="36">
        <f t="shared" si="1"/>
        <v>0.3529411764705882</v>
      </c>
      <c r="P10" s="37">
        <v>0.1041</v>
      </c>
      <c r="Q10" s="38">
        <v>83.77</v>
      </c>
      <c r="R10" s="33">
        <v>1370022</v>
      </c>
      <c r="S10" s="34">
        <v>20</v>
      </c>
      <c r="T10" s="35">
        <f t="shared" si="2"/>
        <v>48</v>
      </c>
      <c r="U10" s="34">
        <v>9007895</v>
      </c>
      <c r="V10" s="35">
        <f t="shared" si="3"/>
        <v>1621421.0999999999</v>
      </c>
      <c r="W10" s="35">
        <f t="shared" si="4"/>
        <v>720631.6</v>
      </c>
      <c r="X10" s="35">
        <f t="shared" si="5"/>
        <v>1216065.8250000002</v>
      </c>
      <c r="Y10" s="34">
        <v>80640</v>
      </c>
      <c r="Z10" s="34">
        <v>91392</v>
      </c>
      <c r="AA10" s="34">
        <v>131151</v>
      </c>
      <c r="AB10" s="34">
        <v>77445</v>
      </c>
      <c r="AC10" s="34">
        <v>170000</v>
      </c>
      <c r="AD10" s="34">
        <v>217600</v>
      </c>
      <c r="AE10" s="34">
        <v>90000</v>
      </c>
      <c r="AF10" s="34">
        <v>384000</v>
      </c>
      <c r="AG10" s="34">
        <v>57600</v>
      </c>
      <c r="AH10" s="34">
        <v>102000</v>
      </c>
      <c r="AI10" s="34">
        <v>54400</v>
      </c>
      <c r="AJ10" s="34">
        <v>40800</v>
      </c>
      <c r="AK10" s="34">
        <v>76160</v>
      </c>
      <c r="AL10" s="34">
        <v>23539</v>
      </c>
      <c r="AM10" s="35">
        <f t="shared" si="6"/>
        <v>12869196.524999999</v>
      </c>
      <c r="AN10" s="35">
        <f t="shared" si="7"/>
        <v>1293544</v>
      </c>
      <c r="AO10" s="35">
        <f t="shared" si="8"/>
        <v>14162740.524999999</v>
      </c>
      <c r="AP10" s="34">
        <v>15994535</v>
      </c>
      <c r="AQ10" s="26">
        <f>SUM(AP3:AP14)</f>
        <v>179299979</v>
      </c>
      <c r="AR10" s="26">
        <f>AQ10-SUM(AO3:AO9)</f>
        <v>72584513.194999993</v>
      </c>
      <c r="AS10" s="39">
        <v>5</v>
      </c>
      <c r="AT10" s="28">
        <f t="shared" si="9"/>
        <v>14516902.638999999</v>
      </c>
      <c r="AU10" s="29">
        <f t="shared" si="10"/>
        <v>354162.11400000006</v>
      </c>
      <c r="AV10" s="26">
        <f t="shared" si="11"/>
        <v>58421772.669999994</v>
      </c>
      <c r="AW10" s="30">
        <f t="shared" si="12"/>
        <v>0.67416743160912485</v>
      </c>
      <c r="AX10" s="31" t="str">
        <f t="shared" si="13"/>
        <v>✓ Within Budget</v>
      </c>
    </row>
    <row r="11" spans="1:50" ht="15.1" customHeight="1" x14ac:dyDescent="0.35">
      <c r="A11" s="19" t="s">
        <v>135</v>
      </c>
      <c r="B11" s="20">
        <v>2022</v>
      </c>
      <c r="C11" s="21">
        <v>68</v>
      </c>
      <c r="D11" s="21">
        <v>2</v>
      </c>
      <c r="E11" s="21">
        <v>2</v>
      </c>
      <c r="F11" s="21">
        <v>2</v>
      </c>
      <c r="G11" s="22">
        <f t="shared" si="0"/>
        <v>68</v>
      </c>
      <c r="H11" s="21">
        <v>1</v>
      </c>
      <c r="I11" s="21">
        <v>93154</v>
      </c>
      <c r="J11" s="21">
        <v>5</v>
      </c>
      <c r="K11" s="21">
        <v>16</v>
      </c>
      <c r="L11" s="21">
        <v>21</v>
      </c>
      <c r="M11" s="21">
        <v>16</v>
      </c>
      <c r="N11" s="21">
        <v>10</v>
      </c>
      <c r="O11" s="23">
        <f t="shared" si="1"/>
        <v>0.3529411764705882</v>
      </c>
      <c r="P11" s="24">
        <v>9.74E-2</v>
      </c>
      <c r="Q11" s="25">
        <v>82.76</v>
      </c>
      <c r="R11" s="20">
        <v>1397313</v>
      </c>
      <c r="S11" s="21">
        <v>20</v>
      </c>
      <c r="T11" s="22">
        <f t="shared" si="2"/>
        <v>47</v>
      </c>
      <c r="U11" s="21">
        <v>9076712</v>
      </c>
      <c r="V11" s="22">
        <f t="shared" si="3"/>
        <v>1633808.16</v>
      </c>
      <c r="W11" s="22">
        <f t="shared" si="4"/>
        <v>726136.96</v>
      </c>
      <c r="X11" s="22">
        <f t="shared" si="5"/>
        <v>1225356.1200000001</v>
      </c>
      <c r="Y11" s="21">
        <v>70500</v>
      </c>
      <c r="Z11" s="21">
        <v>81600</v>
      </c>
      <c r="AA11" s="21">
        <v>132912</v>
      </c>
      <c r="AB11" s="21">
        <v>68611</v>
      </c>
      <c r="AC11" s="21">
        <v>170000</v>
      </c>
      <c r="AD11" s="21">
        <v>217600</v>
      </c>
      <c r="AE11" s="21">
        <v>90000</v>
      </c>
      <c r="AF11" s="21">
        <v>376000</v>
      </c>
      <c r="AG11" s="21">
        <v>56400</v>
      </c>
      <c r="AH11" s="21">
        <v>102000</v>
      </c>
      <c r="AI11" s="21">
        <v>54400</v>
      </c>
      <c r="AJ11" s="21">
        <v>40800</v>
      </c>
      <c r="AK11" s="21">
        <v>68000</v>
      </c>
      <c r="AL11" s="21">
        <v>25698</v>
      </c>
      <c r="AM11" s="22">
        <f t="shared" si="6"/>
        <v>12947025.240000002</v>
      </c>
      <c r="AN11" s="22">
        <f t="shared" si="7"/>
        <v>1269509</v>
      </c>
      <c r="AO11" s="22">
        <f t="shared" si="8"/>
        <v>14216534.240000002</v>
      </c>
      <c r="AP11" s="21">
        <v>14048265</v>
      </c>
      <c r="AQ11" s="26">
        <f>SUM(AP3:AP14)</f>
        <v>179299979</v>
      </c>
      <c r="AR11" s="26">
        <f>AQ11-SUM(AO3:AO10)</f>
        <v>58421772.669999987</v>
      </c>
      <c r="AS11" s="27">
        <v>4</v>
      </c>
      <c r="AT11" s="28">
        <f t="shared" si="9"/>
        <v>14605443.167499997</v>
      </c>
      <c r="AU11" s="29">
        <f t="shared" si="10"/>
        <v>388908.92749999464</v>
      </c>
      <c r="AV11" s="26">
        <f t="shared" si="11"/>
        <v>44205238.429999985</v>
      </c>
      <c r="AW11" s="30">
        <f t="shared" si="12"/>
        <v>0.75345653314326388</v>
      </c>
      <c r="AX11" s="31" t="str">
        <f t="shared" si="13"/>
        <v>✓ Within Budget</v>
      </c>
    </row>
    <row r="12" spans="1:50" ht="15.1" customHeight="1" x14ac:dyDescent="0.35">
      <c r="A12" s="32" t="s">
        <v>136</v>
      </c>
      <c r="B12" s="33">
        <v>2023</v>
      </c>
      <c r="C12" s="34">
        <v>68</v>
      </c>
      <c r="D12" s="34">
        <v>3</v>
      </c>
      <c r="E12" s="34">
        <v>2</v>
      </c>
      <c r="F12" s="34">
        <v>2</v>
      </c>
      <c r="G12" s="35">
        <f t="shared" si="0"/>
        <v>69</v>
      </c>
      <c r="H12" s="34">
        <v>1</v>
      </c>
      <c r="I12" s="34">
        <v>92913</v>
      </c>
      <c r="J12" s="34">
        <v>5</v>
      </c>
      <c r="K12" s="34">
        <v>16</v>
      </c>
      <c r="L12" s="34">
        <v>22</v>
      </c>
      <c r="M12" s="34">
        <v>17</v>
      </c>
      <c r="N12" s="34">
        <v>9</v>
      </c>
      <c r="O12" s="36">
        <f t="shared" si="1"/>
        <v>0.3529411764705882</v>
      </c>
      <c r="P12" s="37">
        <v>0.1133</v>
      </c>
      <c r="Q12" s="38">
        <v>83.53</v>
      </c>
      <c r="R12" s="33">
        <v>1393697</v>
      </c>
      <c r="S12" s="34">
        <v>21</v>
      </c>
      <c r="T12" s="35">
        <f t="shared" si="2"/>
        <v>47</v>
      </c>
      <c r="U12" s="34">
        <v>9111294</v>
      </c>
      <c r="V12" s="35">
        <f t="shared" si="3"/>
        <v>1640032.92</v>
      </c>
      <c r="W12" s="35">
        <f t="shared" si="4"/>
        <v>728903.52</v>
      </c>
      <c r="X12" s="35">
        <f t="shared" si="5"/>
        <v>1230024.6900000002</v>
      </c>
      <c r="Y12" s="34">
        <v>76140</v>
      </c>
      <c r="Z12" s="34">
        <v>89424</v>
      </c>
      <c r="AA12" s="34">
        <v>148073</v>
      </c>
      <c r="AB12" s="34">
        <v>104666</v>
      </c>
      <c r="AC12" s="34">
        <v>172500</v>
      </c>
      <c r="AD12" s="34">
        <v>220800</v>
      </c>
      <c r="AE12" s="34">
        <v>135000</v>
      </c>
      <c r="AF12" s="34">
        <v>376000</v>
      </c>
      <c r="AG12" s="34">
        <v>56400</v>
      </c>
      <c r="AH12" s="34">
        <v>103500</v>
      </c>
      <c r="AI12" s="34">
        <v>55200</v>
      </c>
      <c r="AJ12" s="34">
        <v>41400</v>
      </c>
      <c r="AK12" s="34">
        <v>74520</v>
      </c>
      <c r="AL12" s="34">
        <v>26779</v>
      </c>
      <c r="AM12" s="35">
        <f t="shared" si="6"/>
        <v>13023892.129999999</v>
      </c>
      <c r="AN12" s="35">
        <f t="shared" si="7"/>
        <v>1366765</v>
      </c>
      <c r="AO12" s="35">
        <f t="shared" si="8"/>
        <v>14390657.129999999</v>
      </c>
      <c r="AP12" s="34">
        <v>15929690</v>
      </c>
      <c r="AQ12" s="26">
        <f>SUM(AP3:AP14)</f>
        <v>179299979</v>
      </c>
      <c r="AR12" s="26">
        <f>AQ12-SUM(AO3:AO11)</f>
        <v>44205238.429999977</v>
      </c>
      <c r="AS12" s="39">
        <v>3</v>
      </c>
      <c r="AT12" s="28">
        <f t="shared" si="9"/>
        <v>14735079.476666659</v>
      </c>
      <c r="AU12" s="29">
        <f t="shared" si="10"/>
        <v>344422.34666666016</v>
      </c>
      <c r="AV12" s="26">
        <f t="shared" si="11"/>
        <v>29814581.299999978</v>
      </c>
      <c r="AW12" s="30">
        <f t="shared" si="12"/>
        <v>0.83371676078110424</v>
      </c>
      <c r="AX12" s="31" t="str">
        <f t="shared" si="13"/>
        <v>✓ Within Budget</v>
      </c>
    </row>
    <row r="13" spans="1:50" ht="15.1" customHeight="1" x14ac:dyDescent="0.35">
      <c r="A13" s="19" t="s">
        <v>137</v>
      </c>
      <c r="B13" s="20">
        <v>2023</v>
      </c>
      <c r="C13" s="21">
        <v>69</v>
      </c>
      <c r="D13" s="21">
        <v>3</v>
      </c>
      <c r="E13" s="21">
        <v>1</v>
      </c>
      <c r="F13" s="21">
        <v>1</v>
      </c>
      <c r="G13" s="22">
        <f t="shared" si="0"/>
        <v>71</v>
      </c>
      <c r="H13" s="21">
        <v>1</v>
      </c>
      <c r="I13" s="21">
        <v>93546</v>
      </c>
      <c r="J13" s="21">
        <v>5</v>
      </c>
      <c r="K13" s="21">
        <v>14</v>
      </c>
      <c r="L13" s="21">
        <v>26</v>
      </c>
      <c r="M13" s="21">
        <v>16</v>
      </c>
      <c r="N13" s="21">
        <v>10</v>
      </c>
      <c r="O13" s="23">
        <f t="shared" si="1"/>
        <v>0.17391304347826086</v>
      </c>
      <c r="P13" s="24">
        <v>0.1074</v>
      </c>
      <c r="Q13" s="25">
        <v>83.86</v>
      </c>
      <c r="R13" s="20">
        <v>1403197</v>
      </c>
      <c r="S13" s="21">
        <v>21</v>
      </c>
      <c r="T13" s="22">
        <f t="shared" si="2"/>
        <v>49</v>
      </c>
      <c r="U13" s="40">
        <v>13793133</v>
      </c>
      <c r="V13" s="22">
        <f t="shared" si="3"/>
        <v>2482763.94</v>
      </c>
      <c r="W13" s="22">
        <f t="shared" si="4"/>
        <v>1103450.6400000001</v>
      </c>
      <c r="X13" s="22">
        <f t="shared" si="5"/>
        <v>1862072.9550000001</v>
      </c>
      <c r="Y13" s="21">
        <v>79380</v>
      </c>
      <c r="Z13" s="21">
        <v>92016</v>
      </c>
      <c r="AA13" s="40">
        <v>188799</v>
      </c>
      <c r="AB13" s="40">
        <v>135320</v>
      </c>
      <c r="AC13" s="21">
        <v>177500</v>
      </c>
      <c r="AD13" s="21">
        <v>227200</v>
      </c>
      <c r="AE13" s="21">
        <v>135000</v>
      </c>
      <c r="AF13" s="21">
        <v>392000</v>
      </c>
      <c r="AG13" s="21">
        <v>58800</v>
      </c>
      <c r="AH13" s="21">
        <v>106500</v>
      </c>
      <c r="AI13" s="21">
        <v>56800</v>
      </c>
      <c r="AJ13" s="21">
        <v>42600</v>
      </c>
      <c r="AK13" s="40">
        <v>103518</v>
      </c>
      <c r="AL13" s="21">
        <v>33579</v>
      </c>
      <c r="AM13" s="22">
        <f t="shared" si="6"/>
        <v>19601615.534999996</v>
      </c>
      <c r="AN13" s="22">
        <f t="shared" si="7"/>
        <v>1468817</v>
      </c>
      <c r="AO13" s="22">
        <f t="shared" si="8"/>
        <v>21070432.534999996</v>
      </c>
      <c r="AP13" s="21">
        <v>16981226</v>
      </c>
      <c r="AQ13" s="26">
        <f>SUM(AP3:AP14)</f>
        <v>179299979</v>
      </c>
      <c r="AR13" s="26">
        <f>AQ13-SUM(AO3:AO12)</f>
        <v>29814581.299999982</v>
      </c>
      <c r="AS13" s="27">
        <v>2</v>
      </c>
      <c r="AT13" s="28">
        <f t="shared" si="9"/>
        <v>14907290.649999991</v>
      </c>
      <c r="AU13" s="29">
        <f t="shared" si="10"/>
        <v>-6163141.8850000054</v>
      </c>
      <c r="AV13" s="26">
        <f t="shared" si="11"/>
        <v>8744148.7649999857</v>
      </c>
      <c r="AW13" s="30">
        <f t="shared" si="12"/>
        <v>0.9512317356991995</v>
      </c>
      <c r="AX13" s="31" t="str">
        <f t="shared" si="13"/>
        <v>⚠ Over Budget</v>
      </c>
    </row>
    <row r="14" spans="1:50" ht="15.1" customHeight="1" x14ac:dyDescent="0.35">
      <c r="A14" s="32" t="s">
        <v>138</v>
      </c>
      <c r="B14" s="33">
        <v>2023</v>
      </c>
      <c r="C14" s="34">
        <v>71</v>
      </c>
      <c r="D14" s="34">
        <v>2</v>
      </c>
      <c r="E14" s="34">
        <v>1</v>
      </c>
      <c r="F14" s="34">
        <v>1</v>
      </c>
      <c r="G14" s="35">
        <f t="shared" si="0"/>
        <v>72</v>
      </c>
      <c r="H14" s="34">
        <v>1</v>
      </c>
      <c r="I14" s="34">
        <v>94188</v>
      </c>
      <c r="J14" s="34">
        <v>7</v>
      </c>
      <c r="K14" s="34">
        <v>16</v>
      </c>
      <c r="L14" s="34">
        <v>21</v>
      </c>
      <c r="M14" s="34">
        <v>18</v>
      </c>
      <c r="N14" s="34">
        <v>10</v>
      </c>
      <c r="O14" s="36">
        <f t="shared" si="1"/>
        <v>0.16901408450704225</v>
      </c>
      <c r="P14" s="37">
        <v>9.9599999999999994E-2</v>
      </c>
      <c r="Q14" s="38">
        <v>83.36</v>
      </c>
      <c r="R14" s="33">
        <v>1412825</v>
      </c>
      <c r="S14" s="34">
        <v>22</v>
      </c>
      <c r="T14" s="35">
        <f t="shared" si="2"/>
        <v>49</v>
      </c>
      <c r="U14" s="34">
        <v>9636644</v>
      </c>
      <c r="V14" s="35">
        <f t="shared" si="3"/>
        <v>1734595.92</v>
      </c>
      <c r="W14" s="35">
        <f t="shared" si="4"/>
        <v>770931.52</v>
      </c>
      <c r="X14" s="35">
        <f t="shared" si="5"/>
        <v>1300946.9400000002</v>
      </c>
      <c r="Y14" s="34">
        <v>77910</v>
      </c>
      <c r="Z14" s="34">
        <v>91584</v>
      </c>
      <c r="AA14" s="34">
        <v>135161</v>
      </c>
      <c r="AB14" s="34">
        <v>71664</v>
      </c>
      <c r="AC14" s="34">
        <v>180000</v>
      </c>
      <c r="AD14" s="34">
        <v>230400</v>
      </c>
      <c r="AE14" s="34">
        <v>90000</v>
      </c>
      <c r="AF14" s="34">
        <v>392000</v>
      </c>
      <c r="AG14" s="34">
        <v>58800</v>
      </c>
      <c r="AH14" s="34">
        <v>108000</v>
      </c>
      <c r="AI14" s="34">
        <v>57600</v>
      </c>
      <c r="AJ14" s="34">
        <v>43200</v>
      </c>
      <c r="AK14" s="34">
        <v>76320</v>
      </c>
      <c r="AL14" s="34">
        <v>37492</v>
      </c>
      <c r="AM14" s="35">
        <f t="shared" si="6"/>
        <v>13747773.379999999</v>
      </c>
      <c r="AN14" s="35">
        <f t="shared" si="7"/>
        <v>1345476</v>
      </c>
      <c r="AO14" s="35">
        <f t="shared" si="8"/>
        <v>15093249.379999999</v>
      </c>
      <c r="AP14" s="34">
        <v>15412534</v>
      </c>
      <c r="AQ14" s="26">
        <f>SUM(AP3:AP14)</f>
        <v>179299979</v>
      </c>
      <c r="AR14" s="26">
        <f>AQ14-SUM(AO3:AO13)</f>
        <v>8744148.7649999857</v>
      </c>
      <c r="AS14" s="39">
        <v>1</v>
      </c>
      <c r="AT14" s="28">
        <f t="shared" si="9"/>
        <v>8744148.7649999857</v>
      </c>
      <c r="AU14" s="29">
        <f t="shared" si="10"/>
        <v>-6349100.6150000133</v>
      </c>
      <c r="AV14" s="26">
        <f t="shared" si="11"/>
        <v>-6349100.6150000133</v>
      </c>
      <c r="AW14" s="30">
        <f t="shared" si="12"/>
        <v>1.0354104927976595</v>
      </c>
      <c r="AX14" s="31" t="str">
        <f t="shared" si="13"/>
        <v>⚠ Over Budget</v>
      </c>
    </row>
    <row r="15" spans="1:50" ht="15.1" customHeight="1" x14ac:dyDescent="0.35">
      <c r="A15" s="19" t="s">
        <v>139</v>
      </c>
      <c r="B15" s="20">
        <v>2023</v>
      </c>
      <c r="C15" s="21">
        <v>72</v>
      </c>
      <c r="D15" s="21">
        <v>2</v>
      </c>
      <c r="E15" s="21">
        <v>2</v>
      </c>
      <c r="F15" s="21">
        <v>2</v>
      </c>
      <c r="G15" s="22">
        <f t="shared" si="0"/>
        <v>72</v>
      </c>
      <c r="H15" s="21">
        <v>1</v>
      </c>
      <c r="I15" s="21">
        <v>94897</v>
      </c>
      <c r="J15" s="21">
        <v>6</v>
      </c>
      <c r="K15" s="21">
        <v>14</v>
      </c>
      <c r="L15" s="21">
        <v>20</v>
      </c>
      <c r="M15" s="21">
        <v>20</v>
      </c>
      <c r="N15" s="21">
        <v>12</v>
      </c>
      <c r="O15" s="23">
        <f t="shared" si="1"/>
        <v>0.33333333333333331</v>
      </c>
      <c r="P15" s="24">
        <v>0.1227</v>
      </c>
      <c r="Q15" s="25">
        <v>84</v>
      </c>
      <c r="R15" s="20">
        <v>1423458</v>
      </c>
      <c r="S15" s="21">
        <v>22</v>
      </c>
      <c r="T15" s="22">
        <f t="shared" si="2"/>
        <v>49</v>
      </c>
      <c r="U15" s="21">
        <v>10118414</v>
      </c>
      <c r="V15" s="22">
        <f t="shared" si="3"/>
        <v>1821314.52</v>
      </c>
      <c r="W15" s="22">
        <f t="shared" si="4"/>
        <v>809473.12</v>
      </c>
      <c r="X15" s="22">
        <f t="shared" si="5"/>
        <v>1365985.8900000001</v>
      </c>
      <c r="Y15" s="21">
        <v>80850</v>
      </c>
      <c r="Z15" s="21">
        <v>95040</v>
      </c>
      <c r="AA15" s="21">
        <v>153662</v>
      </c>
      <c r="AB15" s="21">
        <v>64347</v>
      </c>
      <c r="AC15" s="21">
        <v>234000</v>
      </c>
      <c r="AD15" s="21">
        <v>230400</v>
      </c>
      <c r="AE15" s="21">
        <v>90000</v>
      </c>
      <c r="AF15" s="21">
        <v>392000</v>
      </c>
      <c r="AG15" s="21">
        <v>58800</v>
      </c>
      <c r="AH15" s="21">
        <v>108000</v>
      </c>
      <c r="AI15" s="21">
        <v>57600</v>
      </c>
      <c r="AJ15" s="21">
        <v>43200</v>
      </c>
      <c r="AK15" s="21">
        <v>79200</v>
      </c>
      <c r="AL15" s="21">
        <v>36974</v>
      </c>
      <c r="AM15" s="22">
        <f t="shared" si="6"/>
        <v>14444739.529999999</v>
      </c>
      <c r="AN15" s="22">
        <f t="shared" si="7"/>
        <v>1394521</v>
      </c>
      <c r="AO15" s="22">
        <f t="shared" si="8"/>
        <v>15839260.529999999</v>
      </c>
      <c r="AP15" s="21">
        <v>16761116</v>
      </c>
      <c r="AQ15" s="26">
        <f>SUM(AP15:AP26)</f>
        <v>214905964</v>
      </c>
      <c r="AR15" s="26">
        <f>AQ15</f>
        <v>214905964</v>
      </c>
      <c r="AS15" s="27">
        <v>12</v>
      </c>
      <c r="AT15" s="28">
        <f t="shared" si="9"/>
        <v>17908830.333333332</v>
      </c>
      <c r="AU15" s="29">
        <f t="shared" si="10"/>
        <v>2069569.8033333328</v>
      </c>
      <c r="AV15" s="26">
        <f t="shared" si="11"/>
        <v>199066703.47</v>
      </c>
      <c r="AW15" s="30">
        <f t="shared" si="12"/>
        <v>7.3703215281638257E-2</v>
      </c>
      <c r="AX15" s="31" t="str">
        <f t="shared" si="13"/>
        <v>✓ Within Budget</v>
      </c>
    </row>
    <row r="16" spans="1:50" ht="15.1" customHeight="1" x14ac:dyDescent="0.35">
      <c r="A16" s="32" t="s">
        <v>140</v>
      </c>
      <c r="B16" s="33">
        <v>2023</v>
      </c>
      <c r="C16" s="34">
        <v>72</v>
      </c>
      <c r="D16" s="34">
        <v>3</v>
      </c>
      <c r="E16" s="34">
        <v>1</v>
      </c>
      <c r="F16" s="34">
        <v>1</v>
      </c>
      <c r="G16" s="35">
        <f t="shared" si="0"/>
        <v>74</v>
      </c>
      <c r="H16" s="34">
        <v>1</v>
      </c>
      <c r="I16" s="34">
        <v>96005</v>
      </c>
      <c r="J16" s="34">
        <v>6</v>
      </c>
      <c r="K16" s="34">
        <v>16</v>
      </c>
      <c r="L16" s="34">
        <v>24</v>
      </c>
      <c r="M16" s="34">
        <v>17</v>
      </c>
      <c r="N16" s="34">
        <v>11</v>
      </c>
      <c r="O16" s="36">
        <f t="shared" si="1"/>
        <v>0.16666666666666666</v>
      </c>
      <c r="P16" s="37">
        <v>9.7299999999999998E-2</v>
      </c>
      <c r="Q16" s="38">
        <v>84.12</v>
      </c>
      <c r="R16" s="33">
        <v>1440078</v>
      </c>
      <c r="S16" s="34">
        <v>22</v>
      </c>
      <c r="T16" s="35">
        <f t="shared" si="2"/>
        <v>51</v>
      </c>
      <c r="U16" s="34">
        <v>10176551</v>
      </c>
      <c r="V16" s="35">
        <f t="shared" si="3"/>
        <v>1831779.18</v>
      </c>
      <c r="W16" s="35">
        <f t="shared" si="4"/>
        <v>814124.08000000007</v>
      </c>
      <c r="X16" s="35">
        <f t="shared" si="5"/>
        <v>1373834.385</v>
      </c>
      <c r="Y16" s="34">
        <v>84150</v>
      </c>
      <c r="Z16" s="34">
        <v>97680</v>
      </c>
      <c r="AA16" s="34">
        <v>155348</v>
      </c>
      <c r="AB16" s="34">
        <v>107627</v>
      </c>
      <c r="AC16" s="34">
        <v>240500</v>
      </c>
      <c r="AD16" s="34">
        <v>236800</v>
      </c>
      <c r="AE16" s="34">
        <v>135000</v>
      </c>
      <c r="AF16" s="34">
        <v>408000</v>
      </c>
      <c r="AG16" s="34">
        <v>61200</v>
      </c>
      <c r="AH16" s="34">
        <v>111000</v>
      </c>
      <c r="AI16" s="34">
        <v>59200</v>
      </c>
      <c r="AJ16" s="34">
        <v>44400</v>
      </c>
      <c r="AK16" s="34">
        <v>81400</v>
      </c>
      <c r="AL16" s="34">
        <v>18231</v>
      </c>
      <c r="AM16" s="35">
        <f t="shared" si="6"/>
        <v>14533466.645</v>
      </c>
      <c r="AN16" s="35">
        <f t="shared" si="7"/>
        <v>1503358</v>
      </c>
      <c r="AO16" s="35">
        <f t="shared" si="8"/>
        <v>16036824.645</v>
      </c>
      <c r="AP16" s="34">
        <v>17237349</v>
      </c>
      <c r="AQ16" s="26">
        <f>SUM(AP15:AP26)</f>
        <v>214905964</v>
      </c>
      <c r="AR16" s="26">
        <f>AQ16-SUM(AO15:AO15)</f>
        <v>199066703.47</v>
      </c>
      <c r="AS16" s="39">
        <v>11</v>
      </c>
      <c r="AT16" s="28">
        <f t="shared" si="9"/>
        <v>18096973.042727273</v>
      </c>
      <c r="AU16" s="29">
        <f t="shared" si="10"/>
        <v>2060148.3977272734</v>
      </c>
      <c r="AV16" s="26">
        <f t="shared" si="11"/>
        <v>183029878.82499999</v>
      </c>
      <c r="AW16" s="30">
        <f t="shared" si="12"/>
        <v>0.14832573550634459</v>
      </c>
      <c r="AX16" s="31" t="str">
        <f t="shared" si="13"/>
        <v>✓ Within Budget</v>
      </c>
    </row>
    <row r="17" spans="1:50" ht="15.1" customHeight="1" x14ac:dyDescent="0.35">
      <c r="A17" s="19" t="s">
        <v>141</v>
      </c>
      <c r="B17" s="20">
        <v>2023</v>
      </c>
      <c r="C17" s="21">
        <v>74</v>
      </c>
      <c r="D17" s="21">
        <v>2</v>
      </c>
      <c r="E17" s="21">
        <v>2</v>
      </c>
      <c r="F17" s="21">
        <v>2</v>
      </c>
      <c r="G17" s="22">
        <f t="shared" si="0"/>
        <v>74</v>
      </c>
      <c r="H17" s="21">
        <v>1</v>
      </c>
      <c r="I17" s="21">
        <v>96651</v>
      </c>
      <c r="J17" s="21">
        <v>7</v>
      </c>
      <c r="K17" s="21">
        <v>16</v>
      </c>
      <c r="L17" s="21">
        <v>22</v>
      </c>
      <c r="M17" s="21">
        <v>18</v>
      </c>
      <c r="N17" s="21">
        <v>11</v>
      </c>
      <c r="O17" s="23">
        <f t="shared" si="1"/>
        <v>0.32432432432432434</v>
      </c>
      <c r="P17" s="24">
        <v>9.5799999999999996E-2</v>
      </c>
      <c r="Q17" s="25">
        <v>83.84</v>
      </c>
      <c r="R17" s="20">
        <v>1449762</v>
      </c>
      <c r="S17" s="21">
        <v>22</v>
      </c>
      <c r="T17" s="22">
        <f t="shared" si="2"/>
        <v>51</v>
      </c>
      <c r="U17" s="21">
        <v>10238944</v>
      </c>
      <c r="V17" s="22">
        <f t="shared" si="3"/>
        <v>1843009.92</v>
      </c>
      <c r="W17" s="22">
        <f t="shared" si="4"/>
        <v>819115.52000000002</v>
      </c>
      <c r="X17" s="22">
        <f t="shared" si="5"/>
        <v>1382257.4400000002</v>
      </c>
      <c r="Y17" s="21">
        <v>80325</v>
      </c>
      <c r="Z17" s="21">
        <v>93240</v>
      </c>
      <c r="AA17" s="21">
        <v>147069</v>
      </c>
      <c r="AB17" s="21">
        <v>70133</v>
      </c>
      <c r="AC17" s="21">
        <v>185000</v>
      </c>
      <c r="AD17" s="21">
        <v>236800</v>
      </c>
      <c r="AE17" s="21">
        <v>90000</v>
      </c>
      <c r="AF17" s="21">
        <v>408000</v>
      </c>
      <c r="AG17" s="21">
        <v>61200</v>
      </c>
      <c r="AH17" s="21">
        <v>111000</v>
      </c>
      <c r="AI17" s="21">
        <v>59200</v>
      </c>
      <c r="AJ17" s="21">
        <v>44400</v>
      </c>
      <c r="AK17" s="21">
        <v>77700</v>
      </c>
      <c r="AL17" s="21">
        <v>22451</v>
      </c>
      <c r="AM17" s="22">
        <f t="shared" si="6"/>
        <v>14603960.879999999</v>
      </c>
      <c r="AN17" s="22">
        <f t="shared" si="7"/>
        <v>1365884</v>
      </c>
      <c r="AO17" s="22">
        <f t="shared" si="8"/>
        <v>15969844.879999999</v>
      </c>
      <c r="AP17" s="21">
        <v>17027164</v>
      </c>
      <c r="AQ17" s="26">
        <f>SUM(AP15:AP26)</f>
        <v>214905964</v>
      </c>
      <c r="AR17" s="26">
        <f>AQ17-SUM(AO15:AO16)</f>
        <v>183029878.82499999</v>
      </c>
      <c r="AS17" s="27">
        <v>10</v>
      </c>
      <c r="AT17" s="28">
        <f t="shared" si="9"/>
        <v>18302987.8825</v>
      </c>
      <c r="AU17" s="29">
        <f t="shared" si="10"/>
        <v>2333143.0025000013</v>
      </c>
      <c r="AV17" s="26">
        <f t="shared" si="11"/>
        <v>167060033.94499999</v>
      </c>
      <c r="AW17" s="30">
        <f t="shared" si="12"/>
        <v>0.2226365856230961</v>
      </c>
      <c r="AX17" s="31" t="str">
        <f t="shared" si="13"/>
        <v>✓ Within Budget</v>
      </c>
    </row>
    <row r="18" spans="1:50" ht="15.1" customHeight="1" x14ac:dyDescent="0.35">
      <c r="A18" s="32" t="s">
        <v>142</v>
      </c>
      <c r="B18" s="33">
        <v>2023</v>
      </c>
      <c r="C18" s="34">
        <v>74</v>
      </c>
      <c r="D18" s="34">
        <v>2</v>
      </c>
      <c r="E18" s="34">
        <v>2</v>
      </c>
      <c r="F18" s="34">
        <v>2</v>
      </c>
      <c r="G18" s="35">
        <f t="shared" si="0"/>
        <v>74</v>
      </c>
      <c r="H18" s="34">
        <v>1</v>
      </c>
      <c r="I18" s="34">
        <v>96976</v>
      </c>
      <c r="J18" s="34">
        <v>5</v>
      </c>
      <c r="K18" s="34">
        <v>17</v>
      </c>
      <c r="L18" s="34">
        <v>22</v>
      </c>
      <c r="M18" s="34">
        <v>20</v>
      </c>
      <c r="N18" s="34">
        <v>10</v>
      </c>
      <c r="O18" s="36">
        <f t="shared" si="1"/>
        <v>0.32432432432432434</v>
      </c>
      <c r="P18" s="37">
        <v>9.8799999999999999E-2</v>
      </c>
      <c r="Q18" s="38">
        <v>83.76</v>
      </c>
      <c r="R18" s="33">
        <v>1454633</v>
      </c>
      <c r="S18" s="34">
        <v>22</v>
      </c>
      <c r="T18" s="35">
        <f t="shared" si="2"/>
        <v>51</v>
      </c>
      <c r="U18" s="41">
        <v>15726037</v>
      </c>
      <c r="V18" s="35">
        <f t="shared" si="3"/>
        <v>2830686.6599999997</v>
      </c>
      <c r="W18" s="35">
        <f t="shared" si="4"/>
        <v>1258082.96</v>
      </c>
      <c r="X18" s="35">
        <f t="shared" si="5"/>
        <v>2123014.9950000001</v>
      </c>
      <c r="Y18" s="34">
        <v>76500</v>
      </c>
      <c r="Z18" s="34">
        <v>88800</v>
      </c>
      <c r="AA18" s="41">
        <v>206207</v>
      </c>
      <c r="AB18" s="41">
        <v>87874</v>
      </c>
      <c r="AC18" s="34">
        <v>185000</v>
      </c>
      <c r="AD18" s="34">
        <v>236800</v>
      </c>
      <c r="AE18" s="34">
        <v>90000</v>
      </c>
      <c r="AF18" s="34">
        <v>408000</v>
      </c>
      <c r="AG18" s="34">
        <v>61200</v>
      </c>
      <c r="AH18" s="34">
        <v>111000</v>
      </c>
      <c r="AI18" s="34">
        <v>59200</v>
      </c>
      <c r="AJ18" s="34">
        <v>44400</v>
      </c>
      <c r="AK18" s="41">
        <v>99900</v>
      </c>
      <c r="AL18" s="34">
        <v>43263</v>
      </c>
      <c r="AM18" s="35">
        <f t="shared" si="6"/>
        <v>22309328.615000002</v>
      </c>
      <c r="AN18" s="35">
        <f t="shared" si="7"/>
        <v>1426637</v>
      </c>
      <c r="AO18" s="35">
        <f t="shared" si="8"/>
        <v>23735965.615000002</v>
      </c>
      <c r="AP18" s="34">
        <v>15572440</v>
      </c>
      <c r="AQ18" s="26">
        <f>SUM(AP15:AP26)</f>
        <v>214905964</v>
      </c>
      <c r="AR18" s="26">
        <f>AQ18-SUM(AO15:AO17)</f>
        <v>167060033.94499999</v>
      </c>
      <c r="AS18" s="39">
        <v>9</v>
      </c>
      <c r="AT18" s="28">
        <f t="shared" si="9"/>
        <v>18562225.993888889</v>
      </c>
      <c r="AU18" s="29">
        <f t="shared" si="10"/>
        <v>-5173739.6211111136</v>
      </c>
      <c r="AV18" s="26">
        <f t="shared" si="11"/>
        <v>143324068.32999998</v>
      </c>
      <c r="AW18" s="30">
        <f t="shared" si="12"/>
        <v>0.33308473314402764</v>
      </c>
      <c r="AX18" s="31" t="str">
        <f t="shared" si="13"/>
        <v>⚠ Over Budget</v>
      </c>
    </row>
    <row r="19" spans="1:50" ht="15.1" customHeight="1" x14ac:dyDescent="0.35">
      <c r="A19" s="19" t="s">
        <v>143</v>
      </c>
      <c r="B19" s="20">
        <v>2023</v>
      </c>
      <c r="C19" s="21">
        <v>74</v>
      </c>
      <c r="D19" s="21">
        <v>2</v>
      </c>
      <c r="E19" s="21">
        <v>1</v>
      </c>
      <c r="F19" s="21">
        <v>1</v>
      </c>
      <c r="G19" s="22">
        <f t="shared" si="0"/>
        <v>75</v>
      </c>
      <c r="H19" s="21">
        <v>1</v>
      </c>
      <c r="I19" s="21">
        <v>97530</v>
      </c>
      <c r="J19" s="21">
        <v>7</v>
      </c>
      <c r="K19" s="21">
        <v>17</v>
      </c>
      <c r="L19" s="21">
        <v>20</v>
      </c>
      <c r="M19" s="21">
        <v>19</v>
      </c>
      <c r="N19" s="21">
        <v>12</v>
      </c>
      <c r="O19" s="23">
        <f t="shared" si="1"/>
        <v>0.16216216216216217</v>
      </c>
      <c r="P19" s="24">
        <v>0.1031</v>
      </c>
      <c r="Q19" s="25">
        <v>84.62</v>
      </c>
      <c r="R19" s="20">
        <v>1462949</v>
      </c>
      <c r="S19" s="21">
        <v>22</v>
      </c>
      <c r="T19" s="22">
        <f t="shared" si="2"/>
        <v>52</v>
      </c>
      <c r="U19" s="21">
        <v>10588093</v>
      </c>
      <c r="V19" s="22">
        <f t="shared" si="3"/>
        <v>1905856.74</v>
      </c>
      <c r="W19" s="22">
        <f t="shared" si="4"/>
        <v>847047.44000000006</v>
      </c>
      <c r="X19" s="22">
        <f t="shared" si="5"/>
        <v>1429392.5550000002</v>
      </c>
      <c r="Y19" s="21">
        <v>78000</v>
      </c>
      <c r="Z19" s="21">
        <v>90000</v>
      </c>
      <c r="AA19" s="21">
        <v>158114</v>
      </c>
      <c r="AB19" s="21">
        <v>73186</v>
      </c>
      <c r="AC19" s="21">
        <v>187500</v>
      </c>
      <c r="AD19" s="21">
        <v>240000</v>
      </c>
      <c r="AE19" s="21">
        <v>90000</v>
      </c>
      <c r="AF19" s="21">
        <v>416000</v>
      </c>
      <c r="AG19" s="21">
        <v>62400</v>
      </c>
      <c r="AH19" s="21">
        <v>112500</v>
      </c>
      <c r="AI19" s="21">
        <v>60000</v>
      </c>
      <c r="AJ19" s="21">
        <v>45000</v>
      </c>
      <c r="AK19" s="21">
        <v>75000</v>
      </c>
      <c r="AL19" s="21">
        <v>43497</v>
      </c>
      <c r="AM19" s="22">
        <f t="shared" si="6"/>
        <v>15096503.734999999</v>
      </c>
      <c r="AN19" s="22">
        <f t="shared" si="7"/>
        <v>1405083</v>
      </c>
      <c r="AO19" s="22">
        <f t="shared" si="8"/>
        <v>16501586.734999999</v>
      </c>
      <c r="AP19" s="21">
        <v>16777852</v>
      </c>
      <c r="AQ19" s="26">
        <f>SUM(AP15:AP26)</f>
        <v>214905964</v>
      </c>
      <c r="AR19" s="26">
        <f>AQ19-SUM(AO15:AO18)</f>
        <v>143324068.33000001</v>
      </c>
      <c r="AS19" s="27">
        <v>8</v>
      </c>
      <c r="AT19" s="28">
        <f t="shared" si="9"/>
        <v>17915508.541250002</v>
      </c>
      <c r="AU19" s="29">
        <f t="shared" si="10"/>
        <v>1413921.8062500022</v>
      </c>
      <c r="AV19" s="26">
        <f t="shared" si="11"/>
        <v>126822481.59500001</v>
      </c>
      <c r="AW19" s="30">
        <f t="shared" si="12"/>
        <v>0.40986988339234731</v>
      </c>
      <c r="AX19" s="31" t="str">
        <f t="shared" si="13"/>
        <v>✓ Within Budget</v>
      </c>
    </row>
    <row r="20" spans="1:50" ht="15.1" customHeight="1" x14ac:dyDescent="0.35">
      <c r="A20" s="32" t="s">
        <v>144</v>
      </c>
      <c r="B20" s="33">
        <v>2023</v>
      </c>
      <c r="C20" s="34">
        <v>75</v>
      </c>
      <c r="D20" s="34">
        <v>3</v>
      </c>
      <c r="E20" s="34">
        <v>1</v>
      </c>
      <c r="F20" s="34">
        <v>1</v>
      </c>
      <c r="G20" s="35">
        <f t="shared" si="0"/>
        <v>77</v>
      </c>
      <c r="H20" s="34">
        <v>1</v>
      </c>
      <c r="I20" s="34">
        <v>99152</v>
      </c>
      <c r="J20" s="34">
        <v>7</v>
      </c>
      <c r="K20" s="34">
        <v>17</v>
      </c>
      <c r="L20" s="34">
        <v>23</v>
      </c>
      <c r="M20" s="34">
        <v>19</v>
      </c>
      <c r="N20" s="34">
        <v>11</v>
      </c>
      <c r="O20" s="36">
        <f t="shared" si="1"/>
        <v>0.16</v>
      </c>
      <c r="P20" s="37">
        <v>0.105</v>
      </c>
      <c r="Q20" s="38">
        <v>84.57</v>
      </c>
      <c r="R20" s="33">
        <v>1487284</v>
      </c>
      <c r="S20" s="34">
        <v>23</v>
      </c>
      <c r="T20" s="35">
        <f t="shared" si="2"/>
        <v>53</v>
      </c>
      <c r="U20" s="34">
        <v>10900552</v>
      </c>
      <c r="V20" s="35">
        <f t="shared" si="3"/>
        <v>1962099.3599999999</v>
      </c>
      <c r="W20" s="35">
        <f t="shared" si="4"/>
        <v>872044.16</v>
      </c>
      <c r="X20" s="35">
        <f t="shared" si="5"/>
        <v>1471574.52</v>
      </c>
      <c r="Y20" s="34">
        <v>91425</v>
      </c>
      <c r="Z20" s="34">
        <v>106260</v>
      </c>
      <c r="AA20" s="34">
        <v>168917</v>
      </c>
      <c r="AB20" s="34">
        <v>105163</v>
      </c>
      <c r="AC20" s="34">
        <v>192500</v>
      </c>
      <c r="AD20" s="34">
        <v>246400</v>
      </c>
      <c r="AE20" s="34">
        <v>135000</v>
      </c>
      <c r="AF20" s="34">
        <v>424000</v>
      </c>
      <c r="AG20" s="34">
        <v>63600</v>
      </c>
      <c r="AH20" s="34">
        <v>115500</v>
      </c>
      <c r="AI20" s="34">
        <v>61600</v>
      </c>
      <c r="AJ20" s="34">
        <v>46200</v>
      </c>
      <c r="AK20" s="34">
        <v>88550</v>
      </c>
      <c r="AL20" s="34">
        <v>46712</v>
      </c>
      <c r="AM20" s="35">
        <f t="shared" si="6"/>
        <v>15572872.039999999</v>
      </c>
      <c r="AN20" s="35">
        <f t="shared" si="7"/>
        <v>1525225</v>
      </c>
      <c r="AO20" s="35">
        <f t="shared" si="8"/>
        <v>17098097.039999999</v>
      </c>
      <c r="AP20" s="34">
        <v>18408489</v>
      </c>
      <c r="AQ20" s="26">
        <f>SUM(AP15:AP26)</f>
        <v>214905964</v>
      </c>
      <c r="AR20" s="26">
        <f>AQ20-SUM(AO15:AO19)</f>
        <v>126822481.59500001</v>
      </c>
      <c r="AS20" s="39">
        <v>7</v>
      </c>
      <c r="AT20" s="28">
        <f t="shared" si="9"/>
        <v>18117497.370714288</v>
      </c>
      <c r="AU20" s="29">
        <f t="shared" si="10"/>
        <v>1019400.3307142891</v>
      </c>
      <c r="AV20" s="26">
        <f t="shared" si="11"/>
        <v>109724384.55500001</v>
      </c>
      <c r="AW20" s="30">
        <f t="shared" si="12"/>
        <v>0.48943071419367401</v>
      </c>
      <c r="AX20" s="31" t="str">
        <f t="shared" si="13"/>
        <v>✓ Within Budget</v>
      </c>
    </row>
    <row r="21" spans="1:50" ht="15.1" customHeight="1" x14ac:dyDescent="0.35">
      <c r="A21" s="19" t="s">
        <v>145</v>
      </c>
      <c r="B21" s="20">
        <v>2023</v>
      </c>
      <c r="C21" s="21">
        <v>77</v>
      </c>
      <c r="D21" s="21">
        <v>2</v>
      </c>
      <c r="E21" s="21">
        <v>1</v>
      </c>
      <c r="F21" s="21">
        <v>1</v>
      </c>
      <c r="G21" s="22">
        <f t="shared" si="0"/>
        <v>78</v>
      </c>
      <c r="H21" s="21">
        <v>1</v>
      </c>
      <c r="I21" s="21">
        <v>99538</v>
      </c>
      <c r="J21" s="21">
        <v>5</v>
      </c>
      <c r="K21" s="21">
        <v>18</v>
      </c>
      <c r="L21" s="21">
        <v>23</v>
      </c>
      <c r="M21" s="21">
        <v>20</v>
      </c>
      <c r="N21" s="21">
        <v>12</v>
      </c>
      <c r="O21" s="23">
        <f t="shared" si="1"/>
        <v>0.15584415584415584</v>
      </c>
      <c r="P21" s="24">
        <v>0.1003</v>
      </c>
      <c r="Q21" s="25">
        <v>84.15</v>
      </c>
      <c r="R21" s="20">
        <v>1493068</v>
      </c>
      <c r="S21" s="21">
        <v>23</v>
      </c>
      <c r="T21" s="22">
        <f t="shared" si="2"/>
        <v>54</v>
      </c>
      <c r="U21" s="40">
        <v>18105937</v>
      </c>
      <c r="V21" s="22">
        <f t="shared" si="3"/>
        <v>3259068.6599999997</v>
      </c>
      <c r="W21" s="22">
        <f t="shared" si="4"/>
        <v>1448474.96</v>
      </c>
      <c r="X21" s="22">
        <f t="shared" si="5"/>
        <v>2444301.4950000001</v>
      </c>
      <c r="Y21" s="21">
        <v>93150</v>
      </c>
      <c r="Z21" s="21">
        <v>107640</v>
      </c>
      <c r="AA21" s="40">
        <v>254818</v>
      </c>
      <c r="AB21" s="40">
        <v>94533</v>
      </c>
      <c r="AC21" s="21">
        <v>253500</v>
      </c>
      <c r="AD21" s="21">
        <v>249600</v>
      </c>
      <c r="AE21" s="21">
        <v>90000</v>
      </c>
      <c r="AF21" s="21">
        <v>432000</v>
      </c>
      <c r="AG21" s="21">
        <v>64800</v>
      </c>
      <c r="AH21" s="21">
        <v>117000</v>
      </c>
      <c r="AI21" s="21">
        <v>62400</v>
      </c>
      <c r="AJ21" s="21">
        <v>46800</v>
      </c>
      <c r="AK21" s="40">
        <v>121095</v>
      </c>
      <c r="AL21" s="21">
        <v>46703</v>
      </c>
      <c r="AM21" s="22">
        <f t="shared" si="6"/>
        <v>25713390.115000002</v>
      </c>
      <c r="AN21" s="22">
        <f t="shared" si="7"/>
        <v>1578431</v>
      </c>
      <c r="AO21" s="22">
        <f t="shared" si="8"/>
        <v>27291821.115000002</v>
      </c>
      <c r="AP21" s="21">
        <v>20455161</v>
      </c>
      <c r="AQ21" s="26">
        <f>SUM(AP15:AP26)</f>
        <v>214905964</v>
      </c>
      <c r="AR21" s="26">
        <f>AQ21-SUM(AO15:AO20)</f>
        <v>109724384.55500001</v>
      </c>
      <c r="AS21" s="27">
        <v>6</v>
      </c>
      <c r="AT21" s="28">
        <f t="shared" si="9"/>
        <v>18287397.425833333</v>
      </c>
      <c r="AU21" s="29">
        <f t="shared" si="10"/>
        <v>-9004423.6891666688</v>
      </c>
      <c r="AV21" s="26">
        <f t="shared" si="11"/>
        <v>82432563.439999998</v>
      </c>
      <c r="AW21" s="30">
        <f t="shared" si="12"/>
        <v>0.61642496138450587</v>
      </c>
      <c r="AX21" s="31" t="str">
        <f t="shared" si="13"/>
        <v>⚠ Over Budget</v>
      </c>
    </row>
    <row r="22" spans="1:50" ht="15.1" customHeight="1" x14ac:dyDescent="0.35">
      <c r="A22" s="32" t="s">
        <v>146</v>
      </c>
      <c r="B22" s="33">
        <v>2023</v>
      </c>
      <c r="C22" s="34">
        <v>78</v>
      </c>
      <c r="D22" s="34">
        <v>0</v>
      </c>
      <c r="E22" s="34">
        <v>1</v>
      </c>
      <c r="F22" s="34">
        <v>1</v>
      </c>
      <c r="G22" s="35">
        <f t="shared" si="0"/>
        <v>77</v>
      </c>
      <c r="H22" s="34">
        <v>1</v>
      </c>
      <c r="I22" s="34">
        <v>99567</v>
      </c>
      <c r="J22" s="34">
        <v>7</v>
      </c>
      <c r="K22" s="34">
        <v>18</v>
      </c>
      <c r="L22" s="34">
        <v>22</v>
      </c>
      <c r="M22" s="34">
        <v>18</v>
      </c>
      <c r="N22" s="34">
        <v>12</v>
      </c>
      <c r="O22" s="36">
        <f t="shared" si="1"/>
        <v>0.15384615384615385</v>
      </c>
      <c r="P22" s="37">
        <v>9.8699999999999996E-2</v>
      </c>
      <c r="Q22" s="38">
        <v>84.43</v>
      </c>
      <c r="R22" s="33">
        <v>1493498</v>
      </c>
      <c r="S22" s="34">
        <v>23</v>
      </c>
      <c r="T22" s="35">
        <f t="shared" si="2"/>
        <v>53</v>
      </c>
      <c r="U22" s="34">
        <v>10983433</v>
      </c>
      <c r="V22" s="35">
        <f t="shared" si="3"/>
        <v>1977017.94</v>
      </c>
      <c r="W22" s="35">
        <f t="shared" si="4"/>
        <v>878674.64</v>
      </c>
      <c r="X22" s="35">
        <f t="shared" si="5"/>
        <v>1482763.4550000001</v>
      </c>
      <c r="Y22" s="34">
        <v>89040</v>
      </c>
      <c r="Z22" s="34">
        <v>103488</v>
      </c>
      <c r="AA22" s="34">
        <v>169391</v>
      </c>
      <c r="AB22" s="34">
        <v>-149</v>
      </c>
      <c r="AC22" s="34">
        <v>192500</v>
      </c>
      <c r="AD22" s="34">
        <v>246400</v>
      </c>
      <c r="AE22" s="34">
        <v>0</v>
      </c>
      <c r="AF22" s="34">
        <v>424000</v>
      </c>
      <c r="AG22" s="34">
        <v>63600</v>
      </c>
      <c r="AH22" s="34">
        <v>115500</v>
      </c>
      <c r="AI22" s="34">
        <v>61600</v>
      </c>
      <c r="AJ22" s="34">
        <v>46200</v>
      </c>
      <c r="AK22" s="34">
        <v>86240</v>
      </c>
      <c r="AL22" s="34">
        <v>44935</v>
      </c>
      <c r="AM22" s="35">
        <f t="shared" si="6"/>
        <v>15683808.035</v>
      </c>
      <c r="AN22" s="35">
        <f t="shared" si="7"/>
        <v>1280826</v>
      </c>
      <c r="AO22" s="35">
        <f t="shared" si="8"/>
        <v>16964634.035</v>
      </c>
      <c r="AP22" s="34">
        <v>18280162</v>
      </c>
      <c r="AQ22" s="26">
        <f>SUM(AP15:AP26)</f>
        <v>214905964</v>
      </c>
      <c r="AR22" s="26">
        <f>AQ22-SUM(AO15:AO21)</f>
        <v>82432563.439999998</v>
      </c>
      <c r="AS22" s="39">
        <v>5</v>
      </c>
      <c r="AT22" s="28">
        <f t="shared" si="9"/>
        <v>16486512.687999999</v>
      </c>
      <c r="AU22" s="29">
        <f t="shared" si="10"/>
        <v>-478121.347000001</v>
      </c>
      <c r="AV22" s="26">
        <f t="shared" si="11"/>
        <v>65467929.405000001</v>
      </c>
      <c r="AW22" s="30">
        <f t="shared" si="12"/>
        <v>0.69536476239905565</v>
      </c>
      <c r="AX22" s="31" t="str">
        <f t="shared" si="13"/>
        <v>⚠ Over Budget</v>
      </c>
    </row>
    <row r="23" spans="1:50" ht="15.1" customHeight="1" x14ac:dyDescent="0.35">
      <c r="A23" s="19" t="s">
        <v>147</v>
      </c>
      <c r="B23" s="20">
        <v>2023</v>
      </c>
      <c r="C23" s="21">
        <v>77</v>
      </c>
      <c r="D23" s="21">
        <v>1</v>
      </c>
      <c r="E23" s="21">
        <v>3</v>
      </c>
      <c r="F23" s="21">
        <v>3</v>
      </c>
      <c r="G23" s="22">
        <f t="shared" si="0"/>
        <v>75</v>
      </c>
      <c r="H23" s="21">
        <v>1</v>
      </c>
      <c r="I23" s="21">
        <v>100584</v>
      </c>
      <c r="J23" s="21">
        <v>6</v>
      </c>
      <c r="K23" s="21">
        <v>17</v>
      </c>
      <c r="L23" s="21">
        <v>21</v>
      </c>
      <c r="M23" s="21">
        <v>20</v>
      </c>
      <c r="N23" s="21">
        <v>11</v>
      </c>
      <c r="O23" s="23">
        <f t="shared" si="1"/>
        <v>0.46753246753246752</v>
      </c>
      <c r="P23" s="24">
        <v>0.1007</v>
      </c>
      <c r="Q23" s="25">
        <v>85.15</v>
      </c>
      <c r="R23" s="20">
        <v>1508756</v>
      </c>
      <c r="S23" s="21">
        <v>22</v>
      </c>
      <c r="T23" s="22">
        <f t="shared" si="2"/>
        <v>52</v>
      </c>
      <c r="U23" s="21">
        <v>10913335</v>
      </c>
      <c r="V23" s="22">
        <f t="shared" si="3"/>
        <v>1964400.2999999998</v>
      </c>
      <c r="W23" s="22">
        <f t="shared" si="4"/>
        <v>873066.8</v>
      </c>
      <c r="X23" s="22">
        <f t="shared" si="5"/>
        <v>1473300.2250000001</v>
      </c>
      <c r="Y23" s="21">
        <v>78000</v>
      </c>
      <c r="Z23" s="21">
        <v>90000</v>
      </c>
      <c r="AA23" s="21">
        <v>158824</v>
      </c>
      <c r="AB23" s="21">
        <v>33272</v>
      </c>
      <c r="AC23" s="21">
        <v>187500</v>
      </c>
      <c r="AD23" s="21">
        <v>240000</v>
      </c>
      <c r="AE23" s="21">
        <v>45000</v>
      </c>
      <c r="AF23" s="21">
        <v>416000</v>
      </c>
      <c r="AG23" s="21">
        <v>62400</v>
      </c>
      <c r="AH23" s="21">
        <v>112500</v>
      </c>
      <c r="AI23" s="21">
        <v>60000</v>
      </c>
      <c r="AJ23" s="21">
        <v>45000</v>
      </c>
      <c r="AK23" s="21">
        <v>75000</v>
      </c>
      <c r="AL23" s="21">
        <v>26519</v>
      </c>
      <c r="AM23" s="22">
        <f t="shared" si="6"/>
        <v>15550926.325000001</v>
      </c>
      <c r="AN23" s="22">
        <f t="shared" si="7"/>
        <v>1303191</v>
      </c>
      <c r="AO23" s="22">
        <f t="shared" si="8"/>
        <v>16854117.325000003</v>
      </c>
      <c r="AP23" s="21">
        <v>16993588</v>
      </c>
      <c r="AQ23" s="26">
        <f>SUM(AP15:AP26)</f>
        <v>214905964</v>
      </c>
      <c r="AR23" s="26">
        <f>AQ23-SUM(AO15:AO22)</f>
        <v>65467929.405000001</v>
      </c>
      <c r="AS23" s="27">
        <v>4</v>
      </c>
      <c r="AT23" s="28">
        <f t="shared" si="9"/>
        <v>16366982.35125</v>
      </c>
      <c r="AU23" s="29">
        <f t="shared" si="10"/>
        <v>-487134.97375000268</v>
      </c>
      <c r="AV23" s="26">
        <f t="shared" si="11"/>
        <v>48613812.079999998</v>
      </c>
      <c r="AW23" s="30">
        <f t="shared" si="12"/>
        <v>0.77379030728063003</v>
      </c>
      <c r="AX23" s="31" t="str">
        <f t="shared" si="13"/>
        <v>⚠ Over Budget</v>
      </c>
    </row>
    <row r="24" spans="1:50" ht="15.1" customHeight="1" x14ac:dyDescent="0.35">
      <c r="A24" s="32" t="s">
        <v>148</v>
      </c>
      <c r="B24" s="33">
        <v>2024</v>
      </c>
      <c r="C24" s="34">
        <v>75</v>
      </c>
      <c r="D24" s="34">
        <v>2</v>
      </c>
      <c r="E24" s="34">
        <v>1</v>
      </c>
      <c r="F24" s="34">
        <v>1</v>
      </c>
      <c r="G24" s="35">
        <f t="shared" si="0"/>
        <v>76</v>
      </c>
      <c r="H24" s="34">
        <v>1</v>
      </c>
      <c r="I24" s="34">
        <v>102343</v>
      </c>
      <c r="J24" s="34">
        <v>7</v>
      </c>
      <c r="K24" s="34">
        <v>17</v>
      </c>
      <c r="L24" s="34">
        <v>21</v>
      </c>
      <c r="M24" s="34">
        <v>20</v>
      </c>
      <c r="N24" s="34">
        <v>11</v>
      </c>
      <c r="O24" s="36">
        <f t="shared" si="1"/>
        <v>0.16</v>
      </c>
      <c r="P24" s="37">
        <v>0.127</v>
      </c>
      <c r="Q24" s="38">
        <v>84.94</v>
      </c>
      <c r="R24" s="33">
        <v>1535148</v>
      </c>
      <c r="S24" s="34">
        <v>23</v>
      </c>
      <c r="T24" s="35">
        <f t="shared" si="2"/>
        <v>52</v>
      </c>
      <c r="U24" s="34">
        <v>11174598</v>
      </c>
      <c r="V24" s="35">
        <f t="shared" si="3"/>
        <v>2011427.64</v>
      </c>
      <c r="W24" s="35">
        <f t="shared" si="4"/>
        <v>893967.84</v>
      </c>
      <c r="X24" s="35">
        <f t="shared" si="5"/>
        <v>1508570.7300000002</v>
      </c>
      <c r="Y24" s="34">
        <v>84240</v>
      </c>
      <c r="Z24" s="34">
        <v>98496</v>
      </c>
      <c r="AA24" s="34">
        <v>185884</v>
      </c>
      <c r="AB24" s="34">
        <v>58676</v>
      </c>
      <c r="AC24" s="34">
        <v>190000</v>
      </c>
      <c r="AD24" s="34">
        <v>243200</v>
      </c>
      <c r="AE24" s="34">
        <v>90000</v>
      </c>
      <c r="AF24" s="34">
        <v>416000</v>
      </c>
      <c r="AG24" s="34">
        <v>62400</v>
      </c>
      <c r="AH24" s="34">
        <v>114000</v>
      </c>
      <c r="AI24" s="34">
        <v>60800</v>
      </c>
      <c r="AJ24" s="34">
        <v>45600</v>
      </c>
      <c r="AK24" s="34">
        <v>82080</v>
      </c>
      <c r="AL24" s="34">
        <v>36462</v>
      </c>
      <c r="AM24" s="35">
        <f t="shared" si="6"/>
        <v>15957184.210000001</v>
      </c>
      <c r="AN24" s="35">
        <f t="shared" si="7"/>
        <v>1399218</v>
      </c>
      <c r="AO24" s="35">
        <f t="shared" si="8"/>
        <v>17356402.210000001</v>
      </c>
      <c r="AP24" s="34">
        <v>18594058</v>
      </c>
      <c r="AQ24" s="26">
        <f>SUM(AP15:AP26)</f>
        <v>214905964</v>
      </c>
      <c r="AR24" s="26">
        <f>AQ24-SUM(AO15:AO23)</f>
        <v>48613812.079999983</v>
      </c>
      <c r="AS24" s="39">
        <v>3</v>
      </c>
      <c r="AT24" s="28">
        <f t="shared" si="9"/>
        <v>16204604.026666662</v>
      </c>
      <c r="AU24" s="29">
        <f t="shared" si="10"/>
        <v>-1151798.1833333392</v>
      </c>
      <c r="AV24" s="26">
        <f t="shared" si="11"/>
        <v>31257409.869999982</v>
      </c>
      <c r="AW24" s="30">
        <f t="shared" si="12"/>
        <v>0.85455308318013934</v>
      </c>
      <c r="AX24" s="31" t="str">
        <f t="shared" si="13"/>
        <v>⚠ Over Budget</v>
      </c>
    </row>
    <row r="25" spans="1:50" ht="15.1" customHeight="1" x14ac:dyDescent="0.35">
      <c r="A25" s="19" t="s">
        <v>149</v>
      </c>
      <c r="B25" s="20">
        <v>2024</v>
      </c>
      <c r="C25" s="21">
        <v>76</v>
      </c>
      <c r="D25" s="21">
        <v>4</v>
      </c>
      <c r="E25" s="21">
        <v>1</v>
      </c>
      <c r="F25" s="21">
        <v>1</v>
      </c>
      <c r="G25" s="22">
        <f t="shared" si="0"/>
        <v>79</v>
      </c>
      <c r="H25" s="21">
        <v>2</v>
      </c>
      <c r="I25" s="21">
        <v>205255</v>
      </c>
      <c r="J25" s="21">
        <v>5</v>
      </c>
      <c r="K25" s="21">
        <v>18</v>
      </c>
      <c r="L25" s="21">
        <v>25</v>
      </c>
      <c r="M25" s="21">
        <v>20</v>
      </c>
      <c r="N25" s="21">
        <v>11</v>
      </c>
      <c r="O25" s="23">
        <f t="shared" si="1"/>
        <v>0.15789473684210525</v>
      </c>
      <c r="P25" s="24">
        <v>9.7699999999999995E-2</v>
      </c>
      <c r="Q25" s="25">
        <v>84.55</v>
      </c>
      <c r="R25" s="20">
        <v>1539415</v>
      </c>
      <c r="S25" s="21">
        <v>24</v>
      </c>
      <c r="T25" s="22">
        <f t="shared" si="2"/>
        <v>53</v>
      </c>
      <c r="U25" s="21">
        <v>11680311</v>
      </c>
      <c r="V25" s="22">
        <f t="shared" si="3"/>
        <v>2102455.98</v>
      </c>
      <c r="W25" s="22">
        <f t="shared" si="4"/>
        <v>934424.88</v>
      </c>
      <c r="X25" s="22">
        <f t="shared" si="5"/>
        <v>1576841.9850000001</v>
      </c>
      <c r="Y25" s="21">
        <v>85860</v>
      </c>
      <c r="Z25" s="21">
        <v>102384</v>
      </c>
      <c r="AA25" s="21">
        <v>160225</v>
      </c>
      <c r="AB25" s="21">
        <v>133452</v>
      </c>
      <c r="AC25" s="21">
        <v>197500</v>
      </c>
      <c r="AD25" s="21">
        <v>252800</v>
      </c>
      <c r="AE25" s="21">
        <v>180000</v>
      </c>
      <c r="AF25" s="21">
        <v>424000</v>
      </c>
      <c r="AG25" s="21">
        <v>63600</v>
      </c>
      <c r="AH25" s="21">
        <v>118500</v>
      </c>
      <c r="AI25" s="21">
        <v>63200</v>
      </c>
      <c r="AJ25" s="21">
        <v>47400</v>
      </c>
      <c r="AK25" s="21">
        <v>85320</v>
      </c>
      <c r="AL25" s="21">
        <v>40195</v>
      </c>
      <c r="AM25" s="22">
        <f t="shared" si="6"/>
        <v>16642502.845000001</v>
      </c>
      <c r="AN25" s="22">
        <f t="shared" si="7"/>
        <v>1605967</v>
      </c>
      <c r="AO25" s="22">
        <f t="shared" si="8"/>
        <v>18248469.844999999</v>
      </c>
      <c r="AP25" s="21">
        <v>19717040</v>
      </c>
      <c r="AQ25" s="26">
        <f>SUM(AP15:AP26)</f>
        <v>214905964</v>
      </c>
      <c r="AR25" s="26">
        <f>AQ25-SUM(AO15:AO24)</f>
        <v>31257409.869999975</v>
      </c>
      <c r="AS25" s="27">
        <v>2</v>
      </c>
      <c r="AT25" s="28">
        <f t="shared" si="9"/>
        <v>15628704.934999987</v>
      </c>
      <c r="AU25" s="29">
        <f t="shared" si="10"/>
        <v>-2619764.9100000113</v>
      </c>
      <c r="AV25" s="26">
        <f t="shared" si="11"/>
        <v>13008940.024999976</v>
      </c>
      <c r="AW25" s="30">
        <f t="shared" si="12"/>
        <v>0.93946682640692103</v>
      </c>
      <c r="AX25" s="31" t="str">
        <f t="shared" si="13"/>
        <v>⚠ Over Budget</v>
      </c>
    </row>
    <row r="26" spans="1:50" ht="15.1" customHeight="1" x14ac:dyDescent="0.35">
      <c r="A26" s="32" t="s">
        <v>150</v>
      </c>
      <c r="B26" s="33">
        <v>2024</v>
      </c>
      <c r="C26" s="34">
        <v>79</v>
      </c>
      <c r="D26" s="34">
        <v>3</v>
      </c>
      <c r="E26" s="34">
        <v>1</v>
      </c>
      <c r="F26" s="34">
        <v>1</v>
      </c>
      <c r="G26" s="35">
        <f t="shared" si="0"/>
        <v>81</v>
      </c>
      <c r="H26" s="34">
        <v>1</v>
      </c>
      <c r="I26" s="34">
        <v>103095</v>
      </c>
      <c r="J26" s="34">
        <v>7</v>
      </c>
      <c r="K26" s="34">
        <v>18</v>
      </c>
      <c r="L26" s="34">
        <v>23</v>
      </c>
      <c r="M26" s="34">
        <v>20</v>
      </c>
      <c r="N26" s="34">
        <v>13</v>
      </c>
      <c r="O26" s="36">
        <f t="shared" si="1"/>
        <v>0.15189873417721519</v>
      </c>
      <c r="P26" s="37">
        <v>9.8100000000000007E-2</v>
      </c>
      <c r="Q26" s="38">
        <v>85.45</v>
      </c>
      <c r="R26" s="33">
        <v>1546429</v>
      </c>
      <c r="S26" s="34">
        <v>24</v>
      </c>
      <c r="T26" s="35">
        <f t="shared" si="2"/>
        <v>56</v>
      </c>
      <c r="U26" s="34">
        <v>12107250</v>
      </c>
      <c r="V26" s="35">
        <f t="shared" si="3"/>
        <v>2179305</v>
      </c>
      <c r="W26" s="35">
        <f t="shared" si="4"/>
        <v>968580</v>
      </c>
      <c r="X26" s="35">
        <f t="shared" si="5"/>
        <v>1634478.75</v>
      </c>
      <c r="Y26" s="34">
        <v>89040</v>
      </c>
      <c r="Z26" s="34">
        <v>103032</v>
      </c>
      <c r="AA26" s="34">
        <v>198857</v>
      </c>
      <c r="AB26" s="34">
        <v>105134</v>
      </c>
      <c r="AC26" s="34">
        <v>202500</v>
      </c>
      <c r="AD26" s="34">
        <v>259200</v>
      </c>
      <c r="AE26" s="34">
        <v>135000</v>
      </c>
      <c r="AF26" s="34">
        <v>448000</v>
      </c>
      <c r="AG26" s="34">
        <v>67200</v>
      </c>
      <c r="AH26" s="34">
        <v>121500</v>
      </c>
      <c r="AI26" s="34">
        <v>64800</v>
      </c>
      <c r="AJ26" s="34">
        <v>48600</v>
      </c>
      <c r="AK26" s="34">
        <v>85860</v>
      </c>
      <c r="AL26" s="34">
        <v>39096</v>
      </c>
      <c r="AM26" s="35">
        <f t="shared" si="6"/>
        <v>17280542.75</v>
      </c>
      <c r="AN26" s="35">
        <f t="shared" si="7"/>
        <v>1576890</v>
      </c>
      <c r="AO26" s="35">
        <f t="shared" si="8"/>
        <v>18857432.75</v>
      </c>
      <c r="AP26" s="34">
        <v>19081545</v>
      </c>
      <c r="AQ26" s="26">
        <f>SUM(AP15:AP26)</f>
        <v>214905964</v>
      </c>
      <c r="AR26" s="26">
        <f>AQ26-SUM(AO15:AO25)</f>
        <v>13008940.024999976</v>
      </c>
      <c r="AS26" s="39">
        <v>1</v>
      </c>
      <c r="AT26" s="28">
        <f t="shared" si="9"/>
        <v>13008940.024999976</v>
      </c>
      <c r="AU26" s="29">
        <f t="shared" si="10"/>
        <v>-5848492.7250000238</v>
      </c>
      <c r="AV26" s="26">
        <f t="shared" si="11"/>
        <v>-5848492.7250000238</v>
      </c>
      <c r="AW26" s="30">
        <f t="shared" si="12"/>
        <v>1.027214194600016</v>
      </c>
      <c r="AX26" s="31" t="str">
        <f t="shared" si="13"/>
        <v>⚠ Over Budget</v>
      </c>
    </row>
    <row r="27" spans="1:50" ht="15.1" customHeight="1" x14ac:dyDescent="0.35">
      <c r="A27" s="19" t="s">
        <v>151</v>
      </c>
      <c r="B27" s="20">
        <v>2024</v>
      </c>
      <c r="C27" s="21">
        <v>81</v>
      </c>
      <c r="D27" s="21">
        <v>1</v>
      </c>
      <c r="E27" s="21">
        <v>2</v>
      </c>
      <c r="F27" s="21">
        <v>2</v>
      </c>
      <c r="G27" s="22">
        <f t="shared" si="0"/>
        <v>80</v>
      </c>
      <c r="H27" s="21">
        <v>1</v>
      </c>
      <c r="I27" s="21">
        <v>103541</v>
      </c>
      <c r="J27" s="21">
        <v>7</v>
      </c>
      <c r="K27" s="21">
        <v>17</v>
      </c>
      <c r="L27" s="21">
        <v>25</v>
      </c>
      <c r="M27" s="21">
        <v>19</v>
      </c>
      <c r="N27" s="21">
        <v>12</v>
      </c>
      <c r="O27" s="23">
        <f t="shared" si="1"/>
        <v>0.29629629629629628</v>
      </c>
      <c r="P27" s="24">
        <v>0.11890000000000001</v>
      </c>
      <c r="Q27" s="25">
        <v>85.86</v>
      </c>
      <c r="R27" s="20">
        <v>1553119</v>
      </c>
      <c r="S27" s="21">
        <v>24</v>
      </c>
      <c r="T27" s="22">
        <f t="shared" si="2"/>
        <v>55</v>
      </c>
      <c r="U27" s="21">
        <v>11887832</v>
      </c>
      <c r="V27" s="22">
        <f t="shared" si="3"/>
        <v>2139809.7599999998</v>
      </c>
      <c r="W27" s="22">
        <f t="shared" si="4"/>
        <v>951026.56</v>
      </c>
      <c r="X27" s="22">
        <f t="shared" si="5"/>
        <v>1604857.32</v>
      </c>
      <c r="Y27" s="21">
        <v>90750</v>
      </c>
      <c r="Z27" s="21">
        <v>105600</v>
      </c>
      <c r="AA27" s="21">
        <v>189506</v>
      </c>
      <c r="AB27" s="21">
        <v>29728</v>
      </c>
      <c r="AC27" s="21">
        <v>260000</v>
      </c>
      <c r="AD27" s="21">
        <v>256000</v>
      </c>
      <c r="AE27" s="21">
        <v>45000</v>
      </c>
      <c r="AF27" s="21">
        <v>440000</v>
      </c>
      <c r="AG27" s="21">
        <v>66000</v>
      </c>
      <c r="AH27" s="21">
        <v>120000</v>
      </c>
      <c r="AI27" s="21">
        <v>64000</v>
      </c>
      <c r="AJ27" s="21">
        <v>48000</v>
      </c>
      <c r="AK27" s="21">
        <v>88000</v>
      </c>
      <c r="AL27" s="21">
        <v>36277</v>
      </c>
      <c r="AM27" s="22">
        <f t="shared" si="6"/>
        <v>16969381.640000001</v>
      </c>
      <c r="AN27" s="22">
        <f t="shared" si="7"/>
        <v>1453005</v>
      </c>
      <c r="AO27" s="22">
        <f t="shared" si="8"/>
        <v>18422386.640000001</v>
      </c>
      <c r="AP27" s="21">
        <v>19854990</v>
      </c>
      <c r="AQ27" s="26">
        <f>SUM(AP27:AP38)</f>
        <v>259997121</v>
      </c>
      <c r="AR27" s="26">
        <f>AQ27</f>
        <v>259997121</v>
      </c>
      <c r="AS27" s="27">
        <v>12</v>
      </c>
      <c r="AT27" s="28">
        <f t="shared" si="9"/>
        <v>21666426.75</v>
      </c>
      <c r="AU27" s="29">
        <f t="shared" si="10"/>
        <v>3244040.1099999994</v>
      </c>
      <c r="AV27" s="26">
        <f t="shared" si="11"/>
        <v>241574734.36000001</v>
      </c>
      <c r="AW27" s="30">
        <f t="shared" si="12"/>
        <v>7.0856117826012338E-2</v>
      </c>
      <c r="AX27" s="31" t="str">
        <f t="shared" si="13"/>
        <v>✓ Within Budget</v>
      </c>
    </row>
    <row r="28" spans="1:50" ht="15.1" customHeight="1" x14ac:dyDescent="0.35">
      <c r="A28" s="32" t="s">
        <v>152</v>
      </c>
      <c r="B28" s="33">
        <v>2024</v>
      </c>
      <c r="C28" s="34">
        <v>80</v>
      </c>
      <c r="D28" s="34">
        <v>4</v>
      </c>
      <c r="E28" s="34">
        <v>2</v>
      </c>
      <c r="F28" s="34">
        <v>2</v>
      </c>
      <c r="G28" s="35">
        <f t="shared" si="0"/>
        <v>82</v>
      </c>
      <c r="H28" s="34">
        <v>1</v>
      </c>
      <c r="I28" s="34">
        <v>104605</v>
      </c>
      <c r="J28" s="34">
        <v>7</v>
      </c>
      <c r="K28" s="34">
        <v>17</v>
      </c>
      <c r="L28" s="34">
        <v>24</v>
      </c>
      <c r="M28" s="34">
        <v>22</v>
      </c>
      <c r="N28" s="34">
        <v>12</v>
      </c>
      <c r="O28" s="36">
        <f t="shared" si="1"/>
        <v>0.30000000000000004</v>
      </c>
      <c r="P28" s="37">
        <v>0.10009999999999999</v>
      </c>
      <c r="Q28" s="38">
        <v>85.59</v>
      </c>
      <c r="R28" s="33">
        <v>1569081</v>
      </c>
      <c r="S28" s="34">
        <v>25</v>
      </c>
      <c r="T28" s="35">
        <f t="shared" si="2"/>
        <v>56</v>
      </c>
      <c r="U28" s="34">
        <v>12428429</v>
      </c>
      <c r="V28" s="35">
        <f t="shared" si="3"/>
        <v>2237117.2199999997</v>
      </c>
      <c r="W28" s="35">
        <f t="shared" si="4"/>
        <v>994274.32000000007</v>
      </c>
      <c r="X28" s="35">
        <f t="shared" si="5"/>
        <v>1677837.915</v>
      </c>
      <c r="Y28" s="34">
        <v>92400</v>
      </c>
      <c r="Z28" s="34">
        <v>108240</v>
      </c>
      <c r="AA28" s="34">
        <v>184425</v>
      </c>
      <c r="AB28" s="34">
        <v>137536</v>
      </c>
      <c r="AC28" s="34">
        <v>266500</v>
      </c>
      <c r="AD28" s="34">
        <v>262400</v>
      </c>
      <c r="AE28" s="34">
        <v>180000</v>
      </c>
      <c r="AF28" s="34">
        <v>448000</v>
      </c>
      <c r="AG28" s="34">
        <v>67200</v>
      </c>
      <c r="AH28" s="34">
        <v>123000</v>
      </c>
      <c r="AI28" s="34">
        <v>65600</v>
      </c>
      <c r="AJ28" s="34">
        <v>49200</v>
      </c>
      <c r="AK28" s="34">
        <v>90200</v>
      </c>
      <c r="AL28" s="34">
        <v>38233</v>
      </c>
      <c r="AM28" s="35">
        <f t="shared" si="6"/>
        <v>17722723.454999998</v>
      </c>
      <c r="AN28" s="35">
        <f t="shared" si="7"/>
        <v>1727869</v>
      </c>
      <c r="AO28" s="35">
        <f t="shared" si="8"/>
        <v>19450592.454999998</v>
      </c>
      <c r="AP28" s="34">
        <v>21197891</v>
      </c>
      <c r="AQ28" s="26">
        <f>SUM(AP27:AP38)</f>
        <v>259997121</v>
      </c>
      <c r="AR28" s="26">
        <f>AQ28-SUM(AO27:AO27)</f>
        <v>241574734.36000001</v>
      </c>
      <c r="AS28" s="39">
        <v>11</v>
      </c>
      <c r="AT28" s="28">
        <f t="shared" si="9"/>
        <v>21961339.487272728</v>
      </c>
      <c r="AU28" s="29">
        <f t="shared" si="10"/>
        <v>2510747.03227273</v>
      </c>
      <c r="AV28" s="26">
        <f t="shared" si="11"/>
        <v>222124141.90500003</v>
      </c>
      <c r="AW28" s="30">
        <f t="shared" si="12"/>
        <v>0.14566691719251756</v>
      </c>
      <c r="AX28" s="31" t="str">
        <f t="shared" si="13"/>
        <v>✓ Within Budget</v>
      </c>
    </row>
    <row r="29" spans="1:50" ht="15.1" customHeight="1" x14ac:dyDescent="0.35">
      <c r="A29" s="19" t="s">
        <v>153</v>
      </c>
      <c r="B29" s="20">
        <v>2024</v>
      </c>
      <c r="C29" s="21">
        <v>82</v>
      </c>
      <c r="D29" s="21">
        <v>3</v>
      </c>
      <c r="E29" s="21">
        <v>1</v>
      </c>
      <c r="F29" s="21">
        <v>1</v>
      </c>
      <c r="G29" s="22">
        <f t="shared" si="0"/>
        <v>84</v>
      </c>
      <c r="H29" s="21">
        <v>1</v>
      </c>
      <c r="I29" s="21">
        <v>105541</v>
      </c>
      <c r="J29" s="21">
        <v>6</v>
      </c>
      <c r="K29" s="21">
        <v>17</v>
      </c>
      <c r="L29" s="21">
        <v>26</v>
      </c>
      <c r="M29" s="21">
        <v>22</v>
      </c>
      <c r="N29" s="21">
        <v>13</v>
      </c>
      <c r="O29" s="23">
        <f t="shared" si="1"/>
        <v>0.14634146341463417</v>
      </c>
      <c r="P29" s="24">
        <v>9.74E-2</v>
      </c>
      <c r="Q29" s="25">
        <v>85.94</v>
      </c>
      <c r="R29" s="20">
        <v>1583119</v>
      </c>
      <c r="S29" s="21">
        <v>25</v>
      </c>
      <c r="T29" s="22">
        <f t="shared" si="2"/>
        <v>58</v>
      </c>
      <c r="U29" s="21">
        <v>12981576</v>
      </c>
      <c r="V29" s="22">
        <f t="shared" si="3"/>
        <v>2336683.6799999997</v>
      </c>
      <c r="W29" s="22">
        <f t="shared" si="4"/>
        <v>1038526.0800000001</v>
      </c>
      <c r="X29" s="22">
        <f t="shared" si="5"/>
        <v>1752512.76</v>
      </c>
      <c r="Y29" s="21">
        <v>91350</v>
      </c>
      <c r="Z29" s="21">
        <v>105840</v>
      </c>
      <c r="AA29" s="21">
        <v>209250</v>
      </c>
      <c r="AB29" s="21">
        <v>104933</v>
      </c>
      <c r="AC29" s="21">
        <v>210000</v>
      </c>
      <c r="AD29" s="21">
        <v>268800</v>
      </c>
      <c r="AE29" s="21">
        <v>135000</v>
      </c>
      <c r="AF29" s="21">
        <v>464000</v>
      </c>
      <c r="AG29" s="21">
        <v>69600</v>
      </c>
      <c r="AH29" s="21">
        <v>126000</v>
      </c>
      <c r="AI29" s="21">
        <v>67200</v>
      </c>
      <c r="AJ29" s="21">
        <v>50400</v>
      </c>
      <c r="AK29" s="21">
        <v>88200</v>
      </c>
      <c r="AL29" s="21">
        <v>41643</v>
      </c>
      <c r="AM29" s="22">
        <f t="shared" si="6"/>
        <v>18515738.52</v>
      </c>
      <c r="AN29" s="22">
        <f t="shared" si="7"/>
        <v>1625776</v>
      </c>
      <c r="AO29" s="22">
        <f t="shared" si="8"/>
        <v>20141514.52</v>
      </c>
      <c r="AP29" s="21">
        <v>20867285</v>
      </c>
      <c r="AQ29" s="26">
        <f>SUM(AP27:AP38)</f>
        <v>259997121</v>
      </c>
      <c r="AR29" s="26">
        <f>AQ29-SUM(AO27:AO28)</f>
        <v>222124141.905</v>
      </c>
      <c r="AS29" s="27">
        <v>10</v>
      </c>
      <c r="AT29" s="28">
        <f t="shared" si="9"/>
        <v>22212414.190499999</v>
      </c>
      <c r="AU29" s="29">
        <f t="shared" si="10"/>
        <v>2070899.6704999991</v>
      </c>
      <c r="AV29" s="26">
        <f t="shared" si="11"/>
        <v>201982627.38499999</v>
      </c>
      <c r="AW29" s="30">
        <f t="shared" si="12"/>
        <v>0.22313513854255335</v>
      </c>
      <c r="AX29" s="31" t="str">
        <f t="shared" si="13"/>
        <v>✓ Within Budget</v>
      </c>
    </row>
    <row r="30" spans="1:50" ht="15.1" customHeight="1" x14ac:dyDescent="0.35">
      <c r="A30" s="32" t="s">
        <v>154</v>
      </c>
      <c r="B30" s="33">
        <v>2024</v>
      </c>
      <c r="C30" s="34">
        <v>84</v>
      </c>
      <c r="D30" s="34">
        <v>2</v>
      </c>
      <c r="E30" s="34">
        <v>2</v>
      </c>
      <c r="F30" s="34">
        <v>2</v>
      </c>
      <c r="G30" s="35">
        <f t="shared" si="0"/>
        <v>84</v>
      </c>
      <c r="H30" s="34">
        <v>2</v>
      </c>
      <c r="I30" s="34">
        <v>212897</v>
      </c>
      <c r="J30" s="34">
        <v>8</v>
      </c>
      <c r="K30" s="34">
        <v>19</v>
      </c>
      <c r="L30" s="34">
        <v>27</v>
      </c>
      <c r="M30" s="34">
        <v>18</v>
      </c>
      <c r="N30" s="34">
        <v>12</v>
      </c>
      <c r="O30" s="36">
        <f t="shared" si="1"/>
        <v>0.2857142857142857</v>
      </c>
      <c r="P30" s="37">
        <v>0.1012</v>
      </c>
      <c r="Q30" s="38">
        <v>85.87</v>
      </c>
      <c r="R30" s="33">
        <v>1596731</v>
      </c>
      <c r="S30" s="34">
        <v>25</v>
      </c>
      <c r="T30" s="35">
        <f t="shared" si="2"/>
        <v>57</v>
      </c>
      <c r="U30" s="34">
        <v>12587563</v>
      </c>
      <c r="V30" s="35">
        <f t="shared" si="3"/>
        <v>2265761.34</v>
      </c>
      <c r="W30" s="35">
        <f t="shared" si="4"/>
        <v>1007005.04</v>
      </c>
      <c r="X30" s="35">
        <f t="shared" si="5"/>
        <v>1699321.0050000001</v>
      </c>
      <c r="Y30" s="34">
        <v>85500</v>
      </c>
      <c r="Z30" s="34">
        <v>100800</v>
      </c>
      <c r="AA30" s="34">
        <v>188253</v>
      </c>
      <c r="AB30" s="34">
        <v>67693</v>
      </c>
      <c r="AC30" s="34">
        <v>210000</v>
      </c>
      <c r="AD30" s="34">
        <v>268800</v>
      </c>
      <c r="AE30" s="34">
        <v>90000</v>
      </c>
      <c r="AF30" s="34">
        <v>456000</v>
      </c>
      <c r="AG30" s="34">
        <v>68400</v>
      </c>
      <c r="AH30" s="34">
        <v>126000</v>
      </c>
      <c r="AI30" s="34">
        <v>67200</v>
      </c>
      <c r="AJ30" s="34">
        <v>50400</v>
      </c>
      <c r="AK30" s="34">
        <v>84000</v>
      </c>
      <c r="AL30" s="34">
        <v>35602</v>
      </c>
      <c r="AM30" s="35">
        <f t="shared" si="6"/>
        <v>17934203.384999998</v>
      </c>
      <c r="AN30" s="35">
        <f t="shared" si="7"/>
        <v>1524095</v>
      </c>
      <c r="AO30" s="35">
        <f t="shared" si="8"/>
        <v>19458298.384999998</v>
      </c>
      <c r="AP30" s="34">
        <v>20568565</v>
      </c>
      <c r="AQ30" s="26">
        <f>SUM(AP27:AP38)</f>
        <v>259997121</v>
      </c>
      <c r="AR30" s="26">
        <f>AQ30-SUM(AO27:AO29)</f>
        <v>201982627.38499999</v>
      </c>
      <c r="AS30" s="39">
        <v>9</v>
      </c>
      <c r="AT30" s="28">
        <f t="shared" si="9"/>
        <v>22442514.153888889</v>
      </c>
      <c r="AU30" s="29">
        <f t="shared" si="10"/>
        <v>2984215.7688888907</v>
      </c>
      <c r="AV30" s="26">
        <f t="shared" si="11"/>
        <v>182524329</v>
      </c>
      <c r="AW30" s="30">
        <f t="shared" si="12"/>
        <v>0.29797557642955591</v>
      </c>
      <c r="AX30" s="31" t="str">
        <f t="shared" si="13"/>
        <v>✓ Within Budget</v>
      </c>
    </row>
    <row r="31" spans="1:50" ht="15.1" customHeight="1" x14ac:dyDescent="0.35">
      <c r="A31" s="19" t="s">
        <v>155</v>
      </c>
      <c r="B31" s="20">
        <v>2024</v>
      </c>
      <c r="C31" s="21">
        <v>84</v>
      </c>
      <c r="D31" s="21">
        <v>3</v>
      </c>
      <c r="E31" s="21">
        <v>2</v>
      </c>
      <c r="F31" s="21">
        <v>2</v>
      </c>
      <c r="G31" s="22">
        <f t="shared" si="0"/>
        <v>85</v>
      </c>
      <c r="H31" s="21">
        <v>1</v>
      </c>
      <c r="I31" s="21">
        <v>106727</v>
      </c>
      <c r="J31" s="21">
        <v>6</v>
      </c>
      <c r="K31" s="21">
        <v>19</v>
      </c>
      <c r="L31" s="21">
        <v>26</v>
      </c>
      <c r="M31" s="21">
        <v>21</v>
      </c>
      <c r="N31" s="21">
        <v>13</v>
      </c>
      <c r="O31" s="23">
        <f t="shared" si="1"/>
        <v>0.2857142857142857</v>
      </c>
      <c r="P31" s="24">
        <v>9.6799999999999997E-2</v>
      </c>
      <c r="Q31" s="25">
        <v>85.44</v>
      </c>
      <c r="R31" s="20">
        <v>1600909</v>
      </c>
      <c r="S31" s="21">
        <v>26</v>
      </c>
      <c r="T31" s="22">
        <f t="shared" si="2"/>
        <v>58</v>
      </c>
      <c r="U31" s="40">
        <v>18678873</v>
      </c>
      <c r="V31" s="22">
        <f t="shared" si="3"/>
        <v>3362197.1399999997</v>
      </c>
      <c r="W31" s="22">
        <f t="shared" si="4"/>
        <v>1494309.84</v>
      </c>
      <c r="X31" s="22">
        <f t="shared" si="5"/>
        <v>2521647.855</v>
      </c>
      <c r="Y31" s="21">
        <v>87000</v>
      </c>
      <c r="Z31" s="21">
        <v>102000</v>
      </c>
      <c r="AA31" s="40">
        <v>256841</v>
      </c>
      <c r="AB31" s="40">
        <v>140388</v>
      </c>
      <c r="AC31" s="21">
        <v>212500</v>
      </c>
      <c r="AD31" s="21">
        <v>272000</v>
      </c>
      <c r="AE31" s="21">
        <v>135000</v>
      </c>
      <c r="AF31" s="21">
        <v>464000</v>
      </c>
      <c r="AG31" s="21">
        <v>69600</v>
      </c>
      <c r="AH31" s="21">
        <v>127500</v>
      </c>
      <c r="AI31" s="21">
        <v>68000</v>
      </c>
      <c r="AJ31" s="21">
        <v>51000</v>
      </c>
      <c r="AK31" s="40">
        <v>114750</v>
      </c>
      <c r="AL31" s="21">
        <v>49208</v>
      </c>
      <c r="AM31" s="22">
        <f t="shared" si="6"/>
        <v>26502868.835000001</v>
      </c>
      <c r="AN31" s="22">
        <f t="shared" si="7"/>
        <v>1703946</v>
      </c>
      <c r="AO31" s="22">
        <f t="shared" si="8"/>
        <v>28206814.835000001</v>
      </c>
      <c r="AP31" s="21">
        <v>19894143</v>
      </c>
      <c r="AQ31" s="26">
        <f>SUM(AP27:AP38)</f>
        <v>259997121</v>
      </c>
      <c r="AR31" s="26">
        <f>AQ31-SUM(AO27:AO30)</f>
        <v>182524329</v>
      </c>
      <c r="AS31" s="27">
        <v>8</v>
      </c>
      <c r="AT31" s="28">
        <f t="shared" si="9"/>
        <v>22815541.125</v>
      </c>
      <c r="AU31" s="29">
        <f t="shared" si="10"/>
        <v>-5391273.7100000009</v>
      </c>
      <c r="AV31" s="26">
        <f t="shared" si="11"/>
        <v>154317514.16499999</v>
      </c>
      <c r="AW31" s="30">
        <f t="shared" si="12"/>
        <v>0.40646452710143666</v>
      </c>
      <c r="AX31" s="31" t="str">
        <f t="shared" si="13"/>
        <v>⚠ Over Budget</v>
      </c>
    </row>
    <row r="32" spans="1:50" ht="15.1" customHeight="1" x14ac:dyDescent="0.35">
      <c r="A32" s="32" t="s">
        <v>156</v>
      </c>
      <c r="B32" s="33">
        <v>2024</v>
      </c>
      <c r="C32" s="34">
        <v>85</v>
      </c>
      <c r="D32" s="34">
        <v>0</v>
      </c>
      <c r="E32" s="34">
        <v>2</v>
      </c>
      <c r="F32" s="34">
        <v>2</v>
      </c>
      <c r="G32" s="35">
        <f t="shared" si="0"/>
        <v>83</v>
      </c>
      <c r="H32" s="34">
        <v>1</v>
      </c>
      <c r="I32" s="34">
        <v>107887</v>
      </c>
      <c r="J32" s="34">
        <v>7</v>
      </c>
      <c r="K32" s="34">
        <v>17</v>
      </c>
      <c r="L32" s="34">
        <v>25</v>
      </c>
      <c r="M32" s="34">
        <v>22</v>
      </c>
      <c r="N32" s="34">
        <v>12</v>
      </c>
      <c r="O32" s="36">
        <f t="shared" si="1"/>
        <v>0.28235294117647058</v>
      </c>
      <c r="P32" s="37">
        <v>0.10249999999999999</v>
      </c>
      <c r="Q32" s="38">
        <v>85.78</v>
      </c>
      <c r="R32" s="33">
        <v>1618302</v>
      </c>
      <c r="S32" s="34">
        <v>25</v>
      </c>
      <c r="T32" s="35">
        <f t="shared" si="2"/>
        <v>57</v>
      </c>
      <c r="U32" s="34">
        <v>12953159</v>
      </c>
      <c r="V32" s="35">
        <f t="shared" si="3"/>
        <v>2331568.62</v>
      </c>
      <c r="W32" s="35">
        <f t="shared" si="4"/>
        <v>1036252.72</v>
      </c>
      <c r="X32" s="35">
        <f t="shared" si="5"/>
        <v>1748676.4650000001</v>
      </c>
      <c r="Y32" s="34">
        <v>98325</v>
      </c>
      <c r="Z32" s="34">
        <v>114540</v>
      </c>
      <c r="AA32" s="34">
        <v>181515</v>
      </c>
      <c r="AB32" s="34">
        <v>-2229</v>
      </c>
      <c r="AC32" s="34">
        <v>207500</v>
      </c>
      <c r="AD32" s="34">
        <v>265600</v>
      </c>
      <c r="AE32" s="34">
        <v>0</v>
      </c>
      <c r="AF32" s="34">
        <v>456000</v>
      </c>
      <c r="AG32" s="34">
        <v>68400</v>
      </c>
      <c r="AH32" s="34">
        <v>124500</v>
      </c>
      <c r="AI32" s="34">
        <v>66400</v>
      </c>
      <c r="AJ32" s="34">
        <v>49800</v>
      </c>
      <c r="AK32" s="34">
        <v>95450</v>
      </c>
      <c r="AL32" s="34">
        <v>30657</v>
      </c>
      <c r="AM32" s="35">
        <f t="shared" si="6"/>
        <v>18464036.805000003</v>
      </c>
      <c r="AN32" s="35">
        <f t="shared" si="7"/>
        <v>1362078</v>
      </c>
      <c r="AO32" s="35">
        <f t="shared" si="8"/>
        <v>19826114.805000003</v>
      </c>
      <c r="AP32" s="34">
        <v>22229342</v>
      </c>
      <c r="AQ32" s="26">
        <f>SUM(AP27:AP38)</f>
        <v>259997121</v>
      </c>
      <c r="AR32" s="26">
        <f>AQ32-SUM(AO27:AO31)</f>
        <v>154317514.16499999</v>
      </c>
      <c r="AS32" s="39">
        <v>7</v>
      </c>
      <c r="AT32" s="28">
        <f t="shared" si="9"/>
        <v>22045359.16642857</v>
      </c>
      <c r="AU32" s="29">
        <f t="shared" si="10"/>
        <v>2219244.3614285663</v>
      </c>
      <c r="AV32" s="26">
        <f t="shared" si="11"/>
        <v>134491399.35999998</v>
      </c>
      <c r="AW32" s="30">
        <f t="shared" si="12"/>
        <v>0.48271965919191856</v>
      </c>
      <c r="AX32" s="31" t="str">
        <f t="shared" si="13"/>
        <v>✓ Within Budget</v>
      </c>
    </row>
    <row r="33" spans="1:50" ht="15.1" customHeight="1" x14ac:dyDescent="0.35">
      <c r="A33" s="19" t="s">
        <v>157</v>
      </c>
      <c r="B33" s="20">
        <v>2024</v>
      </c>
      <c r="C33" s="21">
        <v>83</v>
      </c>
      <c r="D33" s="21">
        <v>2</v>
      </c>
      <c r="E33" s="21">
        <v>1</v>
      </c>
      <c r="F33" s="21">
        <v>1</v>
      </c>
      <c r="G33" s="22">
        <f t="shared" si="0"/>
        <v>84</v>
      </c>
      <c r="H33" s="21">
        <v>1</v>
      </c>
      <c r="I33" s="21">
        <v>109081</v>
      </c>
      <c r="J33" s="21">
        <v>6</v>
      </c>
      <c r="K33" s="21">
        <v>17</v>
      </c>
      <c r="L33" s="21">
        <v>28</v>
      </c>
      <c r="M33" s="21">
        <v>21</v>
      </c>
      <c r="N33" s="21">
        <v>12</v>
      </c>
      <c r="O33" s="23">
        <f t="shared" si="1"/>
        <v>0.14457831325301207</v>
      </c>
      <c r="P33" s="24">
        <v>0.1101</v>
      </c>
      <c r="Q33" s="25">
        <v>86.12</v>
      </c>
      <c r="R33" s="20">
        <v>1636217</v>
      </c>
      <c r="S33" s="21">
        <v>25</v>
      </c>
      <c r="T33" s="22">
        <f t="shared" si="2"/>
        <v>58</v>
      </c>
      <c r="U33" s="21">
        <v>13239723</v>
      </c>
      <c r="V33" s="22">
        <f t="shared" si="3"/>
        <v>2383150.14</v>
      </c>
      <c r="W33" s="22">
        <f t="shared" si="4"/>
        <v>1059177.8400000001</v>
      </c>
      <c r="X33" s="22">
        <f t="shared" si="5"/>
        <v>1787362.6050000002</v>
      </c>
      <c r="Y33" s="21">
        <v>100050</v>
      </c>
      <c r="Z33" s="21">
        <v>115920</v>
      </c>
      <c r="AA33" s="21">
        <v>195312</v>
      </c>
      <c r="AB33" s="21">
        <v>74468</v>
      </c>
      <c r="AC33" s="21">
        <v>273000</v>
      </c>
      <c r="AD33" s="21">
        <v>268800</v>
      </c>
      <c r="AE33" s="21">
        <v>90000</v>
      </c>
      <c r="AF33" s="21">
        <v>464000</v>
      </c>
      <c r="AG33" s="21">
        <v>69600</v>
      </c>
      <c r="AH33" s="21">
        <v>126000</v>
      </c>
      <c r="AI33" s="21">
        <v>67200</v>
      </c>
      <c r="AJ33" s="21">
        <v>50400</v>
      </c>
      <c r="AK33" s="21">
        <v>96600</v>
      </c>
      <c r="AL33" s="21">
        <v>48125</v>
      </c>
      <c r="AM33" s="22">
        <f t="shared" si="6"/>
        <v>18880695.585000001</v>
      </c>
      <c r="AN33" s="22">
        <f t="shared" si="7"/>
        <v>1628193</v>
      </c>
      <c r="AO33" s="22">
        <f t="shared" si="8"/>
        <v>20508888.585000001</v>
      </c>
      <c r="AP33" s="21">
        <v>23041697</v>
      </c>
      <c r="AQ33" s="26">
        <f>SUM(AP27:AP38)</f>
        <v>259997121</v>
      </c>
      <c r="AR33" s="26">
        <f>AQ33-SUM(AO27:AO32)</f>
        <v>134491399.35999998</v>
      </c>
      <c r="AS33" s="27">
        <v>6</v>
      </c>
      <c r="AT33" s="28">
        <f t="shared" si="9"/>
        <v>22415233.226666663</v>
      </c>
      <c r="AU33" s="29">
        <f t="shared" si="10"/>
        <v>1906344.6416666619</v>
      </c>
      <c r="AV33" s="26">
        <f t="shared" si="11"/>
        <v>113982510.77499998</v>
      </c>
      <c r="AW33" s="30">
        <f t="shared" si="12"/>
        <v>0.56160087336120934</v>
      </c>
      <c r="AX33" s="31" t="str">
        <f t="shared" si="13"/>
        <v>✓ Within Budget</v>
      </c>
    </row>
    <row r="34" spans="1:50" ht="15.1" customHeight="1" x14ac:dyDescent="0.35">
      <c r="A34" s="32" t="s">
        <v>158</v>
      </c>
      <c r="B34" s="33">
        <v>2024</v>
      </c>
      <c r="C34" s="34">
        <v>84</v>
      </c>
      <c r="D34" s="34">
        <v>1</v>
      </c>
      <c r="E34" s="34">
        <v>3</v>
      </c>
      <c r="F34" s="34">
        <v>3</v>
      </c>
      <c r="G34" s="35">
        <f t="shared" si="0"/>
        <v>82</v>
      </c>
      <c r="H34" s="34">
        <v>1</v>
      </c>
      <c r="I34" s="34">
        <v>107404</v>
      </c>
      <c r="J34" s="34">
        <v>7</v>
      </c>
      <c r="K34" s="34">
        <v>18</v>
      </c>
      <c r="L34" s="34">
        <v>26</v>
      </c>
      <c r="M34" s="34">
        <v>20</v>
      </c>
      <c r="N34" s="34">
        <v>11</v>
      </c>
      <c r="O34" s="36">
        <f t="shared" si="1"/>
        <v>0.42857142857142855</v>
      </c>
      <c r="P34" s="37">
        <v>0.1057</v>
      </c>
      <c r="Q34" s="38">
        <v>86.06</v>
      </c>
      <c r="R34" s="33">
        <v>1611057</v>
      </c>
      <c r="S34" s="34">
        <v>25</v>
      </c>
      <c r="T34" s="35">
        <f t="shared" si="2"/>
        <v>56</v>
      </c>
      <c r="U34" s="34">
        <v>12505830</v>
      </c>
      <c r="V34" s="35">
        <f t="shared" si="3"/>
        <v>2251049.4</v>
      </c>
      <c r="W34" s="35">
        <f t="shared" si="4"/>
        <v>1000466.4</v>
      </c>
      <c r="X34" s="35">
        <f t="shared" si="5"/>
        <v>1688287.05</v>
      </c>
      <c r="Y34" s="34">
        <v>94080</v>
      </c>
      <c r="Z34" s="34">
        <v>110208</v>
      </c>
      <c r="AA34" s="34">
        <v>187822</v>
      </c>
      <c r="AB34" s="34">
        <v>34090</v>
      </c>
      <c r="AC34" s="34">
        <v>205000</v>
      </c>
      <c r="AD34" s="34">
        <v>262400</v>
      </c>
      <c r="AE34" s="34">
        <v>45000</v>
      </c>
      <c r="AF34" s="34">
        <v>448000</v>
      </c>
      <c r="AG34" s="34">
        <v>67200</v>
      </c>
      <c r="AH34" s="34">
        <v>123000</v>
      </c>
      <c r="AI34" s="34">
        <v>65600</v>
      </c>
      <c r="AJ34" s="34">
        <v>49200</v>
      </c>
      <c r="AK34" s="34">
        <v>91840</v>
      </c>
      <c r="AL34" s="34">
        <v>46685</v>
      </c>
      <c r="AM34" s="35">
        <f t="shared" si="6"/>
        <v>17837742.850000001</v>
      </c>
      <c r="AN34" s="35">
        <f t="shared" si="7"/>
        <v>1438015</v>
      </c>
      <c r="AO34" s="35">
        <f t="shared" si="8"/>
        <v>19275757.850000001</v>
      </c>
      <c r="AP34" s="34">
        <v>21932541</v>
      </c>
      <c r="AQ34" s="26">
        <f>SUM(AP27:AP38)</f>
        <v>259997121</v>
      </c>
      <c r="AR34" s="26">
        <f>AQ34-SUM(AO27:AO33)</f>
        <v>113982510.77499998</v>
      </c>
      <c r="AS34" s="39">
        <v>5</v>
      </c>
      <c r="AT34" s="28">
        <f t="shared" si="9"/>
        <v>22796502.154999994</v>
      </c>
      <c r="AU34" s="29">
        <f t="shared" si="10"/>
        <v>3520744.3049999923</v>
      </c>
      <c r="AV34" s="26">
        <f t="shared" si="11"/>
        <v>94706752.924999982</v>
      </c>
      <c r="AW34" s="30">
        <f t="shared" si="12"/>
        <v>0.6357392244931821</v>
      </c>
      <c r="AX34" s="31" t="str">
        <f t="shared" si="13"/>
        <v>✓ Within Budget</v>
      </c>
    </row>
    <row r="35" spans="1:50" ht="15.1" customHeight="1" x14ac:dyDescent="0.35">
      <c r="A35" s="19" t="s">
        <v>159</v>
      </c>
      <c r="B35" s="20">
        <v>2024</v>
      </c>
      <c r="C35" s="21">
        <v>82</v>
      </c>
      <c r="D35" s="21">
        <v>2</v>
      </c>
      <c r="E35" s="21">
        <v>2</v>
      </c>
      <c r="F35" s="21">
        <v>2</v>
      </c>
      <c r="G35" s="22">
        <f t="shared" si="0"/>
        <v>82</v>
      </c>
      <c r="H35" s="21">
        <v>1</v>
      </c>
      <c r="I35" s="21">
        <v>109377</v>
      </c>
      <c r="J35" s="21">
        <v>5</v>
      </c>
      <c r="K35" s="21">
        <v>17</v>
      </c>
      <c r="L35" s="21">
        <v>28</v>
      </c>
      <c r="M35" s="21">
        <v>19</v>
      </c>
      <c r="N35" s="21">
        <v>13</v>
      </c>
      <c r="O35" s="23">
        <f t="shared" si="1"/>
        <v>0.29268292682926833</v>
      </c>
      <c r="P35" s="24">
        <v>0.10539999999999999</v>
      </c>
      <c r="Q35" s="25">
        <v>86.28</v>
      </c>
      <c r="R35" s="20">
        <v>1640654</v>
      </c>
      <c r="S35" s="21">
        <v>25</v>
      </c>
      <c r="T35" s="22">
        <f t="shared" si="2"/>
        <v>56</v>
      </c>
      <c r="U35" s="40">
        <v>20269939</v>
      </c>
      <c r="V35" s="22">
        <f t="shared" si="3"/>
        <v>3648589.02</v>
      </c>
      <c r="W35" s="22">
        <f t="shared" si="4"/>
        <v>1621595.12</v>
      </c>
      <c r="X35" s="22">
        <f t="shared" si="5"/>
        <v>2736441.7650000001</v>
      </c>
      <c r="Y35" s="21">
        <v>84000</v>
      </c>
      <c r="Z35" s="21">
        <v>98400</v>
      </c>
      <c r="AA35" s="40">
        <v>267104</v>
      </c>
      <c r="AB35" s="40">
        <v>88141</v>
      </c>
      <c r="AC35" s="21">
        <v>205000</v>
      </c>
      <c r="AD35" s="21">
        <v>262400</v>
      </c>
      <c r="AE35" s="21">
        <v>90000</v>
      </c>
      <c r="AF35" s="21">
        <v>448000</v>
      </c>
      <c r="AG35" s="21">
        <v>67200</v>
      </c>
      <c r="AH35" s="21">
        <v>123000</v>
      </c>
      <c r="AI35" s="21">
        <v>65600</v>
      </c>
      <c r="AJ35" s="21">
        <v>49200</v>
      </c>
      <c r="AK35" s="40">
        <v>110700</v>
      </c>
      <c r="AL35" s="21">
        <v>49903</v>
      </c>
      <c r="AM35" s="22">
        <f t="shared" si="6"/>
        <v>28726068.905000001</v>
      </c>
      <c r="AN35" s="22">
        <f t="shared" si="7"/>
        <v>1559144</v>
      </c>
      <c r="AO35" s="22">
        <f t="shared" si="8"/>
        <v>30285212.905000001</v>
      </c>
      <c r="AP35" s="21">
        <v>20444208</v>
      </c>
      <c r="AQ35" s="26">
        <f>SUM(AP27:AP38)</f>
        <v>259997121</v>
      </c>
      <c r="AR35" s="26">
        <f>AQ35-SUM(AO27:AO34)</f>
        <v>94706752.924999982</v>
      </c>
      <c r="AS35" s="27">
        <v>4</v>
      </c>
      <c r="AT35" s="28">
        <f t="shared" si="9"/>
        <v>23676688.231249996</v>
      </c>
      <c r="AU35" s="29">
        <f t="shared" si="10"/>
        <v>-6608524.6737500057</v>
      </c>
      <c r="AV35" s="26">
        <f t="shared" si="11"/>
        <v>64421540.019999981</v>
      </c>
      <c r="AW35" s="30">
        <f t="shared" si="12"/>
        <v>0.75222210241320331</v>
      </c>
      <c r="AX35" s="31" t="str">
        <f t="shared" si="13"/>
        <v>⚠ Over Budget</v>
      </c>
    </row>
    <row r="36" spans="1:50" ht="15.1" customHeight="1" x14ac:dyDescent="0.35">
      <c r="A36" s="32" t="s">
        <v>160</v>
      </c>
      <c r="B36" s="33">
        <v>2025</v>
      </c>
      <c r="C36" s="34">
        <v>82</v>
      </c>
      <c r="D36" s="34">
        <v>4</v>
      </c>
      <c r="E36" s="34">
        <v>1</v>
      </c>
      <c r="F36" s="34">
        <v>1</v>
      </c>
      <c r="G36" s="35">
        <f t="shared" si="0"/>
        <v>85</v>
      </c>
      <c r="H36" s="34">
        <v>1</v>
      </c>
      <c r="I36" s="34">
        <v>110311</v>
      </c>
      <c r="J36" s="34">
        <v>6</v>
      </c>
      <c r="K36" s="34">
        <v>17</v>
      </c>
      <c r="L36" s="34">
        <v>29</v>
      </c>
      <c r="M36" s="34">
        <v>21</v>
      </c>
      <c r="N36" s="34">
        <v>12</v>
      </c>
      <c r="O36" s="36">
        <f t="shared" si="1"/>
        <v>0.14634146341463417</v>
      </c>
      <c r="P36" s="37">
        <v>0.1123</v>
      </c>
      <c r="Q36" s="38">
        <v>86.56</v>
      </c>
      <c r="R36" s="33">
        <v>1654661</v>
      </c>
      <c r="S36" s="34">
        <v>26</v>
      </c>
      <c r="T36" s="35">
        <f t="shared" si="2"/>
        <v>58</v>
      </c>
      <c r="U36" s="34">
        <v>13526854</v>
      </c>
      <c r="V36" s="35">
        <f t="shared" si="3"/>
        <v>2434833.7199999997</v>
      </c>
      <c r="W36" s="35">
        <f t="shared" si="4"/>
        <v>1082148.32</v>
      </c>
      <c r="X36" s="35">
        <f t="shared" si="5"/>
        <v>1826125.29</v>
      </c>
      <c r="Y36" s="34">
        <v>93960</v>
      </c>
      <c r="Z36" s="34">
        <v>110160</v>
      </c>
      <c r="AA36" s="34">
        <v>212051</v>
      </c>
      <c r="AB36" s="34">
        <v>142753</v>
      </c>
      <c r="AC36" s="34">
        <v>212500</v>
      </c>
      <c r="AD36" s="34">
        <v>272000</v>
      </c>
      <c r="AE36" s="34">
        <v>180000</v>
      </c>
      <c r="AF36" s="34">
        <v>464000</v>
      </c>
      <c r="AG36" s="34">
        <v>69600</v>
      </c>
      <c r="AH36" s="34">
        <v>127500</v>
      </c>
      <c r="AI36" s="34">
        <v>68000</v>
      </c>
      <c r="AJ36" s="34">
        <v>51000</v>
      </c>
      <c r="AK36" s="34">
        <v>91800</v>
      </c>
      <c r="AL36" s="34">
        <v>32006</v>
      </c>
      <c r="AM36" s="35">
        <f t="shared" si="6"/>
        <v>19286132.329999998</v>
      </c>
      <c r="AN36" s="35">
        <f t="shared" si="7"/>
        <v>1711159</v>
      </c>
      <c r="AO36" s="35">
        <f t="shared" si="8"/>
        <v>20997291.329999998</v>
      </c>
      <c r="AP36" s="34">
        <v>23040876</v>
      </c>
      <c r="AQ36" s="26">
        <f>SUM(AP27:AP38)</f>
        <v>259997121</v>
      </c>
      <c r="AR36" s="26">
        <f>AQ36-SUM(AO27:AO35)</f>
        <v>64421540.019999981</v>
      </c>
      <c r="AS36" s="39">
        <v>3</v>
      </c>
      <c r="AT36" s="28">
        <f t="shared" si="9"/>
        <v>21473846.673333328</v>
      </c>
      <c r="AU36" s="29">
        <f t="shared" si="10"/>
        <v>476555.34333333001</v>
      </c>
      <c r="AV36" s="26">
        <f t="shared" si="11"/>
        <v>43424248.689999983</v>
      </c>
      <c r="AW36" s="30">
        <f t="shared" si="12"/>
        <v>0.83298180947934419</v>
      </c>
      <c r="AX36" s="31" t="str">
        <f t="shared" si="13"/>
        <v>✓ Within Budget</v>
      </c>
    </row>
    <row r="37" spans="1:50" ht="15.1" customHeight="1" x14ac:dyDescent="0.35">
      <c r="A37" s="19" t="s">
        <v>161</v>
      </c>
      <c r="B37" s="20">
        <v>2025</v>
      </c>
      <c r="C37" s="21">
        <v>85</v>
      </c>
      <c r="D37" s="21">
        <v>2</v>
      </c>
      <c r="E37" s="21">
        <v>2</v>
      </c>
      <c r="F37" s="21">
        <v>2</v>
      </c>
      <c r="G37" s="22">
        <f t="shared" si="0"/>
        <v>85</v>
      </c>
      <c r="H37" s="21">
        <v>1</v>
      </c>
      <c r="I37" s="21">
        <v>111149</v>
      </c>
      <c r="J37" s="21">
        <v>6</v>
      </c>
      <c r="K37" s="21">
        <v>18</v>
      </c>
      <c r="L37" s="21">
        <v>23</v>
      </c>
      <c r="M37" s="21">
        <v>23</v>
      </c>
      <c r="N37" s="21">
        <v>15</v>
      </c>
      <c r="O37" s="23">
        <f t="shared" si="1"/>
        <v>0.28235294117647058</v>
      </c>
      <c r="P37" s="24">
        <v>9.1399999999999995E-2</v>
      </c>
      <c r="Q37" s="25">
        <v>86.52</v>
      </c>
      <c r="R37" s="20">
        <v>1667229</v>
      </c>
      <c r="S37" s="21">
        <v>26</v>
      </c>
      <c r="T37" s="22">
        <f t="shared" si="2"/>
        <v>58</v>
      </c>
      <c r="U37" s="21">
        <v>14088085</v>
      </c>
      <c r="V37" s="22">
        <f t="shared" si="3"/>
        <v>2535855.2999999998</v>
      </c>
      <c r="W37" s="22">
        <f t="shared" si="4"/>
        <v>1127046.8</v>
      </c>
      <c r="X37" s="22">
        <f t="shared" si="5"/>
        <v>1901891.4750000001</v>
      </c>
      <c r="Y37" s="21">
        <v>93960</v>
      </c>
      <c r="Z37" s="21">
        <v>110160</v>
      </c>
      <c r="AA37" s="21">
        <v>205379</v>
      </c>
      <c r="AB37" s="21">
        <v>76088</v>
      </c>
      <c r="AC37" s="21">
        <v>212500</v>
      </c>
      <c r="AD37" s="21">
        <v>272000</v>
      </c>
      <c r="AE37" s="21">
        <v>90000</v>
      </c>
      <c r="AF37" s="21">
        <v>464000</v>
      </c>
      <c r="AG37" s="21">
        <v>69600</v>
      </c>
      <c r="AH37" s="21">
        <v>127500</v>
      </c>
      <c r="AI37" s="21">
        <v>68000</v>
      </c>
      <c r="AJ37" s="21">
        <v>51000</v>
      </c>
      <c r="AK37" s="21">
        <v>91800</v>
      </c>
      <c r="AL37" s="21">
        <v>52480</v>
      </c>
      <c r="AM37" s="22">
        <f t="shared" si="6"/>
        <v>20062377.575000003</v>
      </c>
      <c r="AN37" s="22">
        <f t="shared" si="7"/>
        <v>1574968</v>
      </c>
      <c r="AO37" s="22">
        <f t="shared" si="8"/>
        <v>21637345.575000003</v>
      </c>
      <c r="AP37" s="21">
        <v>23292995</v>
      </c>
      <c r="AQ37" s="26">
        <f>SUM(AP27:AP38)</f>
        <v>259997121</v>
      </c>
      <c r="AR37" s="26">
        <f>AQ37-SUM(AO27:AO36)</f>
        <v>43424248.689999998</v>
      </c>
      <c r="AS37" s="27">
        <v>2</v>
      </c>
      <c r="AT37" s="28">
        <f t="shared" si="9"/>
        <v>21712124.344999999</v>
      </c>
      <c r="AU37" s="29">
        <f t="shared" si="10"/>
        <v>74778.769999995828</v>
      </c>
      <c r="AV37" s="26">
        <f t="shared" si="11"/>
        <v>21786903.114999995</v>
      </c>
      <c r="AW37" s="30">
        <f t="shared" si="12"/>
        <v>0.91620329090105579</v>
      </c>
      <c r="AX37" s="31" t="str">
        <f t="shared" si="13"/>
        <v>✓ Within Budget</v>
      </c>
    </row>
    <row r="38" spans="1:50" ht="15.1" customHeight="1" x14ac:dyDescent="0.35">
      <c r="A38" s="32" t="s">
        <v>162</v>
      </c>
      <c r="B38" s="33">
        <v>2025</v>
      </c>
      <c r="C38" s="34">
        <v>85</v>
      </c>
      <c r="D38" s="34">
        <v>4</v>
      </c>
      <c r="E38" s="34">
        <v>2</v>
      </c>
      <c r="F38" s="34">
        <v>2</v>
      </c>
      <c r="G38" s="35">
        <f t="shared" si="0"/>
        <v>87</v>
      </c>
      <c r="H38" s="34">
        <v>1</v>
      </c>
      <c r="I38" s="34">
        <v>112119</v>
      </c>
      <c r="J38" s="34">
        <v>7</v>
      </c>
      <c r="K38" s="34">
        <v>18</v>
      </c>
      <c r="L38" s="34">
        <v>27</v>
      </c>
      <c r="M38" s="34">
        <v>22</v>
      </c>
      <c r="N38" s="34">
        <v>13</v>
      </c>
      <c r="O38" s="36">
        <f t="shared" si="1"/>
        <v>0.28235294117647058</v>
      </c>
      <c r="P38" s="37">
        <v>9.9099999999999994E-2</v>
      </c>
      <c r="Q38" s="38">
        <v>86.43</v>
      </c>
      <c r="R38" s="33">
        <v>1681792</v>
      </c>
      <c r="S38" s="34">
        <v>26</v>
      </c>
      <c r="T38" s="35">
        <f t="shared" si="2"/>
        <v>60</v>
      </c>
      <c r="U38" s="34">
        <v>14120045</v>
      </c>
      <c r="V38" s="35">
        <f t="shared" si="3"/>
        <v>2541608.1</v>
      </c>
      <c r="W38" s="35">
        <f t="shared" si="4"/>
        <v>1129603.6000000001</v>
      </c>
      <c r="X38" s="35">
        <f t="shared" si="5"/>
        <v>1906206.0750000002</v>
      </c>
      <c r="Y38" s="34">
        <v>95400</v>
      </c>
      <c r="Z38" s="34">
        <v>110664</v>
      </c>
      <c r="AA38" s="34">
        <v>198864</v>
      </c>
      <c r="AB38" s="34">
        <v>140016</v>
      </c>
      <c r="AC38" s="34">
        <v>217500</v>
      </c>
      <c r="AD38" s="34">
        <v>278400</v>
      </c>
      <c r="AE38" s="34">
        <v>180000</v>
      </c>
      <c r="AF38" s="34">
        <v>480000</v>
      </c>
      <c r="AG38" s="34">
        <v>72000</v>
      </c>
      <c r="AH38" s="34">
        <v>130500</v>
      </c>
      <c r="AI38" s="34">
        <v>69600</v>
      </c>
      <c r="AJ38" s="34">
        <v>52200</v>
      </c>
      <c r="AK38" s="34">
        <v>92220</v>
      </c>
      <c r="AL38" s="34">
        <v>39362</v>
      </c>
      <c r="AM38" s="35">
        <f t="shared" si="6"/>
        <v>20102390.774999999</v>
      </c>
      <c r="AN38" s="35">
        <f t="shared" si="7"/>
        <v>1751798</v>
      </c>
      <c r="AO38" s="35">
        <f t="shared" si="8"/>
        <v>21854188.774999999</v>
      </c>
      <c r="AP38" s="34">
        <v>23632588</v>
      </c>
      <c r="AQ38" s="26">
        <f>SUM(AP27:AP38)</f>
        <v>259997121</v>
      </c>
      <c r="AR38" s="26">
        <f>AQ38-SUM(AO27:AO37)</f>
        <v>21786903.11500001</v>
      </c>
      <c r="AS38" s="39">
        <v>1</v>
      </c>
      <c r="AT38" s="28">
        <f t="shared" si="9"/>
        <v>21786903.11500001</v>
      </c>
      <c r="AU38" s="29">
        <f t="shared" si="10"/>
        <v>-67285.659999988973</v>
      </c>
      <c r="AV38" s="26">
        <f t="shared" si="11"/>
        <v>-67285.659999988973</v>
      </c>
      <c r="AW38" s="30">
        <f t="shared" si="12"/>
        <v>1.0002587938656444</v>
      </c>
      <c r="AX38" s="31" t="str">
        <f t="shared" si="13"/>
        <v>⚠ Over Budget</v>
      </c>
    </row>
  </sheetData>
  <mergeCells count="1">
    <mergeCell ref="A1:AV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38"/>
  <sheetViews>
    <sheetView zoomScaleNormal="100" workbookViewId="0">
      <pane xSplit="2" ySplit="2" topLeftCell="C54" activePane="bottomRight" state="frozen"/>
      <selection pane="topRight" activeCell="C1" sqref="C1"/>
      <selection pane="bottomLeft" activeCell="A3" sqref="A3"/>
      <selection pane="bottomRight" activeCell="A62" sqref="A40:XFD62"/>
    </sheetView>
  </sheetViews>
  <sheetFormatPr defaultColWidth="8.6328125" defaultRowHeight="14.85" x14ac:dyDescent="0.35"/>
  <cols>
    <col min="1" max="1" width="10" customWidth="1"/>
    <col min="2" max="48" width="16" customWidth="1"/>
    <col min="49" max="50" width="18" customWidth="1"/>
  </cols>
  <sheetData>
    <row r="1" spans="1:50" ht="21.7" customHeight="1" x14ac:dyDescent="0.35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50" ht="30" customHeight="1" x14ac:dyDescent="0.35">
      <c r="A2" s="18" t="s">
        <v>37</v>
      </c>
      <c r="B2" s="18" t="s">
        <v>78</v>
      </c>
      <c r="C2" s="18" t="s">
        <v>79</v>
      </c>
      <c r="D2" s="18" t="s">
        <v>80</v>
      </c>
      <c r="E2" s="18" t="s">
        <v>81</v>
      </c>
      <c r="F2" s="18" t="s">
        <v>82</v>
      </c>
      <c r="G2" s="18" t="s">
        <v>83</v>
      </c>
      <c r="H2" s="18" t="s">
        <v>84</v>
      </c>
      <c r="I2" s="18" t="s">
        <v>85</v>
      </c>
      <c r="J2" s="18" t="s">
        <v>86</v>
      </c>
      <c r="K2" s="18" t="s">
        <v>87</v>
      </c>
      <c r="L2" s="18" t="s">
        <v>88</v>
      </c>
      <c r="M2" s="18" t="s">
        <v>89</v>
      </c>
      <c r="N2" s="18" t="s">
        <v>90</v>
      </c>
      <c r="O2" s="18" t="s">
        <v>91</v>
      </c>
      <c r="P2" s="18" t="s">
        <v>92</v>
      </c>
      <c r="Q2" s="18" t="s">
        <v>93</v>
      </c>
      <c r="R2" s="18" t="s">
        <v>94</v>
      </c>
      <c r="S2" s="18" t="s">
        <v>95</v>
      </c>
      <c r="T2" s="18" t="s">
        <v>96</v>
      </c>
      <c r="U2" s="18" t="s">
        <v>97</v>
      </c>
      <c r="V2" s="18" t="s">
        <v>98</v>
      </c>
      <c r="W2" s="18" t="s">
        <v>99</v>
      </c>
      <c r="X2" s="18" t="s">
        <v>100</v>
      </c>
      <c r="Y2" s="18" t="s">
        <v>101</v>
      </c>
      <c r="Z2" s="18" t="s">
        <v>102</v>
      </c>
      <c r="AA2" s="18" t="s">
        <v>103</v>
      </c>
      <c r="AB2" s="18" t="s">
        <v>104</v>
      </c>
      <c r="AC2" s="18" t="s">
        <v>105</v>
      </c>
      <c r="AD2" s="18" t="s">
        <v>106</v>
      </c>
      <c r="AE2" s="18" t="s">
        <v>107</v>
      </c>
      <c r="AF2" s="18" t="s">
        <v>108</v>
      </c>
      <c r="AG2" s="18" t="s">
        <v>109</v>
      </c>
      <c r="AH2" s="18" t="s">
        <v>110</v>
      </c>
      <c r="AI2" s="18" t="s">
        <v>111</v>
      </c>
      <c r="AJ2" s="18" t="s">
        <v>112</v>
      </c>
      <c r="AK2" s="18" t="s">
        <v>113</v>
      </c>
      <c r="AL2" s="18" t="s">
        <v>114</v>
      </c>
      <c r="AM2" s="18" t="s">
        <v>115</v>
      </c>
      <c r="AN2" s="18" t="s">
        <v>116</v>
      </c>
      <c r="AO2" s="18" t="s">
        <v>117</v>
      </c>
      <c r="AP2" s="18" t="s">
        <v>118</v>
      </c>
      <c r="AQ2" s="18" t="s">
        <v>119</v>
      </c>
      <c r="AR2" s="18" t="s">
        <v>120</v>
      </c>
      <c r="AS2" s="18" t="s">
        <v>121</v>
      </c>
      <c r="AT2" s="18" t="s">
        <v>122</v>
      </c>
      <c r="AU2" s="18" t="s">
        <v>123</v>
      </c>
      <c r="AV2" s="18" t="s">
        <v>124</v>
      </c>
      <c r="AW2" s="18" t="s">
        <v>125</v>
      </c>
      <c r="AX2" s="18" t="s">
        <v>126</v>
      </c>
    </row>
    <row r="3" spans="1:50" ht="15.1" customHeight="1" x14ac:dyDescent="0.35">
      <c r="A3" s="19" t="s">
        <v>127</v>
      </c>
      <c r="B3" s="20">
        <v>2022</v>
      </c>
      <c r="C3" s="21">
        <v>40</v>
      </c>
      <c r="D3" s="21">
        <v>2</v>
      </c>
      <c r="E3" s="21">
        <v>1</v>
      </c>
      <c r="F3" s="21">
        <v>1</v>
      </c>
      <c r="G3" s="22">
        <f t="shared" ref="G3:G38" si="0">C3+D3-E3</f>
        <v>41</v>
      </c>
      <c r="H3" s="21">
        <v>1</v>
      </c>
      <c r="I3" s="21">
        <v>107573</v>
      </c>
      <c r="J3" s="21">
        <v>1</v>
      </c>
      <c r="K3" s="21">
        <v>7</v>
      </c>
      <c r="L3" s="21">
        <v>17</v>
      </c>
      <c r="M3" s="21">
        <v>12</v>
      </c>
      <c r="N3" s="21">
        <v>4</v>
      </c>
      <c r="O3" s="23">
        <f t="shared" ref="O3:O38" si="1">F3/(C3)*12</f>
        <v>0.30000000000000004</v>
      </c>
      <c r="P3" s="24">
        <v>0.1152</v>
      </c>
      <c r="Q3" s="25">
        <v>82.35</v>
      </c>
      <c r="R3" s="20">
        <v>1613588</v>
      </c>
      <c r="S3" s="21">
        <v>18</v>
      </c>
      <c r="T3" s="22">
        <f t="shared" ref="T3:T38" si="2">G3-H3-S3</f>
        <v>22</v>
      </c>
      <c r="U3" s="21">
        <v>6393842</v>
      </c>
      <c r="V3" s="22">
        <f t="shared" ref="V3:V38" si="3">U3*0.18</f>
        <v>1150891.56</v>
      </c>
      <c r="W3" s="22">
        <f t="shared" ref="W3:W38" si="4">U3*0.08</f>
        <v>511507.36</v>
      </c>
      <c r="X3" s="22">
        <f t="shared" ref="X3:X38" si="5">U3*0.135</f>
        <v>863168.67</v>
      </c>
      <c r="Y3" s="21">
        <v>36300</v>
      </c>
      <c r="Z3" s="21">
        <v>54120</v>
      </c>
      <c r="AA3" s="21">
        <v>114631</v>
      </c>
      <c r="AB3" s="21">
        <v>73966</v>
      </c>
      <c r="AC3" s="21">
        <v>133250</v>
      </c>
      <c r="AD3" s="21">
        <v>131200</v>
      </c>
      <c r="AE3" s="21">
        <v>90000</v>
      </c>
      <c r="AF3" s="21">
        <v>176000</v>
      </c>
      <c r="AG3" s="21">
        <v>26400</v>
      </c>
      <c r="AH3" s="21">
        <v>61500</v>
      </c>
      <c r="AI3" s="21">
        <v>32800</v>
      </c>
      <c r="AJ3" s="21">
        <v>24600</v>
      </c>
      <c r="AK3" s="21">
        <v>45100</v>
      </c>
      <c r="AL3" s="21">
        <v>12578</v>
      </c>
      <c r="AM3" s="22">
        <f t="shared" ref="AM3:AM38" si="6">SUM(U3:AA3)</f>
        <v>9124460.5900000017</v>
      </c>
      <c r="AN3" s="22">
        <f t="shared" ref="AN3:AN38" si="7">SUM(AB3:AL3)</f>
        <v>807394</v>
      </c>
      <c r="AO3" s="22">
        <f t="shared" ref="AO3:AO38" si="8">AM3+AN3</f>
        <v>9931854.5900000017</v>
      </c>
      <c r="AP3" s="21">
        <v>11445352</v>
      </c>
      <c r="AQ3" s="26">
        <f>SUM(AP3:AP14)</f>
        <v>137789770</v>
      </c>
      <c r="AR3" s="26">
        <f>AQ3</f>
        <v>137789770</v>
      </c>
      <c r="AS3" s="27">
        <v>12</v>
      </c>
      <c r="AT3" s="28">
        <f t="shared" ref="AT3:AT38" si="9">IF(AM3&gt;0,AR3/AS3,0)</f>
        <v>11482480.833333334</v>
      </c>
      <c r="AU3" s="29">
        <f t="shared" ref="AU3:AU38" si="10">AT3-AO3</f>
        <v>1550626.2433333322</v>
      </c>
      <c r="AV3" s="26">
        <f t="shared" ref="AV3:AV38" si="11">AR3-AO3</f>
        <v>127857915.41</v>
      </c>
      <c r="AW3" s="30">
        <f t="shared" ref="AW3:AW38" si="12">IF(AQ3&gt;0,(AQ3-AV3)/AQ3,0)</f>
        <v>7.2079767532814684E-2</v>
      </c>
      <c r="AX3" s="31" t="str">
        <f t="shared" ref="AX3:AX38" si="13">IF(AU3&lt;0,"⚠ Over Budget","✓ Within Budget")</f>
        <v>✓ Within Budget</v>
      </c>
    </row>
    <row r="4" spans="1:50" ht="15.1" customHeight="1" x14ac:dyDescent="0.35">
      <c r="A4" s="32" t="s">
        <v>128</v>
      </c>
      <c r="B4" s="33">
        <v>2022</v>
      </c>
      <c r="C4" s="34">
        <v>41</v>
      </c>
      <c r="D4" s="34">
        <v>1</v>
      </c>
      <c r="E4" s="34">
        <v>0</v>
      </c>
      <c r="F4" s="34">
        <v>0</v>
      </c>
      <c r="G4" s="35">
        <f t="shared" si="0"/>
        <v>42</v>
      </c>
      <c r="H4" s="34">
        <v>1</v>
      </c>
      <c r="I4" s="34">
        <v>107313</v>
      </c>
      <c r="J4" s="34">
        <v>1</v>
      </c>
      <c r="K4" s="34">
        <v>8</v>
      </c>
      <c r="L4" s="34">
        <v>17</v>
      </c>
      <c r="M4" s="34">
        <v>12</v>
      </c>
      <c r="N4" s="34">
        <v>4</v>
      </c>
      <c r="O4" s="36">
        <f t="shared" si="1"/>
        <v>0</v>
      </c>
      <c r="P4" s="37">
        <v>0.1042</v>
      </c>
      <c r="Q4" s="38">
        <v>82.55</v>
      </c>
      <c r="R4" s="33">
        <v>1609700</v>
      </c>
      <c r="S4" s="34">
        <v>19</v>
      </c>
      <c r="T4" s="35">
        <f t="shared" si="2"/>
        <v>22</v>
      </c>
      <c r="U4" s="34">
        <v>6485750</v>
      </c>
      <c r="V4" s="35">
        <f t="shared" si="3"/>
        <v>1167435</v>
      </c>
      <c r="W4" s="35">
        <f t="shared" si="4"/>
        <v>518860</v>
      </c>
      <c r="X4" s="35">
        <f t="shared" si="5"/>
        <v>875576.25</v>
      </c>
      <c r="Y4" s="34">
        <v>36300</v>
      </c>
      <c r="Z4" s="34">
        <v>55440</v>
      </c>
      <c r="AA4" s="34">
        <v>106739</v>
      </c>
      <c r="AB4" s="34">
        <v>21699</v>
      </c>
      <c r="AC4" s="34">
        <v>136500</v>
      </c>
      <c r="AD4" s="34">
        <v>134400</v>
      </c>
      <c r="AE4" s="34">
        <v>45000</v>
      </c>
      <c r="AF4" s="34">
        <v>176000</v>
      </c>
      <c r="AG4" s="34">
        <v>26400</v>
      </c>
      <c r="AH4" s="34">
        <v>63000</v>
      </c>
      <c r="AI4" s="34">
        <v>33600</v>
      </c>
      <c r="AJ4" s="34">
        <v>25200</v>
      </c>
      <c r="AK4" s="34">
        <v>46200</v>
      </c>
      <c r="AL4" s="34">
        <v>23898</v>
      </c>
      <c r="AM4" s="35">
        <f t="shared" si="6"/>
        <v>9246100.25</v>
      </c>
      <c r="AN4" s="35">
        <f t="shared" si="7"/>
        <v>731897</v>
      </c>
      <c r="AO4" s="35">
        <f t="shared" si="8"/>
        <v>9977997.25</v>
      </c>
      <c r="AP4" s="34">
        <v>10997278</v>
      </c>
      <c r="AQ4" s="26">
        <f>SUM(AP3:AP14)</f>
        <v>137789770</v>
      </c>
      <c r="AR4" s="26">
        <f>AQ4-SUM(AO3:AO3)</f>
        <v>127857915.41</v>
      </c>
      <c r="AS4" s="39">
        <v>11</v>
      </c>
      <c r="AT4" s="28">
        <f t="shared" si="9"/>
        <v>11623446.855454545</v>
      </c>
      <c r="AU4" s="29">
        <f t="shared" si="10"/>
        <v>1645449.6054545455</v>
      </c>
      <c r="AV4" s="26">
        <f t="shared" si="11"/>
        <v>117879918.16</v>
      </c>
      <c r="AW4" s="30">
        <f t="shared" si="12"/>
        <v>0.14449441232103083</v>
      </c>
      <c r="AX4" s="31" t="str">
        <f t="shared" si="13"/>
        <v>✓ Within Budget</v>
      </c>
    </row>
    <row r="5" spans="1:50" ht="15.1" customHeight="1" x14ac:dyDescent="0.35">
      <c r="A5" s="19" t="s">
        <v>129</v>
      </c>
      <c r="B5" s="20">
        <v>2022</v>
      </c>
      <c r="C5" s="21">
        <v>42</v>
      </c>
      <c r="D5" s="21">
        <v>0</v>
      </c>
      <c r="E5" s="21">
        <v>1</v>
      </c>
      <c r="F5" s="21">
        <v>1</v>
      </c>
      <c r="G5" s="22">
        <f t="shared" si="0"/>
        <v>41</v>
      </c>
      <c r="H5" s="21">
        <v>1</v>
      </c>
      <c r="I5" s="21">
        <v>107575</v>
      </c>
      <c r="J5" s="21">
        <v>1</v>
      </c>
      <c r="K5" s="21">
        <v>7</v>
      </c>
      <c r="L5" s="21">
        <v>15</v>
      </c>
      <c r="M5" s="21">
        <v>12</v>
      </c>
      <c r="N5" s="21">
        <v>6</v>
      </c>
      <c r="O5" s="23">
        <f t="shared" si="1"/>
        <v>0.2857142857142857</v>
      </c>
      <c r="P5" s="24">
        <v>9.7699999999999995E-2</v>
      </c>
      <c r="Q5" s="25">
        <v>82.9</v>
      </c>
      <c r="R5" s="20">
        <v>1613624</v>
      </c>
      <c r="S5" s="21">
        <v>18</v>
      </c>
      <c r="T5" s="22">
        <f t="shared" si="2"/>
        <v>22</v>
      </c>
      <c r="U5" s="40">
        <v>9290440</v>
      </c>
      <c r="V5" s="22">
        <f t="shared" si="3"/>
        <v>1672279.2</v>
      </c>
      <c r="W5" s="22">
        <f t="shared" si="4"/>
        <v>743235.20000000007</v>
      </c>
      <c r="X5" s="22">
        <f t="shared" si="5"/>
        <v>1254209.4000000001</v>
      </c>
      <c r="Y5" s="21">
        <v>34650</v>
      </c>
      <c r="Z5" s="21">
        <v>51660</v>
      </c>
      <c r="AA5" s="40">
        <v>143567</v>
      </c>
      <c r="AB5" s="40">
        <v>-11177</v>
      </c>
      <c r="AC5" s="21">
        <v>102500</v>
      </c>
      <c r="AD5" s="21">
        <v>131200</v>
      </c>
      <c r="AE5" s="21">
        <v>0</v>
      </c>
      <c r="AF5" s="21">
        <v>176000</v>
      </c>
      <c r="AG5" s="21">
        <v>26400</v>
      </c>
      <c r="AH5" s="21">
        <v>61500</v>
      </c>
      <c r="AI5" s="21">
        <v>32800</v>
      </c>
      <c r="AJ5" s="21">
        <v>24600</v>
      </c>
      <c r="AK5" s="40">
        <v>58117</v>
      </c>
      <c r="AL5" s="21">
        <v>21074</v>
      </c>
      <c r="AM5" s="22">
        <f t="shared" si="6"/>
        <v>13190040.799999999</v>
      </c>
      <c r="AN5" s="22">
        <f t="shared" si="7"/>
        <v>623014</v>
      </c>
      <c r="AO5" s="22">
        <f t="shared" si="8"/>
        <v>13813054.799999999</v>
      </c>
      <c r="AP5" s="21">
        <v>10816750</v>
      </c>
      <c r="AQ5" s="26">
        <f>SUM(AP3:AP14)</f>
        <v>137789770</v>
      </c>
      <c r="AR5" s="26">
        <f>AQ5-SUM(AO3:AO4)</f>
        <v>117879918.16</v>
      </c>
      <c r="AS5" s="27">
        <v>10</v>
      </c>
      <c r="AT5" s="28">
        <f t="shared" si="9"/>
        <v>11787991.816</v>
      </c>
      <c r="AU5" s="29">
        <f t="shared" si="10"/>
        <v>-2025062.9839999992</v>
      </c>
      <c r="AV5" s="26">
        <f t="shared" si="11"/>
        <v>104066863.36</v>
      </c>
      <c r="AW5" s="30">
        <f t="shared" si="12"/>
        <v>0.2447417296654171</v>
      </c>
      <c r="AX5" s="31" t="str">
        <f t="shared" si="13"/>
        <v>⚠ Over Budget</v>
      </c>
    </row>
    <row r="6" spans="1:50" ht="15.1" customHeight="1" x14ac:dyDescent="0.35">
      <c r="A6" s="32" t="s">
        <v>130</v>
      </c>
      <c r="B6" s="33">
        <v>2022</v>
      </c>
      <c r="C6" s="34">
        <v>41</v>
      </c>
      <c r="D6" s="34">
        <v>3</v>
      </c>
      <c r="E6" s="34">
        <v>1</v>
      </c>
      <c r="F6" s="34">
        <v>1</v>
      </c>
      <c r="G6" s="35">
        <f t="shared" si="0"/>
        <v>43</v>
      </c>
      <c r="H6" s="34">
        <v>0</v>
      </c>
      <c r="I6" s="34">
        <v>0</v>
      </c>
      <c r="J6" s="34">
        <v>3</v>
      </c>
      <c r="K6" s="34">
        <v>8</v>
      </c>
      <c r="L6" s="34">
        <v>13</v>
      </c>
      <c r="M6" s="34">
        <v>13</v>
      </c>
      <c r="N6" s="34">
        <v>6</v>
      </c>
      <c r="O6" s="36">
        <f t="shared" si="1"/>
        <v>0.29268292682926833</v>
      </c>
      <c r="P6" s="37">
        <v>9.1300000000000006E-2</v>
      </c>
      <c r="Q6" s="38">
        <v>82.62</v>
      </c>
      <c r="R6" s="33">
        <v>1639836</v>
      </c>
      <c r="S6" s="34">
        <v>19</v>
      </c>
      <c r="T6" s="35">
        <f t="shared" si="2"/>
        <v>24</v>
      </c>
      <c r="U6" s="34">
        <v>6921474</v>
      </c>
      <c r="V6" s="35">
        <f t="shared" si="3"/>
        <v>1245865.32</v>
      </c>
      <c r="W6" s="35">
        <f t="shared" si="4"/>
        <v>553717.92000000004</v>
      </c>
      <c r="X6" s="35">
        <f t="shared" si="5"/>
        <v>934398.99000000011</v>
      </c>
      <c r="Y6" s="34">
        <v>36000</v>
      </c>
      <c r="Z6" s="34">
        <v>51600</v>
      </c>
      <c r="AA6" s="34">
        <v>93126</v>
      </c>
      <c r="AB6" s="34">
        <v>96881</v>
      </c>
      <c r="AC6" s="34">
        <v>107500</v>
      </c>
      <c r="AD6" s="34">
        <v>137600</v>
      </c>
      <c r="AE6" s="34">
        <v>135000</v>
      </c>
      <c r="AF6" s="34">
        <v>192000</v>
      </c>
      <c r="AG6" s="34">
        <v>28800</v>
      </c>
      <c r="AH6" s="34">
        <v>64500</v>
      </c>
      <c r="AI6" s="34">
        <v>34400</v>
      </c>
      <c r="AJ6" s="34">
        <v>25800</v>
      </c>
      <c r="AK6" s="34">
        <v>43000</v>
      </c>
      <c r="AL6" s="34">
        <v>20965</v>
      </c>
      <c r="AM6" s="35">
        <f t="shared" si="6"/>
        <v>9836182.2300000004</v>
      </c>
      <c r="AN6" s="35">
        <f t="shared" si="7"/>
        <v>886446</v>
      </c>
      <c r="AO6" s="35">
        <f t="shared" si="8"/>
        <v>10722628.23</v>
      </c>
      <c r="AP6" s="34">
        <v>10573455</v>
      </c>
      <c r="AQ6" s="26">
        <f>SUM(AP3:AP14)</f>
        <v>137789770</v>
      </c>
      <c r="AR6" s="26">
        <f>AQ6-SUM(AO3:AO5)</f>
        <v>104066863.36</v>
      </c>
      <c r="AS6" s="39">
        <v>9</v>
      </c>
      <c r="AT6" s="28">
        <f t="shared" si="9"/>
        <v>11562984.817777777</v>
      </c>
      <c r="AU6" s="29">
        <f t="shared" si="10"/>
        <v>840356.58777777664</v>
      </c>
      <c r="AV6" s="26">
        <f t="shared" si="11"/>
        <v>93344235.129999995</v>
      </c>
      <c r="AW6" s="30">
        <f t="shared" si="12"/>
        <v>0.32256048377176333</v>
      </c>
      <c r="AX6" s="31" t="str">
        <f t="shared" si="13"/>
        <v>✓ Within Budget</v>
      </c>
    </row>
    <row r="7" spans="1:50" ht="15.1" customHeight="1" x14ac:dyDescent="0.35">
      <c r="A7" s="19" t="s">
        <v>131</v>
      </c>
      <c r="B7" s="20">
        <v>2022</v>
      </c>
      <c r="C7" s="21">
        <v>43</v>
      </c>
      <c r="D7" s="21">
        <v>0</v>
      </c>
      <c r="E7" s="21">
        <v>1</v>
      </c>
      <c r="F7" s="21">
        <v>1</v>
      </c>
      <c r="G7" s="22">
        <f t="shared" si="0"/>
        <v>42</v>
      </c>
      <c r="H7" s="21">
        <v>1</v>
      </c>
      <c r="I7" s="21">
        <v>110027</v>
      </c>
      <c r="J7" s="21">
        <v>2</v>
      </c>
      <c r="K7" s="21">
        <v>9</v>
      </c>
      <c r="L7" s="21">
        <v>11</v>
      </c>
      <c r="M7" s="21">
        <v>14</v>
      </c>
      <c r="N7" s="21">
        <v>6</v>
      </c>
      <c r="O7" s="23">
        <f t="shared" si="1"/>
        <v>0.27906976744186046</v>
      </c>
      <c r="P7" s="24">
        <v>0.1048</v>
      </c>
      <c r="Q7" s="25">
        <v>82.48</v>
      </c>
      <c r="R7" s="20">
        <v>1650399</v>
      </c>
      <c r="S7" s="21">
        <v>19</v>
      </c>
      <c r="T7" s="22">
        <f t="shared" si="2"/>
        <v>22</v>
      </c>
      <c r="U7" s="21">
        <v>6917922</v>
      </c>
      <c r="V7" s="22">
        <f t="shared" si="3"/>
        <v>1245225.96</v>
      </c>
      <c r="W7" s="22">
        <f t="shared" si="4"/>
        <v>553433.76</v>
      </c>
      <c r="X7" s="22">
        <f t="shared" si="5"/>
        <v>933919.47000000009</v>
      </c>
      <c r="Y7" s="21">
        <v>33000</v>
      </c>
      <c r="Z7" s="21">
        <v>50400</v>
      </c>
      <c r="AA7" s="21">
        <v>94572</v>
      </c>
      <c r="AB7" s="21">
        <v>2079</v>
      </c>
      <c r="AC7" s="21">
        <v>105000</v>
      </c>
      <c r="AD7" s="21">
        <v>134400</v>
      </c>
      <c r="AE7" s="21">
        <v>0</v>
      </c>
      <c r="AF7" s="21">
        <v>176000</v>
      </c>
      <c r="AG7" s="21">
        <v>26400</v>
      </c>
      <c r="AH7" s="21">
        <v>63000</v>
      </c>
      <c r="AI7" s="21">
        <v>33600</v>
      </c>
      <c r="AJ7" s="21">
        <v>25200</v>
      </c>
      <c r="AK7" s="21">
        <v>42000</v>
      </c>
      <c r="AL7" s="21">
        <v>20464</v>
      </c>
      <c r="AM7" s="22">
        <f t="shared" si="6"/>
        <v>9828473.1900000013</v>
      </c>
      <c r="AN7" s="22">
        <f t="shared" si="7"/>
        <v>628143</v>
      </c>
      <c r="AO7" s="22">
        <f t="shared" si="8"/>
        <v>10456616.190000001</v>
      </c>
      <c r="AP7" s="21">
        <v>10595176</v>
      </c>
      <c r="AQ7" s="26">
        <f>SUM(AP3:AP14)</f>
        <v>137789770</v>
      </c>
      <c r="AR7" s="26">
        <f>AQ7-SUM(AO3:AO6)</f>
        <v>93344235.129999995</v>
      </c>
      <c r="AS7" s="27">
        <v>8</v>
      </c>
      <c r="AT7" s="28">
        <f t="shared" si="9"/>
        <v>11668029.391249999</v>
      </c>
      <c r="AU7" s="29">
        <f t="shared" si="10"/>
        <v>1211413.2012499981</v>
      </c>
      <c r="AV7" s="26">
        <f t="shared" si="11"/>
        <v>82887618.939999998</v>
      </c>
      <c r="AW7" s="30">
        <f t="shared" si="12"/>
        <v>0.39844867336668027</v>
      </c>
      <c r="AX7" s="31" t="str">
        <f t="shared" si="13"/>
        <v>✓ Within Budget</v>
      </c>
    </row>
    <row r="8" spans="1:50" ht="15.1" customHeight="1" x14ac:dyDescent="0.35">
      <c r="A8" s="32" t="s">
        <v>132</v>
      </c>
      <c r="B8" s="33">
        <v>2022</v>
      </c>
      <c r="C8" s="34">
        <v>42</v>
      </c>
      <c r="D8" s="34">
        <v>1</v>
      </c>
      <c r="E8" s="34">
        <v>1</v>
      </c>
      <c r="F8" s="34">
        <v>1</v>
      </c>
      <c r="G8" s="35">
        <f t="shared" si="0"/>
        <v>42</v>
      </c>
      <c r="H8" s="34">
        <v>1</v>
      </c>
      <c r="I8" s="34">
        <v>110128</v>
      </c>
      <c r="J8" s="34">
        <v>1</v>
      </c>
      <c r="K8" s="34">
        <v>7</v>
      </c>
      <c r="L8" s="34">
        <v>17</v>
      </c>
      <c r="M8" s="34">
        <v>12</v>
      </c>
      <c r="N8" s="34">
        <v>5</v>
      </c>
      <c r="O8" s="36">
        <f t="shared" si="1"/>
        <v>0.2857142857142857</v>
      </c>
      <c r="P8" s="37">
        <v>0.1043</v>
      </c>
      <c r="Q8" s="38">
        <v>82.95</v>
      </c>
      <c r="R8" s="33">
        <v>1651919</v>
      </c>
      <c r="S8" s="34">
        <v>19</v>
      </c>
      <c r="T8" s="35">
        <f t="shared" si="2"/>
        <v>22</v>
      </c>
      <c r="U8" s="34">
        <v>6807283</v>
      </c>
      <c r="V8" s="35">
        <f t="shared" si="3"/>
        <v>1225310.94</v>
      </c>
      <c r="W8" s="35">
        <f t="shared" si="4"/>
        <v>544582.64</v>
      </c>
      <c r="X8" s="35">
        <f t="shared" si="5"/>
        <v>918983.20500000007</v>
      </c>
      <c r="Y8" s="34">
        <v>37950</v>
      </c>
      <c r="Z8" s="34">
        <v>57960</v>
      </c>
      <c r="AA8" s="34">
        <v>101305</v>
      </c>
      <c r="AB8" s="34">
        <v>30644</v>
      </c>
      <c r="AC8" s="34">
        <v>105000</v>
      </c>
      <c r="AD8" s="34">
        <v>134400</v>
      </c>
      <c r="AE8" s="34">
        <v>45000</v>
      </c>
      <c r="AF8" s="34">
        <v>176000</v>
      </c>
      <c r="AG8" s="34">
        <v>26400</v>
      </c>
      <c r="AH8" s="34">
        <v>63000</v>
      </c>
      <c r="AI8" s="34">
        <v>33600</v>
      </c>
      <c r="AJ8" s="34">
        <v>25200</v>
      </c>
      <c r="AK8" s="34">
        <v>48300</v>
      </c>
      <c r="AL8" s="34">
        <v>20567</v>
      </c>
      <c r="AM8" s="35">
        <f t="shared" si="6"/>
        <v>9693374.7850000001</v>
      </c>
      <c r="AN8" s="35">
        <f t="shared" si="7"/>
        <v>708111</v>
      </c>
      <c r="AO8" s="35">
        <f t="shared" si="8"/>
        <v>10401485.785</v>
      </c>
      <c r="AP8" s="34">
        <v>12196798</v>
      </c>
      <c r="AQ8" s="26">
        <f>SUM(AP3:AP14)</f>
        <v>137789770</v>
      </c>
      <c r="AR8" s="26">
        <f>AQ8-SUM(AO3:AO7)</f>
        <v>82887618.939999998</v>
      </c>
      <c r="AS8" s="39">
        <v>7</v>
      </c>
      <c r="AT8" s="28">
        <f t="shared" si="9"/>
        <v>11841088.42</v>
      </c>
      <c r="AU8" s="29">
        <f t="shared" si="10"/>
        <v>1439602.6349999998</v>
      </c>
      <c r="AV8" s="26">
        <f t="shared" si="11"/>
        <v>72486133.155000001</v>
      </c>
      <c r="AW8" s="30">
        <f t="shared" si="12"/>
        <v>0.47393675775059352</v>
      </c>
      <c r="AX8" s="31" t="str">
        <f t="shared" si="13"/>
        <v>✓ Within Budget</v>
      </c>
    </row>
    <row r="9" spans="1:50" ht="15.1" customHeight="1" x14ac:dyDescent="0.35">
      <c r="A9" s="19" t="s">
        <v>133</v>
      </c>
      <c r="B9" s="20">
        <v>2022</v>
      </c>
      <c r="C9" s="21">
        <v>42</v>
      </c>
      <c r="D9" s="21">
        <v>2</v>
      </c>
      <c r="E9" s="21">
        <v>2</v>
      </c>
      <c r="F9" s="21">
        <v>2</v>
      </c>
      <c r="G9" s="22">
        <f t="shared" si="0"/>
        <v>42</v>
      </c>
      <c r="H9" s="21">
        <v>0</v>
      </c>
      <c r="I9" s="21">
        <v>0</v>
      </c>
      <c r="J9" s="21">
        <v>2</v>
      </c>
      <c r="K9" s="21">
        <v>8</v>
      </c>
      <c r="L9" s="21">
        <v>16</v>
      </c>
      <c r="M9" s="21">
        <v>11</v>
      </c>
      <c r="N9" s="21">
        <v>5</v>
      </c>
      <c r="O9" s="23">
        <f t="shared" si="1"/>
        <v>0.5714285714285714</v>
      </c>
      <c r="P9" s="24">
        <v>0.1033</v>
      </c>
      <c r="Q9" s="25">
        <v>82.85</v>
      </c>
      <c r="R9" s="20">
        <v>1677189</v>
      </c>
      <c r="S9" s="21">
        <v>19</v>
      </c>
      <c r="T9" s="22">
        <f t="shared" si="2"/>
        <v>23</v>
      </c>
      <c r="U9" s="21">
        <v>6764662</v>
      </c>
      <c r="V9" s="22">
        <f t="shared" si="3"/>
        <v>1217639.1599999999</v>
      </c>
      <c r="W9" s="22">
        <f t="shared" si="4"/>
        <v>541172.96</v>
      </c>
      <c r="X9" s="22">
        <f t="shared" si="5"/>
        <v>913229.37000000011</v>
      </c>
      <c r="Y9" s="21">
        <v>39675</v>
      </c>
      <c r="Z9" s="21">
        <v>57960</v>
      </c>
      <c r="AA9" s="21">
        <v>108796</v>
      </c>
      <c r="AB9" s="21">
        <v>72136</v>
      </c>
      <c r="AC9" s="21">
        <v>136500</v>
      </c>
      <c r="AD9" s="21">
        <v>134400</v>
      </c>
      <c r="AE9" s="21">
        <v>90000</v>
      </c>
      <c r="AF9" s="21">
        <v>184000</v>
      </c>
      <c r="AG9" s="21">
        <v>27600</v>
      </c>
      <c r="AH9" s="21">
        <v>63000</v>
      </c>
      <c r="AI9" s="21">
        <v>33600</v>
      </c>
      <c r="AJ9" s="21">
        <v>25200</v>
      </c>
      <c r="AK9" s="21">
        <v>48300</v>
      </c>
      <c r="AL9" s="21">
        <v>24206</v>
      </c>
      <c r="AM9" s="22">
        <f t="shared" si="6"/>
        <v>9643134.4900000021</v>
      </c>
      <c r="AN9" s="22">
        <f t="shared" si="7"/>
        <v>838942</v>
      </c>
      <c r="AO9" s="22">
        <f t="shared" si="8"/>
        <v>10482076.490000002</v>
      </c>
      <c r="AP9" s="21">
        <v>11881051</v>
      </c>
      <c r="AQ9" s="26">
        <f>SUM(AP3:AP14)</f>
        <v>137789770</v>
      </c>
      <c r="AR9" s="26">
        <f>AQ9-SUM(AO3:AO8)</f>
        <v>72486133.155000001</v>
      </c>
      <c r="AS9" s="27">
        <v>6</v>
      </c>
      <c r="AT9" s="28">
        <f t="shared" si="9"/>
        <v>12081022.192500001</v>
      </c>
      <c r="AU9" s="29">
        <f t="shared" si="10"/>
        <v>1598945.7024999987</v>
      </c>
      <c r="AV9" s="26">
        <f t="shared" si="11"/>
        <v>62004056.664999999</v>
      </c>
      <c r="AW9" s="30">
        <f t="shared" si="12"/>
        <v>0.55000972376251156</v>
      </c>
      <c r="AX9" s="31" t="str">
        <f t="shared" si="13"/>
        <v>✓ Within Budget</v>
      </c>
    </row>
    <row r="10" spans="1:50" ht="15.1" customHeight="1" x14ac:dyDescent="0.35">
      <c r="A10" s="32" t="s">
        <v>134</v>
      </c>
      <c r="B10" s="33">
        <v>2022</v>
      </c>
      <c r="C10" s="34">
        <v>42</v>
      </c>
      <c r="D10" s="34">
        <v>0</v>
      </c>
      <c r="E10" s="34">
        <v>1</v>
      </c>
      <c r="F10" s="34">
        <v>1</v>
      </c>
      <c r="G10" s="35">
        <f t="shared" si="0"/>
        <v>41</v>
      </c>
      <c r="H10" s="34">
        <v>1</v>
      </c>
      <c r="I10" s="34">
        <v>112425</v>
      </c>
      <c r="J10" s="34">
        <v>3</v>
      </c>
      <c r="K10" s="34">
        <v>7</v>
      </c>
      <c r="L10" s="34">
        <v>15</v>
      </c>
      <c r="M10" s="34">
        <v>12</v>
      </c>
      <c r="N10" s="34">
        <v>4</v>
      </c>
      <c r="O10" s="36">
        <f t="shared" si="1"/>
        <v>0.2857142857142857</v>
      </c>
      <c r="P10" s="37">
        <v>0.1047</v>
      </c>
      <c r="Q10" s="38">
        <v>82.9</v>
      </c>
      <c r="R10" s="33">
        <v>1686369</v>
      </c>
      <c r="S10" s="34">
        <v>18</v>
      </c>
      <c r="T10" s="35">
        <f t="shared" si="2"/>
        <v>22</v>
      </c>
      <c r="U10" s="34">
        <v>6555759</v>
      </c>
      <c r="V10" s="35">
        <f t="shared" si="3"/>
        <v>1180036.6199999999</v>
      </c>
      <c r="W10" s="35">
        <f t="shared" si="4"/>
        <v>524460.72</v>
      </c>
      <c r="X10" s="35">
        <f t="shared" si="5"/>
        <v>885027.46500000008</v>
      </c>
      <c r="Y10" s="34">
        <v>36960</v>
      </c>
      <c r="Z10" s="34">
        <v>55104</v>
      </c>
      <c r="AA10" s="34">
        <v>100845</v>
      </c>
      <c r="AB10" s="34">
        <v>-74</v>
      </c>
      <c r="AC10" s="34">
        <v>102500</v>
      </c>
      <c r="AD10" s="34">
        <v>131200</v>
      </c>
      <c r="AE10" s="34">
        <v>0</v>
      </c>
      <c r="AF10" s="34">
        <v>176000</v>
      </c>
      <c r="AG10" s="34">
        <v>26400</v>
      </c>
      <c r="AH10" s="34">
        <v>61500</v>
      </c>
      <c r="AI10" s="34">
        <v>32800</v>
      </c>
      <c r="AJ10" s="34">
        <v>24600</v>
      </c>
      <c r="AK10" s="34">
        <v>45920</v>
      </c>
      <c r="AL10" s="34">
        <v>13260</v>
      </c>
      <c r="AM10" s="35">
        <f t="shared" si="6"/>
        <v>9338192.8049999997</v>
      </c>
      <c r="AN10" s="35">
        <f t="shared" si="7"/>
        <v>614106</v>
      </c>
      <c r="AO10" s="35">
        <f t="shared" si="8"/>
        <v>9952298.8049999997</v>
      </c>
      <c r="AP10" s="34">
        <v>11425746</v>
      </c>
      <c r="AQ10" s="26">
        <f>SUM(AP3:AP14)</f>
        <v>137789770</v>
      </c>
      <c r="AR10" s="26">
        <f>AQ10-SUM(AO3:AO9)</f>
        <v>62004056.664999992</v>
      </c>
      <c r="AS10" s="39">
        <v>5</v>
      </c>
      <c r="AT10" s="28">
        <f t="shared" si="9"/>
        <v>12400811.332999999</v>
      </c>
      <c r="AU10" s="29">
        <f t="shared" si="10"/>
        <v>2448512.527999999</v>
      </c>
      <c r="AV10" s="26">
        <f t="shared" si="11"/>
        <v>52051757.859999992</v>
      </c>
      <c r="AW10" s="30">
        <f t="shared" si="12"/>
        <v>0.62223786381238622</v>
      </c>
      <c r="AX10" s="31" t="str">
        <f t="shared" si="13"/>
        <v>✓ Within Budget</v>
      </c>
    </row>
    <row r="11" spans="1:50" ht="15.1" customHeight="1" x14ac:dyDescent="0.35">
      <c r="A11" s="19" t="s">
        <v>135</v>
      </c>
      <c r="B11" s="20">
        <v>2022</v>
      </c>
      <c r="C11" s="21">
        <v>41</v>
      </c>
      <c r="D11" s="21">
        <v>1</v>
      </c>
      <c r="E11" s="21">
        <v>0</v>
      </c>
      <c r="F11" s="21">
        <v>0</v>
      </c>
      <c r="G11" s="22">
        <f t="shared" si="0"/>
        <v>42</v>
      </c>
      <c r="H11" s="21">
        <v>0</v>
      </c>
      <c r="I11" s="21">
        <v>0</v>
      </c>
      <c r="J11" s="21">
        <v>3</v>
      </c>
      <c r="K11" s="21">
        <v>8</v>
      </c>
      <c r="L11" s="21">
        <v>16</v>
      </c>
      <c r="M11" s="21">
        <v>13</v>
      </c>
      <c r="N11" s="21">
        <v>2</v>
      </c>
      <c r="O11" s="23">
        <f t="shared" si="1"/>
        <v>0</v>
      </c>
      <c r="P11" s="24">
        <v>0.10630000000000001</v>
      </c>
      <c r="Q11" s="25">
        <v>83.51</v>
      </c>
      <c r="R11" s="20">
        <v>1696866</v>
      </c>
      <c r="S11" s="21">
        <v>19</v>
      </c>
      <c r="T11" s="22">
        <f t="shared" si="2"/>
        <v>23</v>
      </c>
      <c r="U11" s="40">
        <v>9637350</v>
      </c>
      <c r="V11" s="22">
        <f t="shared" si="3"/>
        <v>1734723</v>
      </c>
      <c r="W11" s="22">
        <f t="shared" si="4"/>
        <v>770988</v>
      </c>
      <c r="X11" s="22">
        <f t="shared" si="5"/>
        <v>1301042.25</v>
      </c>
      <c r="Y11" s="21">
        <v>34500</v>
      </c>
      <c r="Z11" s="21">
        <v>50400</v>
      </c>
      <c r="AA11" s="40">
        <v>150952</v>
      </c>
      <c r="AB11" s="40">
        <v>40222</v>
      </c>
      <c r="AC11" s="21">
        <v>105000</v>
      </c>
      <c r="AD11" s="21">
        <v>134400</v>
      </c>
      <c r="AE11" s="21">
        <v>45000</v>
      </c>
      <c r="AF11" s="21">
        <v>184000</v>
      </c>
      <c r="AG11" s="21">
        <v>27600</v>
      </c>
      <c r="AH11" s="21">
        <v>63000</v>
      </c>
      <c r="AI11" s="21">
        <v>33600</v>
      </c>
      <c r="AJ11" s="21">
        <v>25200</v>
      </c>
      <c r="AK11" s="40">
        <v>56700</v>
      </c>
      <c r="AL11" s="21">
        <v>12660</v>
      </c>
      <c r="AM11" s="22">
        <f t="shared" si="6"/>
        <v>13679955.25</v>
      </c>
      <c r="AN11" s="22">
        <f t="shared" si="7"/>
        <v>727382</v>
      </c>
      <c r="AO11" s="22">
        <f t="shared" si="8"/>
        <v>14407337.25</v>
      </c>
      <c r="AP11" s="21">
        <v>9949619</v>
      </c>
      <c r="AQ11" s="26">
        <f>SUM(AP3:AP14)</f>
        <v>137789770</v>
      </c>
      <c r="AR11" s="26">
        <f>AQ11-SUM(AO3:AO10)</f>
        <v>52051757.859999985</v>
      </c>
      <c r="AS11" s="27">
        <v>4</v>
      </c>
      <c r="AT11" s="28">
        <f t="shared" si="9"/>
        <v>13012939.464999996</v>
      </c>
      <c r="AU11" s="29">
        <f t="shared" si="10"/>
        <v>-1394397.7850000039</v>
      </c>
      <c r="AV11" s="26">
        <f t="shared" si="11"/>
        <v>37644420.609999985</v>
      </c>
      <c r="AW11" s="30">
        <f t="shared" si="12"/>
        <v>0.72679814611781424</v>
      </c>
      <c r="AX11" s="31" t="str">
        <f t="shared" si="13"/>
        <v>⚠ Over Budget</v>
      </c>
    </row>
    <row r="12" spans="1:50" ht="15.1" customHeight="1" x14ac:dyDescent="0.35">
      <c r="A12" s="32" t="s">
        <v>136</v>
      </c>
      <c r="B12" s="33">
        <v>2023</v>
      </c>
      <c r="C12" s="34">
        <v>42</v>
      </c>
      <c r="D12" s="34">
        <v>3</v>
      </c>
      <c r="E12" s="34">
        <v>1</v>
      </c>
      <c r="F12" s="34">
        <v>1</v>
      </c>
      <c r="G12" s="35">
        <f t="shared" si="0"/>
        <v>44</v>
      </c>
      <c r="H12" s="34">
        <v>1</v>
      </c>
      <c r="I12" s="34">
        <v>114863</v>
      </c>
      <c r="J12" s="34">
        <v>3</v>
      </c>
      <c r="K12" s="34">
        <v>7</v>
      </c>
      <c r="L12" s="34">
        <v>15</v>
      </c>
      <c r="M12" s="34">
        <v>14</v>
      </c>
      <c r="N12" s="34">
        <v>5</v>
      </c>
      <c r="O12" s="36">
        <f t="shared" si="1"/>
        <v>0.2857142857142857</v>
      </c>
      <c r="P12" s="37">
        <v>0.11609999999999999</v>
      </c>
      <c r="Q12" s="38">
        <v>83.82</v>
      </c>
      <c r="R12" s="33">
        <v>1722947</v>
      </c>
      <c r="S12" s="34">
        <v>20</v>
      </c>
      <c r="T12" s="35">
        <f t="shared" si="2"/>
        <v>23</v>
      </c>
      <c r="U12" s="34">
        <v>7372777</v>
      </c>
      <c r="V12" s="35">
        <f t="shared" si="3"/>
        <v>1327099.8599999999</v>
      </c>
      <c r="W12" s="35">
        <f t="shared" si="4"/>
        <v>589822.16</v>
      </c>
      <c r="X12" s="35">
        <f t="shared" si="5"/>
        <v>995324.89500000002</v>
      </c>
      <c r="Y12" s="34">
        <v>37260</v>
      </c>
      <c r="Z12" s="34">
        <v>57024</v>
      </c>
      <c r="AA12" s="34">
        <v>117028</v>
      </c>
      <c r="AB12" s="34">
        <v>110683</v>
      </c>
      <c r="AC12" s="34">
        <v>110000</v>
      </c>
      <c r="AD12" s="34">
        <v>140800</v>
      </c>
      <c r="AE12" s="34">
        <v>135000</v>
      </c>
      <c r="AF12" s="34">
        <v>184000</v>
      </c>
      <c r="AG12" s="34">
        <v>27600</v>
      </c>
      <c r="AH12" s="34">
        <v>66000</v>
      </c>
      <c r="AI12" s="34">
        <v>35200</v>
      </c>
      <c r="AJ12" s="34">
        <v>26400</v>
      </c>
      <c r="AK12" s="34">
        <v>47520</v>
      </c>
      <c r="AL12" s="34">
        <v>25491</v>
      </c>
      <c r="AM12" s="35">
        <f t="shared" si="6"/>
        <v>10496335.914999999</v>
      </c>
      <c r="AN12" s="35">
        <f t="shared" si="7"/>
        <v>908694</v>
      </c>
      <c r="AO12" s="35">
        <f t="shared" si="8"/>
        <v>11405029.914999999</v>
      </c>
      <c r="AP12" s="34">
        <v>12033505</v>
      </c>
      <c r="AQ12" s="26">
        <f>SUM(AP3:AP14)</f>
        <v>137789770</v>
      </c>
      <c r="AR12" s="26">
        <f>AQ12-SUM(AO3:AO11)</f>
        <v>37644420.609999985</v>
      </c>
      <c r="AS12" s="39">
        <v>3</v>
      </c>
      <c r="AT12" s="28">
        <f t="shared" si="9"/>
        <v>12548140.203333328</v>
      </c>
      <c r="AU12" s="29">
        <f t="shared" si="10"/>
        <v>1143110.2883333284</v>
      </c>
      <c r="AV12" s="26">
        <f t="shared" si="11"/>
        <v>26239390.694999985</v>
      </c>
      <c r="AW12" s="30">
        <f t="shared" si="12"/>
        <v>0.80956938461396666</v>
      </c>
      <c r="AX12" s="31" t="str">
        <f t="shared" si="13"/>
        <v>✓ Within Budget</v>
      </c>
    </row>
    <row r="13" spans="1:50" ht="15.1" customHeight="1" x14ac:dyDescent="0.35">
      <c r="A13" s="19" t="s">
        <v>137</v>
      </c>
      <c r="B13" s="20">
        <v>2023</v>
      </c>
      <c r="C13" s="21">
        <v>44</v>
      </c>
      <c r="D13" s="21">
        <v>3</v>
      </c>
      <c r="E13" s="21">
        <v>1</v>
      </c>
      <c r="F13" s="21">
        <v>1</v>
      </c>
      <c r="G13" s="22">
        <f t="shared" si="0"/>
        <v>46</v>
      </c>
      <c r="H13" s="21">
        <v>1</v>
      </c>
      <c r="I13" s="21">
        <v>115363</v>
      </c>
      <c r="J13" s="21">
        <v>3</v>
      </c>
      <c r="K13" s="21">
        <v>9</v>
      </c>
      <c r="L13" s="21">
        <v>16</v>
      </c>
      <c r="M13" s="21">
        <v>13</v>
      </c>
      <c r="N13" s="21">
        <v>5</v>
      </c>
      <c r="O13" s="23">
        <f t="shared" si="1"/>
        <v>0.27272727272727271</v>
      </c>
      <c r="P13" s="24">
        <v>9.7199999999999995E-2</v>
      </c>
      <c r="Q13" s="25">
        <v>83.45</v>
      </c>
      <c r="R13" s="20">
        <v>1730452</v>
      </c>
      <c r="S13" s="21">
        <v>21</v>
      </c>
      <c r="T13" s="22">
        <f t="shared" si="2"/>
        <v>24</v>
      </c>
      <c r="U13" s="21">
        <v>7577938</v>
      </c>
      <c r="V13" s="22">
        <f t="shared" si="3"/>
        <v>1364028.8399999999</v>
      </c>
      <c r="W13" s="22">
        <f t="shared" si="4"/>
        <v>606235.04</v>
      </c>
      <c r="X13" s="22">
        <f t="shared" si="5"/>
        <v>1023021.6300000001</v>
      </c>
      <c r="Y13" s="21">
        <v>38880</v>
      </c>
      <c r="Z13" s="21">
        <v>59616</v>
      </c>
      <c r="AA13" s="21">
        <v>123563</v>
      </c>
      <c r="AB13" s="21">
        <v>103316</v>
      </c>
      <c r="AC13" s="21">
        <v>115000</v>
      </c>
      <c r="AD13" s="21">
        <v>147200</v>
      </c>
      <c r="AE13" s="21">
        <v>135000</v>
      </c>
      <c r="AF13" s="21">
        <v>192000</v>
      </c>
      <c r="AG13" s="21">
        <v>28800</v>
      </c>
      <c r="AH13" s="21">
        <v>69000</v>
      </c>
      <c r="AI13" s="21">
        <v>36800</v>
      </c>
      <c r="AJ13" s="21">
        <v>27600</v>
      </c>
      <c r="AK13" s="21">
        <v>49680</v>
      </c>
      <c r="AL13" s="21">
        <v>22111</v>
      </c>
      <c r="AM13" s="22">
        <f t="shared" si="6"/>
        <v>10793282.51</v>
      </c>
      <c r="AN13" s="22">
        <f t="shared" si="7"/>
        <v>926507</v>
      </c>
      <c r="AO13" s="22">
        <f t="shared" si="8"/>
        <v>11719789.51</v>
      </c>
      <c r="AP13" s="21">
        <v>12671218</v>
      </c>
      <c r="AQ13" s="26">
        <f>SUM(AP3:AP14)</f>
        <v>137789770</v>
      </c>
      <c r="AR13" s="26">
        <f>AQ13-SUM(AO3:AO12)</f>
        <v>26239390.694999993</v>
      </c>
      <c r="AS13" s="27">
        <v>2</v>
      </c>
      <c r="AT13" s="28">
        <f t="shared" si="9"/>
        <v>13119695.347499996</v>
      </c>
      <c r="AU13" s="29">
        <f t="shared" si="10"/>
        <v>1399905.8374999966</v>
      </c>
      <c r="AV13" s="26">
        <f t="shared" si="11"/>
        <v>14519601.184999993</v>
      </c>
      <c r="AW13" s="30">
        <f t="shared" si="12"/>
        <v>0.89462496972743344</v>
      </c>
      <c r="AX13" s="31" t="str">
        <f t="shared" si="13"/>
        <v>✓ Within Budget</v>
      </c>
    </row>
    <row r="14" spans="1:50" ht="15.1" customHeight="1" x14ac:dyDescent="0.35">
      <c r="A14" s="32" t="s">
        <v>138</v>
      </c>
      <c r="B14" s="33">
        <v>2023</v>
      </c>
      <c r="C14" s="34">
        <v>46</v>
      </c>
      <c r="D14" s="34">
        <v>2</v>
      </c>
      <c r="E14" s="34">
        <v>1</v>
      </c>
      <c r="F14" s="34">
        <v>1</v>
      </c>
      <c r="G14" s="35">
        <f t="shared" si="0"/>
        <v>47</v>
      </c>
      <c r="H14" s="34">
        <v>1</v>
      </c>
      <c r="I14" s="34">
        <v>117092</v>
      </c>
      <c r="J14" s="34">
        <v>1</v>
      </c>
      <c r="K14" s="34">
        <v>8</v>
      </c>
      <c r="L14" s="34">
        <v>20</v>
      </c>
      <c r="M14" s="34">
        <v>11</v>
      </c>
      <c r="N14" s="34">
        <v>7</v>
      </c>
      <c r="O14" s="36">
        <f t="shared" si="1"/>
        <v>0.2608695652173913</v>
      </c>
      <c r="P14" s="37">
        <v>9.9400000000000002E-2</v>
      </c>
      <c r="Q14" s="38">
        <v>83.46</v>
      </c>
      <c r="R14" s="33">
        <v>1756374</v>
      </c>
      <c r="S14" s="34">
        <v>21</v>
      </c>
      <c r="T14" s="35">
        <f t="shared" si="2"/>
        <v>25</v>
      </c>
      <c r="U14" s="41">
        <v>13195198</v>
      </c>
      <c r="V14" s="35">
        <f t="shared" si="3"/>
        <v>2375135.64</v>
      </c>
      <c r="W14" s="35">
        <f t="shared" si="4"/>
        <v>1055615.8400000001</v>
      </c>
      <c r="X14" s="35">
        <f t="shared" si="5"/>
        <v>1781351.7300000002</v>
      </c>
      <c r="Y14" s="34">
        <v>39750</v>
      </c>
      <c r="Z14" s="34">
        <v>59784</v>
      </c>
      <c r="AA14" s="41">
        <v>140277</v>
      </c>
      <c r="AB14" s="41">
        <v>92379</v>
      </c>
      <c r="AC14" s="34">
        <v>117500</v>
      </c>
      <c r="AD14" s="34">
        <v>150400</v>
      </c>
      <c r="AE14" s="34">
        <v>90000</v>
      </c>
      <c r="AF14" s="34">
        <v>200000</v>
      </c>
      <c r="AG14" s="34">
        <v>30000</v>
      </c>
      <c r="AH14" s="34">
        <v>70500</v>
      </c>
      <c r="AI14" s="34">
        <v>37600</v>
      </c>
      <c r="AJ14" s="34">
        <v>28200</v>
      </c>
      <c r="AK14" s="41">
        <v>67257</v>
      </c>
      <c r="AL14" s="34">
        <v>15568</v>
      </c>
      <c r="AM14" s="35">
        <f t="shared" si="6"/>
        <v>18647112.210000001</v>
      </c>
      <c r="AN14" s="35">
        <f t="shared" si="7"/>
        <v>899404</v>
      </c>
      <c r="AO14" s="35">
        <f t="shared" si="8"/>
        <v>19546516.210000001</v>
      </c>
      <c r="AP14" s="34">
        <v>13203822</v>
      </c>
      <c r="AQ14" s="26">
        <f>SUM(AP3:AP14)</f>
        <v>137789770</v>
      </c>
      <c r="AR14" s="26">
        <f>AQ14-SUM(AO3:AO13)</f>
        <v>14519601.184999987</v>
      </c>
      <c r="AS14" s="39">
        <v>1</v>
      </c>
      <c r="AT14" s="28">
        <f t="shared" si="9"/>
        <v>14519601.184999987</v>
      </c>
      <c r="AU14" s="29">
        <f t="shared" si="10"/>
        <v>-5026915.0250000134</v>
      </c>
      <c r="AV14" s="26">
        <f t="shared" si="11"/>
        <v>-5026915.0250000134</v>
      </c>
      <c r="AW14" s="30">
        <f t="shared" si="12"/>
        <v>1.0364824981201435</v>
      </c>
      <c r="AX14" s="31" t="str">
        <f t="shared" si="13"/>
        <v>⚠ Over Budget</v>
      </c>
    </row>
    <row r="15" spans="1:50" ht="15.1" customHeight="1" x14ac:dyDescent="0.35">
      <c r="A15" s="19" t="s">
        <v>139</v>
      </c>
      <c r="B15" s="20">
        <v>2023</v>
      </c>
      <c r="C15" s="21">
        <v>47</v>
      </c>
      <c r="D15" s="21">
        <v>2</v>
      </c>
      <c r="E15" s="21">
        <v>1</v>
      </c>
      <c r="F15" s="21">
        <v>1</v>
      </c>
      <c r="G15" s="22">
        <f t="shared" si="0"/>
        <v>48</v>
      </c>
      <c r="H15" s="21">
        <v>1</v>
      </c>
      <c r="I15" s="21">
        <v>117635</v>
      </c>
      <c r="J15" s="21">
        <v>4</v>
      </c>
      <c r="K15" s="21">
        <v>9</v>
      </c>
      <c r="L15" s="21">
        <v>15</v>
      </c>
      <c r="M15" s="21">
        <v>15</v>
      </c>
      <c r="N15" s="21">
        <v>5</v>
      </c>
      <c r="O15" s="23">
        <f t="shared" si="1"/>
        <v>0.25531914893617019</v>
      </c>
      <c r="P15" s="24">
        <v>0.1221</v>
      </c>
      <c r="Q15" s="25">
        <v>82.62</v>
      </c>
      <c r="R15" s="20">
        <v>1764532</v>
      </c>
      <c r="S15" s="21">
        <v>22</v>
      </c>
      <c r="T15" s="22">
        <f t="shared" si="2"/>
        <v>25</v>
      </c>
      <c r="U15" s="21">
        <v>8072734</v>
      </c>
      <c r="V15" s="22">
        <f t="shared" si="3"/>
        <v>1453092.1199999999</v>
      </c>
      <c r="W15" s="22">
        <f t="shared" si="4"/>
        <v>645818.72</v>
      </c>
      <c r="X15" s="22">
        <f t="shared" si="5"/>
        <v>1089819.0900000001</v>
      </c>
      <c r="Y15" s="21">
        <v>41250</v>
      </c>
      <c r="Z15" s="21">
        <v>63360</v>
      </c>
      <c r="AA15" s="21">
        <v>120343</v>
      </c>
      <c r="AB15" s="21">
        <v>67825</v>
      </c>
      <c r="AC15" s="21">
        <v>156000</v>
      </c>
      <c r="AD15" s="21">
        <v>153600</v>
      </c>
      <c r="AE15" s="21">
        <v>90000</v>
      </c>
      <c r="AF15" s="21">
        <v>200000</v>
      </c>
      <c r="AG15" s="21">
        <v>30000</v>
      </c>
      <c r="AH15" s="21">
        <v>72000</v>
      </c>
      <c r="AI15" s="21">
        <v>38400</v>
      </c>
      <c r="AJ15" s="21">
        <v>28800</v>
      </c>
      <c r="AK15" s="21">
        <v>52800</v>
      </c>
      <c r="AL15" s="21">
        <v>18749</v>
      </c>
      <c r="AM15" s="22">
        <f t="shared" si="6"/>
        <v>11486416.93</v>
      </c>
      <c r="AN15" s="22">
        <f t="shared" si="7"/>
        <v>908174</v>
      </c>
      <c r="AO15" s="22">
        <f t="shared" si="8"/>
        <v>12394590.93</v>
      </c>
      <c r="AP15" s="21">
        <v>14076423</v>
      </c>
      <c r="AQ15" s="26">
        <f>SUM(AP15:AP26)</f>
        <v>168188185</v>
      </c>
      <c r="AR15" s="26">
        <f>AQ15</f>
        <v>168188185</v>
      </c>
      <c r="AS15" s="27">
        <v>12</v>
      </c>
      <c r="AT15" s="28">
        <f t="shared" si="9"/>
        <v>14015682.083333334</v>
      </c>
      <c r="AU15" s="29">
        <f t="shared" si="10"/>
        <v>1621091.1533333343</v>
      </c>
      <c r="AV15" s="26">
        <f t="shared" si="11"/>
        <v>155793594.06999999</v>
      </c>
      <c r="AW15" s="30">
        <f t="shared" si="12"/>
        <v>7.3694777846612755E-2</v>
      </c>
      <c r="AX15" s="31" t="str">
        <f t="shared" si="13"/>
        <v>✓ Within Budget</v>
      </c>
    </row>
    <row r="16" spans="1:50" ht="15.1" customHeight="1" x14ac:dyDescent="0.35">
      <c r="A16" s="32" t="s">
        <v>140</v>
      </c>
      <c r="B16" s="33">
        <v>2023</v>
      </c>
      <c r="C16" s="34">
        <v>48</v>
      </c>
      <c r="D16" s="34">
        <v>0</v>
      </c>
      <c r="E16" s="34">
        <v>2</v>
      </c>
      <c r="F16" s="34">
        <v>2</v>
      </c>
      <c r="G16" s="35">
        <f t="shared" si="0"/>
        <v>46</v>
      </c>
      <c r="H16" s="34">
        <v>1</v>
      </c>
      <c r="I16" s="34">
        <v>119021</v>
      </c>
      <c r="J16" s="34">
        <v>3</v>
      </c>
      <c r="K16" s="34">
        <v>10</v>
      </c>
      <c r="L16" s="34">
        <v>15</v>
      </c>
      <c r="M16" s="34">
        <v>12</v>
      </c>
      <c r="N16" s="34">
        <v>6</v>
      </c>
      <c r="O16" s="36">
        <f t="shared" si="1"/>
        <v>0.5</v>
      </c>
      <c r="P16" s="37">
        <v>9.1800000000000007E-2</v>
      </c>
      <c r="Q16" s="38">
        <v>84.08</v>
      </c>
      <c r="R16" s="33">
        <v>1785314</v>
      </c>
      <c r="S16" s="34">
        <v>21</v>
      </c>
      <c r="T16" s="35">
        <f t="shared" si="2"/>
        <v>24</v>
      </c>
      <c r="U16" s="34">
        <v>7862820</v>
      </c>
      <c r="V16" s="35">
        <f t="shared" si="3"/>
        <v>1415307.5999999999</v>
      </c>
      <c r="W16" s="35">
        <f t="shared" si="4"/>
        <v>629025.6</v>
      </c>
      <c r="X16" s="35">
        <f t="shared" si="5"/>
        <v>1061480.7000000002</v>
      </c>
      <c r="Y16" s="34">
        <v>39600</v>
      </c>
      <c r="Z16" s="34">
        <v>60720</v>
      </c>
      <c r="AA16" s="34">
        <v>123292</v>
      </c>
      <c r="AB16" s="34">
        <v>-7256</v>
      </c>
      <c r="AC16" s="34">
        <v>149500</v>
      </c>
      <c r="AD16" s="34">
        <v>147200</v>
      </c>
      <c r="AE16" s="34">
        <v>0</v>
      </c>
      <c r="AF16" s="34">
        <v>192000</v>
      </c>
      <c r="AG16" s="34">
        <v>28800</v>
      </c>
      <c r="AH16" s="34">
        <v>69000</v>
      </c>
      <c r="AI16" s="34">
        <v>36800</v>
      </c>
      <c r="AJ16" s="34">
        <v>27600</v>
      </c>
      <c r="AK16" s="34">
        <v>50600</v>
      </c>
      <c r="AL16" s="34">
        <v>24641</v>
      </c>
      <c r="AM16" s="35">
        <f t="shared" si="6"/>
        <v>11192245.899999999</v>
      </c>
      <c r="AN16" s="35">
        <f t="shared" si="7"/>
        <v>718885</v>
      </c>
      <c r="AO16" s="35">
        <f t="shared" si="8"/>
        <v>11911130.899999999</v>
      </c>
      <c r="AP16" s="34">
        <v>13122800</v>
      </c>
      <c r="AQ16" s="26">
        <f>SUM(AP15:AP26)</f>
        <v>168188185</v>
      </c>
      <c r="AR16" s="26">
        <f>AQ16-SUM(AO15:AO15)</f>
        <v>155793594.06999999</v>
      </c>
      <c r="AS16" s="39">
        <v>11</v>
      </c>
      <c r="AT16" s="28">
        <f t="shared" si="9"/>
        <v>14163054.006363636</v>
      </c>
      <c r="AU16" s="29">
        <f t="shared" si="10"/>
        <v>2251923.1063636374</v>
      </c>
      <c r="AV16" s="26">
        <f t="shared" si="11"/>
        <v>143882463.16999999</v>
      </c>
      <c r="AW16" s="30">
        <f t="shared" si="12"/>
        <v>0.14451503730776341</v>
      </c>
      <c r="AX16" s="31" t="str">
        <f t="shared" si="13"/>
        <v>✓ Within Budget</v>
      </c>
    </row>
    <row r="17" spans="1:50" ht="15.1" customHeight="1" x14ac:dyDescent="0.35">
      <c r="A17" s="19" t="s">
        <v>141</v>
      </c>
      <c r="B17" s="20">
        <v>2023</v>
      </c>
      <c r="C17" s="21">
        <v>46</v>
      </c>
      <c r="D17" s="21">
        <v>0</v>
      </c>
      <c r="E17" s="21">
        <v>0</v>
      </c>
      <c r="F17" s="21">
        <v>0</v>
      </c>
      <c r="G17" s="22">
        <f t="shared" si="0"/>
        <v>46</v>
      </c>
      <c r="H17" s="21">
        <v>0</v>
      </c>
      <c r="I17" s="21">
        <v>0</v>
      </c>
      <c r="J17" s="21">
        <v>2</v>
      </c>
      <c r="K17" s="21">
        <v>9</v>
      </c>
      <c r="L17" s="21">
        <v>17</v>
      </c>
      <c r="M17" s="21">
        <v>14</v>
      </c>
      <c r="N17" s="21">
        <v>4</v>
      </c>
      <c r="O17" s="23">
        <f t="shared" si="1"/>
        <v>0</v>
      </c>
      <c r="P17" s="24">
        <v>9.7900000000000001E-2</v>
      </c>
      <c r="Q17" s="25">
        <v>84.32</v>
      </c>
      <c r="R17" s="20">
        <v>1792805</v>
      </c>
      <c r="S17" s="21">
        <v>21</v>
      </c>
      <c r="T17" s="22">
        <f t="shared" si="2"/>
        <v>25</v>
      </c>
      <c r="U17" s="21">
        <v>7843522</v>
      </c>
      <c r="V17" s="22">
        <f t="shared" si="3"/>
        <v>1411833.96</v>
      </c>
      <c r="W17" s="22">
        <f t="shared" si="4"/>
        <v>627481.76</v>
      </c>
      <c r="X17" s="22">
        <f t="shared" si="5"/>
        <v>1058875.47</v>
      </c>
      <c r="Y17" s="21">
        <v>39375</v>
      </c>
      <c r="Z17" s="21">
        <v>57960</v>
      </c>
      <c r="AA17" s="21">
        <v>121562</v>
      </c>
      <c r="AB17" s="21">
        <v>1190</v>
      </c>
      <c r="AC17" s="21">
        <v>115000</v>
      </c>
      <c r="AD17" s="21">
        <v>147200</v>
      </c>
      <c r="AE17" s="21">
        <v>0</v>
      </c>
      <c r="AF17" s="21">
        <v>200000</v>
      </c>
      <c r="AG17" s="21">
        <v>30000</v>
      </c>
      <c r="AH17" s="21">
        <v>69000</v>
      </c>
      <c r="AI17" s="21">
        <v>36800</v>
      </c>
      <c r="AJ17" s="21">
        <v>27600</v>
      </c>
      <c r="AK17" s="21">
        <v>48300</v>
      </c>
      <c r="AL17" s="21">
        <v>32594</v>
      </c>
      <c r="AM17" s="22">
        <f t="shared" si="6"/>
        <v>11160610.190000001</v>
      </c>
      <c r="AN17" s="22">
        <f t="shared" si="7"/>
        <v>707684</v>
      </c>
      <c r="AO17" s="22">
        <f t="shared" si="8"/>
        <v>11868294.190000001</v>
      </c>
      <c r="AP17" s="21">
        <v>13332772</v>
      </c>
      <c r="AQ17" s="26">
        <f>SUM(AP15:AP26)</f>
        <v>168188185</v>
      </c>
      <c r="AR17" s="26">
        <f>AQ17-SUM(AO15:AO16)</f>
        <v>143882463.17000002</v>
      </c>
      <c r="AS17" s="27">
        <v>10</v>
      </c>
      <c r="AT17" s="28">
        <f t="shared" si="9"/>
        <v>14388246.317000002</v>
      </c>
      <c r="AU17" s="29">
        <f t="shared" si="10"/>
        <v>2519952.1270000003</v>
      </c>
      <c r="AV17" s="26">
        <f t="shared" si="11"/>
        <v>132014168.98000002</v>
      </c>
      <c r="AW17" s="30">
        <f t="shared" si="12"/>
        <v>0.21508060164868287</v>
      </c>
      <c r="AX17" s="31" t="str">
        <f t="shared" si="13"/>
        <v>✓ Within Budget</v>
      </c>
    </row>
    <row r="18" spans="1:50" ht="15.1" customHeight="1" x14ac:dyDescent="0.35">
      <c r="A18" s="32" t="s">
        <v>142</v>
      </c>
      <c r="B18" s="33">
        <v>2023</v>
      </c>
      <c r="C18" s="34">
        <v>46</v>
      </c>
      <c r="D18" s="34">
        <v>1</v>
      </c>
      <c r="E18" s="34">
        <v>1</v>
      </c>
      <c r="F18" s="34">
        <v>1</v>
      </c>
      <c r="G18" s="35">
        <f t="shared" si="0"/>
        <v>46</v>
      </c>
      <c r="H18" s="34">
        <v>1</v>
      </c>
      <c r="I18" s="34">
        <v>119428</v>
      </c>
      <c r="J18" s="34">
        <v>2</v>
      </c>
      <c r="K18" s="34">
        <v>6</v>
      </c>
      <c r="L18" s="34">
        <v>20</v>
      </c>
      <c r="M18" s="34">
        <v>12</v>
      </c>
      <c r="N18" s="34">
        <v>6</v>
      </c>
      <c r="O18" s="36">
        <f t="shared" si="1"/>
        <v>0.2608695652173913</v>
      </c>
      <c r="P18" s="37">
        <v>0.1009</v>
      </c>
      <c r="Q18" s="38">
        <v>84.55</v>
      </c>
      <c r="R18" s="33">
        <v>1791424</v>
      </c>
      <c r="S18" s="34">
        <v>21</v>
      </c>
      <c r="T18" s="35">
        <f t="shared" si="2"/>
        <v>24</v>
      </c>
      <c r="U18" s="34">
        <v>8076337</v>
      </c>
      <c r="V18" s="35">
        <f t="shared" si="3"/>
        <v>1453740.66</v>
      </c>
      <c r="W18" s="35">
        <f t="shared" si="4"/>
        <v>646106.96</v>
      </c>
      <c r="X18" s="35">
        <f t="shared" si="5"/>
        <v>1090305.4950000001</v>
      </c>
      <c r="Y18" s="34">
        <v>36000</v>
      </c>
      <c r="Z18" s="34">
        <v>55200</v>
      </c>
      <c r="AA18" s="34">
        <v>132457</v>
      </c>
      <c r="AB18" s="34">
        <v>26842</v>
      </c>
      <c r="AC18" s="34">
        <v>115000</v>
      </c>
      <c r="AD18" s="34">
        <v>147200</v>
      </c>
      <c r="AE18" s="34">
        <v>45000</v>
      </c>
      <c r="AF18" s="34">
        <v>192000</v>
      </c>
      <c r="AG18" s="34">
        <v>28800</v>
      </c>
      <c r="AH18" s="34">
        <v>69000</v>
      </c>
      <c r="AI18" s="34">
        <v>36800</v>
      </c>
      <c r="AJ18" s="34">
        <v>27600</v>
      </c>
      <c r="AK18" s="34">
        <v>46000</v>
      </c>
      <c r="AL18" s="34">
        <v>30501</v>
      </c>
      <c r="AM18" s="35">
        <f t="shared" si="6"/>
        <v>11490147.115000002</v>
      </c>
      <c r="AN18" s="35">
        <f t="shared" si="7"/>
        <v>764743</v>
      </c>
      <c r="AO18" s="35">
        <f t="shared" si="8"/>
        <v>12254890.115000002</v>
      </c>
      <c r="AP18" s="34">
        <v>12167667</v>
      </c>
      <c r="AQ18" s="26">
        <f>SUM(AP15:AP26)</f>
        <v>168188185</v>
      </c>
      <c r="AR18" s="26">
        <f>AQ18-SUM(AO15:AO17)</f>
        <v>132014168.98</v>
      </c>
      <c r="AS18" s="39">
        <v>9</v>
      </c>
      <c r="AT18" s="28">
        <f t="shared" si="9"/>
        <v>14668240.997777779</v>
      </c>
      <c r="AU18" s="29">
        <f t="shared" si="10"/>
        <v>2413350.8827777766</v>
      </c>
      <c r="AV18" s="26">
        <f t="shared" si="11"/>
        <v>119759278.86500001</v>
      </c>
      <c r="AW18" s="30">
        <f t="shared" si="12"/>
        <v>0.28794475744535797</v>
      </c>
      <c r="AX18" s="31" t="str">
        <f t="shared" si="13"/>
        <v>✓ Within Budget</v>
      </c>
    </row>
    <row r="19" spans="1:50" ht="15.1" customHeight="1" x14ac:dyDescent="0.35">
      <c r="A19" s="19" t="s">
        <v>143</v>
      </c>
      <c r="B19" s="20">
        <v>2023</v>
      </c>
      <c r="C19" s="21">
        <v>46</v>
      </c>
      <c r="D19" s="21">
        <v>2</v>
      </c>
      <c r="E19" s="21">
        <v>1</v>
      </c>
      <c r="F19" s="21">
        <v>1</v>
      </c>
      <c r="G19" s="22">
        <f t="shared" si="0"/>
        <v>47</v>
      </c>
      <c r="H19" s="21">
        <v>1</v>
      </c>
      <c r="I19" s="21">
        <v>121694</v>
      </c>
      <c r="J19" s="21">
        <v>3</v>
      </c>
      <c r="K19" s="21">
        <v>9</v>
      </c>
      <c r="L19" s="21">
        <v>15</v>
      </c>
      <c r="M19" s="21">
        <v>15</v>
      </c>
      <c r="N19" s="21">
        <v>5</v>
      </c>
      <c r="O19" s="23">
        <f t="shared" si="1"/>
        <v>0.2608695652173913</v>
      </c>
      <c r="P19" s="24">
        <v>0.107</v>
      </c>
      <c r="Q19" s="25">
        <v>84.09</v>
      </c>
      <c r="R19" s="20">
        <v>1825403</v>
      </c>
      <c r="S19" s="21">
        <v>21</v>
      </c>
      <c r="T19" s="22">
        <f t="shared" si="2"/>
        <v>25</v>
      </c>
      <c r="U19" s="21">
        <v>8267554</v>
      </c>
      <c r="V19" s="22">
        <f t="shared" si="3"/>
        <v>1488159.72</v>
      </c>
      <c r="W19" s="22">
        <f t="shared" si="4"/>
        <v>661404.32000000007</v>
      </c>
      <c r="X19" s="22">
        <f t="shared" si="5"/>
        <v>1116119.79</v>
      </c>
      <c r="Y19" s="21">
        <v>37500</v>
      </c>
      <c r="Z19" s="21">
        <v>56400</v>
      </c>
      <c r="AA19" s="21">
        <v>147411</v>
      </c>
      <c r="AB19" s="21">
        <v>66008</v>
      </c>
      <c r="AC19" s="21">
        <v>117500</v>
      </c>
      <c r="AD19" s="21">
        <v>150400</v>
      </c>
      <c r="AE19" s="21">
        <v>90000</v>
      </c>
      <c r="AF19" s="21">
        <v>200000</v>
      </c>
      <c r="AG19" s="21">
        <v>30000</v>
      </c>
      <c r="AH19" s="21">
        <v>70500</v>
      </c>
      <c r="AI19" s="21">
        <v>37600</v>
      </c>
      <c r="AJ19" s="21">
        <v>28200</v>
      </c>
      <c r="AK19" s="21">
        <v>47000</v>
      </c>
      <c r="AL19" s="21">
        <v>6252</v>
      </c>
      <c r="AM19" s="22">
        <f t="shared" si="6"/>
        <v>11774548.830000002</v>
      </c>
      <c r="AN19" s="22">
        <f t="shared" si="7"/>
        <v>843460</v>
      </c>
      <c r="AO19" s="22">
        <f t="shared" si="8"/>
        <v>12618008.830000002</v>
      </c>
      <c r="AP19" s="21">
        <v>12679986</v>
      </c>
      <c r="AQ19" s="26">
        <f>SUM(AP15:AP26)</f>
        <v>168188185</v>
      </c>
      <c r="AR19" s="26">
        <f>AQ19-SUM(AO15:AO18)</f>
        <v>119759278.86500001</v>
      </c>
      <c r="AS19" s="27">
        <v>8</v>
      </c>
      <c r="AT19" s="28">
        <f t="shared" si="9"/>
        <v>14969909.858125001</v>
      </c>
      <c r="AU19" s="29">
        <f t="shared" si="10"/>
        <v>2351901.0281249993</v>
      </c>
      <c r="AV19" s="26">
        <f t="shared" si="11"/>
        <v>107141270.03500001</v>
      </c>
      <c r="AW19" s="30">
        <f t="shared" si="12"/>
        <v>0.36296791576055115</v>
      </c>
      <c r="AX19" s="31" t="str">
        <f t="shared" si="13"/>
        <v>✓ Within Budget</v>
      </c>
    </row>
    <row r="20" spans="1:50" ht="15.1" customHeight="1" x14ac:dyDescent="0.35">
      <c r="A20" s="32" t="s">
        <v>144</v>
      </c>
      <c r="B20" s="33">
        <v>2023</v>
      </c>
      <c r="C20" s="34">
        <v>47</v>
      </c>
      <c r="D20" s="34">
        <v>0</v>
      </c>
      <c r="E20" s="34">
        <v>1</v>
      </c>
      <c r="F20" s="34">
        <v>1</v>
      </c>
      <c r="G20" s="35">
        <f t="shared" si="0"/>
        <v>46</v>
      </c>
      <c r="H20" s="34">
        <v>1</v>
      </c>
      <c r="I20" s="34">
        <v>123127</v>
      </c>
      <c r="J20" s="34">
        <v>2</v>
      </c>
      <c r="K20" s="34">
        <v>10</v>
      </c>
      <c r="L20" s="34">
        <v>13</v>
      </c>
      <c r="M20" s="34">
        <v>14</v>
      </c>
      <c r="N20" s="34">
        <v>7</v>
      </c>
      <c r="O20" s="36">
        <f t="shared" si="1"/>
        <v>0.25531914893617019</v>
      </c>
      <c r="P20" s="37">
        <v>9.6100000000000005E-2</v>
      </c>
      <c r="Q20" s="38">
        <v>83.55</v>
      </c>
      <c r="R20" s="33">
        <v>1846902</v>
      </c>
      <c r="S20" s="34">
        <v>21</v>
      </c>
      <c r="T20" s="35">
        <f t="shared" si="2"/>
        <v>24</v>
      </c>
      <c r="U20" s="41">
        <v>12274203</v>
      </c>
      <c r="V20" s="35">
        <f t="shared" si="3"/>
        <v>2209356.54</v>
      </c>
      <c r="W20" s="35">
        <f t="shared" si="4"/>
        <v>981936.24</v>
      </c>
      <c r="X20" s="35">
        <f t="shared" si="5"/>
        <v>1657017.405</v>
      </c>
      <c r="Y20" s="34">
        <v>41400</v>
      </c>
      <c r="Z20" s="34">
        <v>63480</v>
      </c>
      <c r="AA20" s="41">
        <v>181270</v>
      </c>
      <c r="AB20" s="41">
        <v>-361</v>
      </c>
      <c r="AC20" s="34">
        <v>115000</v>
      </c>
      <c r="AD20" s="34">
        <v>147200</v>
      </c>
      <c r="AE20" s="34">
        <v>0</v>
      </c>
      <c r="AF20" s="34">
        <v>192000</v>
      </c>
      <c r="AG20" s="34">
        <v>28800</v>
      </c>
      <c r="AH20" s="34">
        <v>69000</v>
      </c>
      <c r="AI20" s="34">
        <v>36800</v>
      </c>
      <c r="AJ20" s="34">
        <v>27600</v>
      </c>
      <c r="AK20" s="41">
        <v>71415</v>
      </c>
      <c r="AL20" s="34">
        <v>8577</v>
      </c>
      <c r="AM20" s="35">
        <f t="shared" si="6"/>
        <v>17408663.184999999</v>
      </c>
      <c r="AN20" s="35">
        <f t="shared" si="7"/>
        <v>696031</v>
      </c>
      <c r="AO20" s="35">
        <f t="shared" si="8"/>
        <v>18104694.184999999</v>
      </c>
      <c r="AP20" s="34">
        <v>14147551</v>
      </c>
      <c r="AQ20" s="26">
        <f>SUM(AP15:AP26)</f>
        <v>168188185</v>
      </c>
      <c r="AR20" s="26">
        <f>AQ20-SUM(AO15:AO19)</f>
        <v>107141270.035</v>
      </c>
      <c r="AS20" s="39">
        <v>7</v>
      </c>
      <c r="AT20" s="28">
        <f t="shared" si="9"/>
        <v>15305895.719285714</v>
      </c>
      <c r="AU20" s="29">
        <f t="shared" si="10"/>
        <v>-2798798.4657142852</v>
      </c>
      <c r="AV20" s="26">
        <f t="shared" si="11"/>
        <v>89036575.849999994</v>
      </c>
      <c r="AW20" s="30">
        <f t="shared" si="12"/>
        <v>0.47061337364452804</v>
      </c>
      <c r="AX20" s="31" t="str">
        <f t="shared" si="13"/>
        <v>⚠ Over Budget</v>
      </c>
    </row>
    <row r="21" spans="1:50" ht="15.1" customHeight="1" x14ac:dyDescent="0.35">
      <c r="A21" s="19" t="s">
        <v>145</v>
      </c>
      <c r="B21" s="20">
        <v>2023</v>
      </c>
      <c r="C21" s="21">
        <v>46</v>
      </c>
      <c r="D21" s="21">
        <v>2</v>
      </c>
      <c r="E21" s="21">
        <v>1</v>
      </c>
      <c r="F21" s="21">
        <v>1</v>
      </c>
      <c r="G21" s="22">
        <f t="shared" si="0"/>
        <v>47</v>
      </c>
      <c r="H21" s="21">
        <v>0</v>
      </c>
      <c r="I21" s="21">
        <v>0</v>
      </c>
      <c r="J21" s="21">
        <v>1</v>
      </c>
      <c r="K21" s="21">
        <v>10</v>
      </c>
      <c r="L21" s="21">
        <v>15</v>
      </c>
      <c r="M21" s="21">
        <v>13</v>
      </c>
      <c r="N21" s="21">
        <v>8</v>
      </c>
      <c r="O21" s="23">
        <f t="shared" si="1"/>
        <v>0.2608695652173913</v>
      </c>
      <c r="P21" s="24">
        <v>0.1051</v>
      </c>
      <c r="Q21" s="25">
        <v>84.94</v>
      </c>
      <c r="R21" s="20">
        <v>1853333</v>
      </c>
      <c r="S21" s="21">
        <v>21</v>
      </c>
      <c r="T21" s="22">
        <f t="shared" si="2"/>
        <v>26</v>
      </c>
      <c r="U21" s="21">
        <v>8795610</v>
      </c>
      <c r="V21" s="22">
        <f t="shared" si="3"/>
        <v>1583209.8</v>
      </c>
      <c r="W21" s="22">
        <f t="shared" si="4"/>
        <v>703648.8</v>
      </c>
      <c r="X21" s="22">
        <f t="shared" si="5"/>
        <v>1187407.3500000001</v>
      </c>
      <c r="Y21" s="21">
        <v>44850</v>
      </c>
      <c r="Z21" s="21">
        <v>64860</v>
      </c>
      <c r="AA21" s="21">
        <v>140247</v>
      </c>
      <c r="AB21" s="21">
        <v>63304</v>
      </c>
      <c r="AC21" s="21">
        <v>152750</v>
      </c>
      <c r="AD21" s="21">
        <v>150400</v>
      </c>
      <c r="AE21" s="21">
        <v>90000</v>
      </c>
      <c r="AF21" s="21">
        <v>208000</v>
      </c>
      <c r="AG21" s="21">
        <v>31200</v>
      </c>
      <c r="AH21" s="21">
        <v>70500</v>
      </c>
      <c r="AI21" s="21">
        <v>37600</v>
      </c>
      <c r="AJ21" s="21">
        <v>28200</v>
      </c>
      <c r="AK21" s="21">
        <v>54050</v>
      </c>
      <c r="AL21" s="21">
        <v>10697</v>
      </c>
      <c r="AM21" s="22">
        <f t="shared" si="6"/>
        <v>12519832.950000001</v>
      </c>
      <c r="AN21" s="22">
        <f t="shared" si="7"/>
        <v>896701</v>
      </c>
      <c r="AO21" s="22">
        <f t="shared" si="8"/>
        <v>13416533.950000001</v>
      </c>
      <c r="AP21" s="21">
        <v>15204545</v>
      </c>
      <c r="AQ21" s="26">
        <f>SUM(AP15:AP26)</f>
        <v>168188185</v>
      </c>
      <c r="AR21" s="26">
        <f>AQ21-SUM(AO15:AO20)</f>
        <v>89036575.849999994</v>
      </c>
      <c r="AS21" s="27">
        <v>6</v>
      </c>
      <c r="AT21" s="28">
        <f t="shared" si="9"/>
        <v>14839429.308333332</v>
      </c>
      <c r="AU21" s="29">
        <f t="shared" si="10"/>
        <v>1422895.3583333306</v>
      </c>
      <c r="AV21" s="26">
        <f t="shared" si="11"/>
        <v>75620041.899999991</v>
      </c>
      <c r="AW21" s="30">
        <f t="shared" si="12"/>
        <v>0.55038433942312892</v>
      </c>
      <c r="AX21" s="31" t="str">
        <f t="shared" si="13"/>
        <v>✓ Within Budget</v>
      </c>
    </row>
    <row r="22" spans="1:50" ht="15.1" customHeight="1" x14ac:dyDescent="0.35">
      <c r="A22" s="32" t="s">
        <v>146</v>
      </c>
      <c r="B22" s="33">
        <v>2023</v>
      </c>
      <c r="C22" s="34">
        <v>47</v>
      </c>
      <c r="D22" s="34">
        <v>1</v>
      </c>
      <c r="E22" s="34">
        <v>1</v>
      </c>
      <c r="F22" s="34">
        <v>1</v>
      </c>
      <c r="G22" s="35">
        <f t="shared" si="0"/>
        <v>47</v>
      </c>
      <c r="H22" s="34">
        <v>1</v>
      </c>
      <c r="I22" s="34">
        <v>123040</v>
      </c>
      <c r="J22" s="34">
        <v>2</v>
      </c>
      <c r="K22" s="34">
        <v>9</v>
      </c>
      <c r="L22" s="34">
        <v>18</v>
      </c>
      <c r="M22" s="34">
        <v>13</v>
      </c>
      <c r="N22" s="34">
        <v>5</v>
      </c>
      <c r="O22" s="36">
        <f t="shared" si="1"/>
        <v>0.25531914893617019</v>
      </c>
      <c r="P22" s="37">
        <v>8.6900000000000005E-2</v>
      </c>
      <c r="Q22" s="38">
        <v>84.76</v>
      </c>
      <c r="R22" s="33">
        <v>1845600</v>
      </c>
      <c r="S22" s="34">
        <v>21</v>
      </c>
      <c r="T22" s="35">
        <f t="shared" si="2"/>
        <v>25</v>
      </c>
      <c r="U22" s="34">
        <v>8305200</v>
      </c>
      <c r="V22" s="35">
        <f t="shared" si="3"/>
        <v>1494936</v>
      </c>
      <c r="W22" s="35">
        <f t="shared" si="4"/>
        <v>664416</v>
      </c>
      <c r="X22" s="35">
        <f t="shared" si="5"/>
        <v>1121202</v>
      </c>
      <c r="Y22" s="34">
        <v>42000</v>
      </c>
      <c r="Z22" s="34">
        <v>63168</v>
      </c>
      <c r="AA22" s="34">
        <v>115487</v>
      </c>
      <c r="AB22" s="34">
        <v>39338</v>
      </c>
      <c r="AC22" s="34">
        <v>117500</v>
      </c>
      <c r="AD22" s="34">
        <v>150400</v>
      </c>
      <c r="AE22" s="34">
        <v>45000</v>
      </c>
      <c r="AF22" s="34">
        <v>200000</v>
      </c>
      <c r="AG22" s="34">
        <v>30000</v>
      </c>
      <c r="AH22" s="34">
        <v>70500</v>
      </c>
      <c r="AI22" s="34">
        <v>37600</v>
      </c>
      <c r="AJ22" s="34">
        <v>28200</v>
      </c>
      <c r="AK22" s="34">
        <v>52640</v>
      </c>
      <c r="AL22" s="34">
        <v>30848</v>
      </c>
      <c r="AM22" s="35">
        <f t="shared" si="6"/>
        <v>11806409</v>
      </c>
      <c r="AN22" s="35">
        <f t="shared" si="7"/>
        <v>802026</v>
      </c>
      <c r="AO22" s="35">
        <f t="shared" si="8"/>
        <v>12608435</v>
      </c>
      <c r="AP22" s="34">
        <v>14500629</v>
      </c>
      <c r="AQ22" s="26">
        <f>SUM(AP15:AP26)</f>
        <v>168188185</v>
      </c>
      <c r="AR22" s="26">
        <f>AQ22-SUM(AO15:AO21)</f>
        <v>75620041.899999991</v>
      </c>
      <c r="AS22" s="39">
        <v>5</v>
      </c>
      <c r="AT22" s="28">
        <f t="shared" si="9"/>
        <v>15124008.379999999</v>
      </c>
      <c r="AU22" s="29">
        <f t="shared" si="10"/>
        <v>2515573.379999999</v>
      </c>
      <c r="AV22" s="26">
        <f t="shared" si="11"/>
        <v>63011606.899999991</v>
      </c>
      <c r="AW22" s="30">
        <f t="shared" si="12"/>
        <v>0.6253505744175788</v>
      </c>
      <c r="AX22" s="31" t="str">
        <f t="shared" si="13"/>
        <v>✓ Within Budget</v>
      </c>
    </row>
    <row r="23" spans="1:50" ht="15.1" customHeight="1" x14ac:dyDescent="0.35">
      <c r="A23" s="19" t="s">
        <v>147</v>
      </c>
      <c r="B23" s="20">
        <v>2023</v>
      </c>
      <c r="C23" s="21">
        <v>47</v>
      </c>
      <c r="D23" s="21">
        <v>2</v>
      </c>
      <c r="E23" s="21">
        <v>0</v>
      </c>
      <c r="F23" s="21">
        <v>0</v>
      </c>
      <c r="G23" s="22">
        <f t="shared" si="0"/>
        <v>49</v>
      </c>
      <c r="H23" s="21">
        <v>1</v>
      </c>
      <c r="I23" s="21">
        <v>124756</v>
      </c>
      <c r="J23" s="21">
        <v>2</v>
      </c>
      <c r="K23" s="21">
        <v>11</v>
      </c>
      <c r="L23" s="21">
        <v>17</v>
      </c>
      <c r="M23" s="21">
        <v>13</v>
      </c>
      <c r="N23" s="21">
        <v>6</v>
      </c>
      <c r="O23" s="23">
        <f t="shared" si="1"/>
        <v>0</v>
      </c>
      <c r="P23" s="24">
        <v>0.1019</v>
      </c>
      <c r="Q23" s="25">
        <v>84.56</v>
      </c>
      <c r="R23" s="20">
        <v>1871335</v>
      </c>
      <c r="S23" s="21">
        <v>22</v>
      </c>
      <c r="T23" s="22">
        <f t="shared" si="2"/>
        <v>26</v>
      </c>
      <c r="U23" s="21">
        <v>8810869</v>
      </c>
      <c r="V23" s="22">
        <f t="shared" si="3"/>
        <v>1585956.42</v>
      </c>
      <c r="W23" s="22">
        <f t="shared" si="4"/>
        <v>704869.52</v>
      </c>
      <c r="X23" s="22">
        <f t="shared" si="5"/>
        <v>1189467.3150000002</v>
      </c>
      <c r="Y23" s="21">
        <v>39000</v>
      </c>
      <c r="Z23" s="21">
        <v>58800</v>
      </c>
      <c r="AA23" s="21">
        <v>140669</v>
      </c>
      <c r="AB23" s="21">
        <v>69289</v>
      </c>
      <c r="AC23" s="21">
        <v>122500</v>
      </c>
      <c r="AD23" s="21">
        <v>156800</v>
      </c>
      <c r="AE23" s="21">
        <v>90000</v>
      </c>
      <c r="AF23" s="21">
        <v>208000</v>
      </c>
      <c r="AG23" s="21">
        <v>31200</v>
      </c>
      <c r="AH23" s="21">
        <v>73500</v>
      </c>
      <c r="AI23" s="21">
        <v>39200</v>
      </c>
      <c r="AJ23" s="21">
        <v>29400</v>
      </c>
      <c r="AK23" s="21">
        <v>49000</v>
      </c>
      <c r="AL23" s="21">
        <v>14496</v>
      </c>
      <c r="AM23" s="22">
        <f t="shared" si="6"/>
        <v>12529631.254999999</v>
      </c>
      <c r="AN23" s="22">
        <f t="shared" si="7"/>
        <v>883385</v>
      </c>
      <c r="AO23" s="22">
        <f t="shared" si="8"/>
        <v>13413016.254999999</v>
      </c>
      <c r="AP23" s="21">
        <v>13555697</v>
      </c>
      <c r="AQ23" s="26">
        <f>SUM(AP15:AP26)</f>
        <v>168188185</v>
      </c>
      <c r="AR23" s="26">
        <f>AQ23-SUM(AO15:AO22)</f>
        <v>63011606.899999991</v>
      </c>
      <c r="AS23" s="27">
        <v>4</v>
      </c>
      <c r="AT23" s="28">
        <f t="shared" si="9"/>
        <v>15752901.724999998</v>
      </c>
      <c r="AU23" s="29">
        <f t="shared" si="10"/>
        <v>2339885.4699999988</v>
      </c>
      <c r="AV23" s="26">
        <f t="shared" si="11"/>
        <v>49598590.644999996</v>
      </c>
      <c r="AW23" s="30">
        <f t="shared" si="12"/>
        <v>0.70510062496363823</v>
      </c>
      <c r="AX23" s="31" t="str">
        <f t="shared" si="13"/>
        <v>✓ Within Budget</v>
      </c>
    </row>
    <row r="24" spans="1:50" ht="15.1" customHeight="1" x14ac:dyDescent="0.35">
      <c r="A24" s="32" t="s">
        <v>148</v>
      </c>
      <c r="B24" s="33">
        <v>2024</v>
      </c>
      <c r="C24" s="34">
        <v>49</v>
      </c>
      <c r="D24" s="34">
        <v>1</v>
      </c>
      <c r="E24" s="34">
        <v>0</v>
      </c>
      <c r="F24" s="34">
        <v>0</v>
      </c>
      <c r="G24" s="35">
        <f t="shared" si="0"/>
        <v>50</v>
      </c>
      <c r="H24" s="34">
        <v>1</v>
      </c>
      <c r="I24" s="34">
        <v>125602</v>
      </c>
      <c r="J24" s="34">
        <v>2</v>
      </c>
      <c r="K24" s="34">
        <v>9</v>
      </c>
      <c r="L24" s="34">
        <v>19</v>
      </c>
      <c r="M24" s="34">
        <v>14</v>
      </c>
      <c r="N24" s="34">
        <v>6</v>
      </c>
      <c r="O24" s="36">
        <f t="shared" si="1"/>
        <v>0</v>
      </c>
      <c r="P24" s="37">
        <v>0.1181</v>
      </c>
      <c r="Q24" s="38">
        <v>85.16</v>
      </c>
      <c r="R24" s="33">
        <v>1884031</v>
      </c>
      <c r="S24" s="34">
        <v>22</v>
      </c>
      <c r="T24" s="35">
        <f t="shared" si="2"/>
        <v>27</v>
      </c>
      <c r="U24" s="41">
        <v>13912941</v>
      </c>
      <c r="V24" s="35">
        <f t="shared" si="3"/>
        <v>2504329.38</v>
      </c>
      <c r="W24" s="35">
        <f t="shared" si="4"/>
        <v>1113035.28</v>
      </c>
      <c r="X24" s="35">
        <f t="shared" si="5"/>
        <v>1878247.0350000001</v>
      </c>
      <c r="Y24" s="34">
        <v>43740</v>
      </c>
      <c r="Z24" s="34">
        <v>64800</v>
      </c>
      <c r="AA24" s="41">
        <v>200186</v>
      </c>
      <c r="AB24" s="41">
        <v>54841</v>
      </c>
      <c r="AC24" s="34">
        <v>125000</v>
      </c>
      <c r="AD24" s="34">
        <v>160000</v>
      </c>
      <c r="AE24" s="34">
        <v>45000</v>
      </c>
      <c r="AF24" s="34">
        <v>216000</v>
      </c>
      <c r="AG24" s="34">
        <v>32400</v>
      </c>
      <c r="AH24" s="34">
        <v>75000</v>
      </c>
      <c r="AI24" s="34">
        <v>40000</v>
      </c>
      <c r="AJ24" s="34">
        <v>30000</v>
      </c>
      <c r="AK24" s="41">
        <v>72900</v>
      </c>
      <c r="AL24" s="34">
        <v>22737</v>
      </c>
      <c r="AM24" s="35">
        <f t="shared" si="6"/>
        <v>19717278.695</v>
      </c>
      <c r="AN24" s="35">
        <f t="shared" si="7"/>
        <v>873878</v>
      </c>
      <c r="AO24" s="35">
        <f t="shared" si="8"/>
        <v>20591156.695</v>
      </c>
      <c r="AP24" s="34">
        <v>14316280</v>
      </c>
      <c r="AQ24" s="26">
        <f>SUM(AP15:AP26)</f>
        <v>168188185</v>
      </c>
      <c r="AR24" s="26">
        <f>AQ24-SUM(AO15:AO23)</f>
        <v>49598590.644999996</v>
      </c>
      <c r="AS24" s="39">
        <v>3</v>
      </c>
      <c r="AT24" s="28">
        <f t="shared" si="9"/>
        <v>16532863.548333332</v>
      </c>
      <c r="AU24" s="29">
        <f t="shared" si="10"/>
        <v>-4058293.1466666684</v>
      </c>
      <c r="AV24" s="26">
        <f t="shared" si="11"/>
        <v>29007433.949999996</v>
      </c>
      <c r="AW24" s="30">
        <f t="shared" si="12"/>
        <v>0.82752989486152084</v>
      </c>
      <c r="AX24" s="31" t="str">
        <f t="shared" si="13"/>
        <v>⚠ Over Budget</v>
      </c>
    </row>
    <row r="25" spans="1:50" ht="15.1" customHeight="1" x14ac:dyDescent="0.35">
      <c r="A25" s="19" t="s">
        <v>149</v>
      </c>
      <c r="B25" s="20">
        <v>2024</v>
      </c>
      <c r="C25" s="21">
        <v>50</v>
      </c>
      <c r="D25" s="21">
        <v>1</v>
      </c>
      <c r="E25" s="21">
        <v>1</v>
      </c>
      <c r="F25" s="21">
        <v>1</v>
      </c>
      <c r="G25" s="22">
        <f t="shared" si="0"/>
        <v>50</v>
      </c>
      <c r="H25" s="21">
        <v>1</v>
      </c>
      <c r="I25" s="21">
        <v>125748</v>
      </c>
      <c r="J25" s="21">
        <v>3</v>
      </c>
      <c r="K25" s="21">
        <v>7</v>
      </c>
      <c r="L25" s="21">
        <v>19</v>
      </c>
      <c r="M25" s="21">
        <v>15</v>
      </c>
      <c r="N25" s="21">
        <v>6</v>
      </c>
      <c r="O25" s="23">
        <f t="shared" si="1"/>
        <v>0.24</v>
      </c>
      <c r="P25" s="24">
        <v>9.6199999999999994E-2</v>
      </c>
      <c r="Q25" s="25">
        <v>85.21</v>
      </c>
      <c r="R25" s="20">
        <v>1886223</v>
      </c>
      <c r="S25" s="21">
        <v>22</v>
      </c>
      <c r="T25" s="22">
        <f t="shared" si="2"/>
        <v>27</v>
      </c>
      <c r="U25" s="21">
        <v>9218915</v>
      </c>
      <c r="V25" s="22">
        <f t="shared" si="3"/>
        <v>1659404.7</v>
      </c>
      <c r="W25" s="22">
        <f t="shared" si="4"/>
        <v>737513.20000000007</v>
      </c>
      <c r="X25" s="22">
        <f t="shared" si="5"/>
        <v>1244553.5250000001</v>
      </c>
      <c r="Y25" s="21">
        <v>43740</v>
      </c>
      <c r="Z25" s="21">
        <v>64800</v>
      </c>
      <c r="AA25" s="21">
        <v>126759</v>
      </c>
      <c r="AB25" s="21">
        <v>35355</v>
      </c>
      <c r="AC25" s="21">
        <v>125000</v>
      </c>
      <c r="AD25" s="21">
        <v>160000</v>
      </c>
      <c r="AE25" s="21">
        <v>45000</v>
      </c>
      <c r="AF25" s="21">
        <v>216000</v>
      </c>
      <c r="AG25" s="21">
        <v>32400</v>
      </c>
      <c r="AH25" s="21">
        <v>75000</v>
      </c>
      <c r="AI25" s="21">
        <v>40000</v>
      </c>
      <c r="AJ25" s="21">
        <v>30000</v>
      </c>
      <c r="AK25" s="21">
        <v>54000</v>
      </c>
      <c r="AL25" s="21">
        <v>26736</v>
      </c>
      <c r="AM25" s="22">
        <f t="shared" si="6"/>
        <v>13095685.424999999</v>
      </c>
      <c r="AN25" s="22">
        <f t="shared" si="7"/>
        <v>839491</v>
      </c>
      <c r="AO25" s="22">
        <f t="shared" si="8"/>
        <v>13935176.424999999</v>
      </c>
      <c r="AP25" s="21">
        <v>15293439</v>
      </c>
      <c r="AQ25" s="26">
        <f>SUM(AP15:AP26)</f>
        <v>168188185</v>
      </c>
      <c r="AR25" s="26">
        <f>AQ25-SUM(AO15:AO24)</f>
        <v>29007433.949999988</v>
      </c>
      <c r="AS25" s="27">
        <v>2</v>
      </c>
      <c r="AT25" s="28">
        <f t="shared" si="9"/>
        <v>14503716.974999994</v>
      </c>
      <c r="AU25" s="29">
        <f t="shared" si="10"/>
        <v>568540.54999999516</v>
      </c>
      <c r="AV25" s="26">
        <f t="shared" si="11"/>
        <v>15072257.524999989</v>
      </c>
      <c r="AW25" s="30">
        <f t="shared" si="12"/>
        <v>0.9103845640227346</v>
      </c>
      <c r="AX25" s="31" t="str">
        <f t="shared" si="13"/>
        <v>✓ Within Budget</v>
      </c>
    </row>
    <row r="26" spans="1:50" ht="15.1" customHeight="1" x14ac:dyDescent="0.35">
      <c r="A26" s="32" t="s">
        <v>150</v>
      </c>
      <c r="B26" s="33">
        <v>2024</v>
      </c>
      <c r="C26" s="34">
        <v>50</v>
      </c>
      <c r="D26" s="34">
        <v>2</v>
      </c>
      <c r="E26" s="34">
        <v>2</v>
      </c>
      <c r="F26" s="34">
        <v>2</v>
      </c>
      <c r="G26" s="35">
        <f t="shared" si="0"/>
        <v>50</v>
      </c>
      <c r="H26" s="34">
        <v>1</v>
      </c>
      <c r="I26" s="34">
        <v>128384</v>
      </c>
      <c r="J26" s="34">
        <v>2</v>
      </c>
      <c r="K26" s="34">
        <v>10</v>
      </c>
      <c r="L26" s="34">
        <v>17</v>
      </c>
      <c r="M26" s="34">
        <v>14</v>
      </c>
      <c r="N26" s="34">
        <v>7</v>
      </c>
      <c r="O26" s="36">
        <f t="shared" si="1"/>
        <v>0.48</v>
      </c>
      <c r="P26" s="37">
        <v>0.10340000000000001</v>
      </c>
      <c r="Q26" s="38">
        <v>85.45</v>
      </c>
      <c r="R26" s="33">
        <v>1925767</v>
      </c>
      <c r="S26" s="34">
        <v>22</v>
      </c>
      <c r="T26" s="35">
        <f t="shared" si="2"/>
        <v>27</v>
      </c>
      <c r="U26" s="34">
        <v>9468354</v>
      </c>
      <c r="V26" s="35">
        <f t="shared" si="3"/>
        <v>1704303.72</v>
      </c>
      <c r="W26" s="35">
        <f t="shared" si="4"/>
        <v>757468.32000000007</v>
      </c>
      <c r="X26" s="35">
        <f t="shared" si="5"/>
        <v>1278227.79</v>
      </c>
      <c r="Y26" s="34">
        <v>42930</v>
      </c>
      <c r="Z26" s="34">
        <v>63600</v>
      </c>
      <c r="AA26" s="34">
        <v>134618</v>
      </c>
      <c r="AB26" s="34">
        <v>73974</v>
      </c>
      <c r="AC26" s="34">
        <v>125000</v>
      </c>
      <c r="AD26" s="34">
        <v>160000</v>
      </c>
      <c r="AE26" s="34">
        <v>90000</v>
      </c>
      <c r="AF26" s="34">
        <v>216000</v>
      </c>
      <c r="AG26" s="34">
        <v>32400</v>
      </c>
      <c r="AH26" s="34">
        <v>75000</v>
      </c>
      <c r="AI26" s="34">
        <v>40000</v>
      </c>
      <c r="AJ26" s="34">
        <v>30000</v>
      </c>
      <c r="AK26" s="34">
        <v>53000</v>
      </c>
      <c r="AL26" s="34">
        <v>24253</v>
      </c>
      <c r="AM26" s="35">
        <f t="shared" si="6"/>
        <v>13449501.830000002</v>
      </c>
      <c r="AN26" s="35">
        <f t="shared" si="7"/>
        <v>919627</v>
      </c>
      <c r="AO26" s="35">
        <f t="shared" si="8"/>
        <v>14369128.830000002</v>
      </c>
      <c r="AP26" s="34">
        <v>15790396</v>
      </c>
      <c r="AQ26" s="26">
        <f>SUM(AP15:AP26)</f>
        <v>168188185</v>
      </c>
      <c r="AR26" s="26">
        <f>AQ26-SUM(AO15:AO25)</f>
        <v>15072257.524999976</v>
      </c>
      <c r="AS26" s="39">
        <v>1</v>
      </c>
      <c r="AT26" s="28">
        <f t="shared" si="9"/>
        <v>15072257.524999976</v>
      </c>
      <c r="AU26" s="29">
        <f t="shared" si="10"/>
        <v>703128.69499997422</v>
      </c>
      <c r="AV26" s="26">
        <f t="shared" si="11"/>
        <v>703128.69499997422</v>
      </c>
      <c r="AW26" s="30">
        <f t="shared" si="12"/>
        <v>0.9958193930507071</v>
      </c>
      <c r="AX26" s="31" t="str">
        <f t="shared" si="13"/>
        <v>✓ Within Budget</v>
      </c>
    </row>
    <row r="27" spans="1:50" ht="15.1" customHeight="1" x14ac:dyDescent="0.35">
      <c r="A27" s="19" t="s">
        <v>151</v>
      </c>
      <c r="B27" s="20">
        <v>2024</v>
      </c>
      <c r="C27" s="21">
        <v>50</v>
      </c>
      <c r="D27" s="21">
        <v>2</v>
      </c>
      <c r="E27" s="21">
        <v>2</v>
      </c>
      <c r="F27" s="21">
        <v>2</v>
      </c>
      <c r="G27" s="22">
        <f t="shared" si="0"/>
        <v>50</v>
      </c>
      <c r="H27" s="21">
        <v>1</v>
      </c>
      <c r="I27" s="21">
        <v>126794</v>
      </c>
      <c r="J27" s="21">
        <v>3</v>
      </c>
      <c r="K27" s="21">
        <v>9</v>
      </c>
      <c r="L27" s="21">
        <v>18</v>
      </c>
      <c r="M27" s="21">
        <v>13</v>
      </c>
      <c r="N27" s="21">
        <v>7</v>
      </c>
      <c r="O27" s="23">
        <f t="shared" si="1"/>
        <v>0.48</v>
      </c>
      <c r="P27" s="24">
        <v>0.12659999999999999</v>
      </c>
      <c r="Q27" s="25">
        <v>85.23</v>
      </c>
      <c r="R27" s="20">
        <v>1901906</v>
      </c>
      <c r="S27" s="21">
        <v>22</v>
      </c>
      <c r="T27" s="22">
        <f t="shared" si="2"/>
        <v>27</v>
      </c>
      <c r="U27" s="21">
        <v>9248018</v>
      </c>
      <c r="V27" s="22">
        <f t="shared" si="3"/>
        <v>1664643.24</v>
      </c>
      <c r="W27" s="22">
        <f t="shared" si="4"/>
        <v>739841.44000000006</v>
      </c>
      <c r="X27" s="22">
        <f t="shared" si="5"/>
        <v>1248482.4300000002</v>
      </c>
      <c r="Y27" s="21">
        <v>44550</v>
      </c>
      <c r="Z27" s="21">
        <v>66000</v>
      </c>
      <c r="AA27" s="21">
        <v>132385</v>
      </c>
      <c r="AB27" s="21">
        <v>72170</v>
      </c>
      <c r="AC27" s="21">
        <v>162500</v>
      </c>
      <c r="AD27" s="21">
        <v>160000</v>
      </c>
      <c r="AE27" s="21">
        <v>90000</v>
      </c>
      <c r="AF27" s="21">
        <v>216000</v>
      </c>
      <c r="AG27" s="21">
        <v>32400</v>
      </c>
      <c r="AH27" s="21">
        <v>75000</v>
      </c>
      <c r="AI27" s="21">
        <v>40000</v>
      </c>
      <c r="AJ27" s="21">
        <v>30000</v>
      </c>
      <c r="AK27" s="21">
        <v>55000</v>
      </c>
      <c r="AL27" s="21">
        <v>17426</v>
      </c>
      <c r="AM27" s="22">
        <f t="shared" si="6"/>
        <v>13143920.109999999</v>
      </c>
      <c r="AN27" s="22">
        <f t="shared" si="7"/>
        <v>950496</v>
      </c>
      <c r="AO27" s="22">
        <f t="shared" si="8"/>
        <v>14094416.109999999</v>
      </c>
      <c r="AP27" s="21">
        <v>14669531</v>
      </c>
      <c r="AQ27" s="26">
        <f>SUM(AP27:AP38)</f>
        <v>211193271</v>
      </c>
      <c r="AR27" s="26">
        <f>AQ27</f>
        <v>211193271</v>
      </c>
      <c r="AS27" s="27">
        <v>12</v>
      </c>
      <c r="AT27" s="28">
        <f t="shared" si="9"/>
        <v>17599439.25</v>
      </c>
      <c r="AU27" s="29">
        <f t="shared" si="10"/>
        <v>3505023.1400000006</v>
      </c>
      <c r="AV27" s="26">
        <f t="shared" si="11"/>
        <v>197098854.88999999</v>
      </c>
      <c r="AW27" s="30">
        <f t="shared" si="12"/>
        <v>6.6737051058790672E-2</v>
      </c>
      <c r="AX27" s="31" t="str">
        <f t="shared" si="13"/>
        <v>✓ Within Budget</v>
      </c>
    </row>
    <row r="28" spans="1:50" ht="15.1" customHeight="1" x14ac:dyDescent="0.35">
      <c r="A28" s="32" t="s">
        <v>152</v>
      </c>
      <c r="B28" s="33">
        <v>2024</v>
      </c>
      <c r="C28" s="34">
        <v>50</v>
      </c>
      <c r="D28" s="34">
        <v>1</v>
      </c>
      <c r="E28" s="34">
        <v>0</v>
      </c>
      <c r="F28" s="34">
        <v>0</v>
      </c>
      <c r="G28" s="35">
        <f t="shared" si="0"/>
        <v>51</v>
      </c>
      <c r="H28" s="34">
        <v>1</v>
      </c>
      <c r="I28" s="34">
        <v>127936</v>
      </c>
      <c r="J28" s="34">
        <v>2</v>
      </c>
      <c r="K28" s="34">
        <v>9</v>
      </c>
      <c r="L28" s="34">
        <v>24</v>
      </c>
      <c r="M28" s="34">
        <v>13</v>
      </c>
      <c r="N28" s="34">
        <v>3</v>
      </c>
      <c r="O28" s="36">
        <f t="shared" si="1"/>
        <v>0</v>
      </c>
      <c r="P28" s="37">
        <v>9.9900000000000003E-2</v>
      </c>
      <c r="Q28" s="38">
        <v>85.54</v>
      </c>
      <c r="R28" s="33">
        <v>1919038</v>
      </c>
      <c r="S28" s="34">
        <v>23</v>
      </c>
      <c r="T28" s="35">
        <f t="shared" si="2"/>
        <v>27</v>
      </c>
      <c r="U28" s="34">
        <v>8987495</v>
      </c>
      <c r="V28" s="35">
        <f t="shared" si="3"/>
        <v>1617749.0999999999</v>
      </c>
      <c r="W28" s="35">
        <f t="shared" si="4"/>
        <v>718999.6</v>
      </c>
      <c r="X28" s="35">
        <f t="shared" si="5"/>
        <v>1213311.8250000002</v>
      </c>
      <c r="Y28" s="34">
        <v>44550</v>
      </c>
      <c r="Z28" s="34">
        <v>67320</v>
      </c>
      <c r="AA28" s="34">
        <v>131128</v>
      </c>
      <c r="AB28" s="34">
        <v>33264</v>
      </c>
      <c r="AC28" s="34">
        <v>165750</v>
      </c>
      <c r="AD28" s="34">
        <v>163200</v>
      </c>
      <c r="AE28" s="34">
        <v>45000</v>
      </c>
      <c r="AF28" s="34">
        <v>216000</v>
      </c>
      <c r="AG28" s="34">
        <v>32400</v>
      </c>
      <c r="AH28" s="34">
        <v>76500</v>
      </c>
      <c r="AI28" s="34">
        <v>40800</v>
      </c>
      <c r="AJ28" s="34">
        <v>30600</v>
      </c>
      <c r="AK28" s="34">
        <v>56100</v>
      </c>
      <c r="AL28" s="34">
        <v>25723</v>
      </c>
      <c r="AM28" s="35">
        <f t="shared" si="6"/>
        <v>12780553.524999999</v>
      </c>
      <c r="AN28" s="35">
        <f t="shared" si="7"/>
        <v>885337</v>
      </c>
      <c r="AO28" s="35">
        <f t="shared" si="8"/>
        <v>13665890.524999999</v>
      </c>
      <c r="AP28" s="34">
        <v>14832537</v>
      </c>
      <c r="AQ28" s="26">
        <f>SUM(AP27:AP38)</f>
        <v>211193271</v>
      </c>
      <c r="AR28" s="26">
        <f>AQ28-SUM(AO27:AO27)</f>
        <v>197098854.88999999</v>
      </c>
      <c r="AS28" s="39">
        <v>11</v>
      </c>
      <c r="AT28" s="28">
        <f t="shared" si="9"/>
        <v>17918077.717272725</v>
      </c>
      <c r="AU28" s="29">
        <f t="shared" si="10"/>
        <v>4252187.1922727264</v>
      </c>
      <c r="AV28" s="26">
        <f t="shared" si="11"/>
        <v>183432964.36499998</v>
      </c>
      <c r="AW28" s="30">
        <f t="shared" si="12"/>
        <v>0.1314450337529931</v>
      </c>
      <c r="AX28" s="31" t="str">
        <f t="shared" si="13"/>
        <v>✓ Within Budget</v>
      </c>
    </row>
    <row r="29" spans="1:50" ht="15.1" customHeight="1" x14ac:dyDescent="0.35">
      <c r="A29" s="19" t="s">
        <v>153</v>
      </c>
      <c r="B29" s="20">
        <v>2024</v>
      </c>
      <c r="C29" s="21">
        <v>51</v>
      </c>
      <c r="D29" s="21">
        <v>4</v>
      </c>
      <c r="E29" s="21">
        <v>1</v>
      </c>
      <c r="F29" s="21">
        <v>1</v>
      </c>
      <c r="G29" s="22">
        <f t="shared" si="0"/>
        <v>54</v>
      </c>
      <c r="H29" s="21">
        <v>1</v>
      </c>
      <c r="I29" s="21">
        <v>129705</v>
      </c>
      <c r="J29" s="21">
        <v>2</v>
      </c>
      <c r="K29" s="21">
        <v>7</v>
      </c>
      <c r="L29" s="21">
        <v>26</v>
      </c>
      <c r="M29" s="21">
        <v>12</v>
      </c>
      <c r="N29" s="21">
        <v>7</v>
      </c>
      <c r="O29" s="23">
        <f t="shared" si="1"/>
        <v>0.23529411764705882</v>
      </c>
      <c r="P29" s="24">
        <v>9.3399999999999997E-2</v>
      </c>
      <c r="Q29" s="25">
        <v>85.09</v>
      </c>
      <c r="R29" s="20">
        <v>1945578</v>
      </c>
      <c r="S29" s="21">
        <v>24</v>
      </c>
      <c r="T29" s="22">
        <f t="shared" si="2"/>
        <v>29</v>
      </c>
      <c r="U29" s="21">
        <v>10181858</v>
      </c>
      <c r="V29" s="22">
        <f t="shared" si="3"/>
        <v>1832734.44</v>
      </c>
      <c r="W29" s="22">
        <f t="shared" si="4"/>
        <v>814548.64</v>
      </c>
      <c r="X29" s="22">
        <f t="shared" si="5"/>
        <v>1374550.83</v>
      </c>
      <c r="Y29" s="21">
        <v>45675</v>
      </c>
      <c r="Z29" s="21">
        <v>68040</v>
      </c>
      <c r="AA29" s="21">
        <v>174687</v>
      </c>
      <c r="AB29" s="21">
        <v>141598</v>
      </c>
      <c r="AC29" s="21">
        <v>135000</v>
      </c>
      <c r="AD29" s="21">
        <v>172800</v>
      </c>
      <c r="AE29" s="21">
        <v>180000</v>
      </c>
      <c r="AF29" s="21">
        <v>232000</v>
      </c>
      <c r="AG29" s="21">
        <v>34800</v>
      </c>
      <c r="AH29" s="21">
        <v>81000</v>
      </c>
      <c r="AI29" s="21">
        <v>43200</v>
      </c>
      <c r="AJ29" s="21">
        <v>32400</v>
      </c>
      <c r="AK29" s="21">
        <v>56700</v>
      </c>
      <c r="AL29" s="21">
        <v>25470</v>
      </c>
      <c r="AM29" s="22">
        <f t="shared" si="6"/>
        <v>14492093.91</v>
      </c>
      <c r="AN29" s="22">
        <f t="shared" si="7"/>
        <v>1134968</v>
      </c>
      <c r="AO29" s="22">
        <f t="shared" si="8"/>
        <v>15627061.91</v>
      </c>
      <c r="AP29" s="21">
        <v>16072275</v>
      </c>
      <c r="AQ29" s="26">
        <f>SUM(AP27:AP38)</f>
        <v>211193271</v>
      </c>
      <c r="AR29" s="26">
        <f>AQ29-SUM(AO27:AO28)</f>
        <v>183432964.36500001</v>
      </c>
      <c r="AS29" s="27">
        <v>10</v>
      </c>
      <c r="AT29" s="28">
        <f t="shared" si="9"/>
        <v>18343296.436500002</v>
      </c>
      <c r="AU29" s="29">
        <f t="shared" si="10"/>
        <v>2716234.5265000015</v>
      </c>
      <c r="AV29" s="26">
        <f t="shared" si="11"/>
        <v>167805902.45500001</v>
      </c>
      <c r="AW29" s="30">
        <f t="shared" si="12"/>
        <v>0.20543916167196438</v>
      </c>
      <c r="AX29" s="31" t="str">
        <f t="shared" si="13"/>
        <v>✓ Within Budget</v>
      </c>
    </row>
    <row r="30" spans="1:50" ht="15.1" customHeight="1" x14ac:dyDescent="0.35">
      <c r="A30" s="32" t="s">
        <v>154</v>
      </c>
      <c r="B30" s="33">
        <v>2024</v>
      </c>
      <c r="C30" s="34">
        <v>54</v>
      </c>
      <c r="D30" s="34">
        <v>2</v>
      </c>
      <c r="E30" s="34">
        <v>1</v>
      </c>
      <c r="F30" s="34">
        <v>1</v>
      </c>
      <c r="G30" s="35">
        <f t="shared" si="0"/>
        <v>55</v>
      </c>
      <c r="H30" s="34">
        <v>1</v>
      </c>
      <c r="I30" s="34">
        <v>130860</v>
      </c>
      <c r="J30" s="34">
        <v>1</v>
      </c>
      <c r="K30" s="34">
        <v>10</v>
      </c>
      <c r="L30" s="34">
        <v>25</v>
      </c>
      <c r="M30" s="34">
        <v>14</v>
      </c>
      <c r="N30" s="34">
        <v>5</v>
      </c>
      <c r="O30" s="36">
        <f t="shared" si="1"/>
        <v>0.22222222222222221</v>
      </c>
      <c r="P30" s="37">
        <v>9.9299999999999999E-2</v>
      </c>
      <c r="Q30" s="38">
        <v>85.45</v>
      </c>
      <c r="R30" s="33">
        <v>1962900</v>
      </c>
      <c r="S30" s="34">
        <v>25</v>
      </c>
      <c r="T30" s="35">
        <f t="shared" si="2"/>
        <v>29</v>
      </c>
      <c r="U30" s="34">
        <v>10247974</v>
      </c>
      <c r="V30" s="35">
        <f t="shared" si="3"/>
        <v>1844635.3199999998</v>
      </c>
      <c r="W30" s="35">
        <f t="shared" si="4"/>
        <v>819837.92</v>
      </c>
      <c r="X30" s="35">
        <f t="shared" si="5"/>
        <v>1383476.49</v>
      </c>
      <c r="Y30" s="34">
        <v>43500</v>
      </c>
      <c r="Z30" s="34">
        <v>66000</v>
      </c>
      <c r="AA30" s="34">
        <v>139373</v>
      </c>
      <c r="AB30" s="34">
        <v>65577</v>
      </c>
      <c r="AC30" s="34">
        <v>137500</v>
      </c>
      <c r="AD30" s="34">
        <v>176000</v>
      </c>
      <c r="AE30" s="34">
        <v>90000</v>
      </c>
      <c r="AF30" s="34">
        <v>232000</v>
      </c>
      <c r="AG30" s="34">
        <v>34800</v>
      </c>
      <c r="AH30" s="34">
        <v>82500</v>
      </c>
      <c r="AI30" s="34">
        <v>44000</v>
      </c>
      <c r="AJ30" s="34">
        <v>33000</v>
      </c>
      <c r="AK30" s="34">
        <v>55000</v>
      </c>
      <c r="AL30" s="34">
        <v>44412</v>
      </c>
      <c r="AM30" s="35">
        <f t="shared" si="6"/>
        <v>14544796.73</v>
      </c>
      <c r="AN30" s="35">
        <f t="shared" si="7"/>
        <v>994789</v>
      </c>
      <c r="AO30" s="35">
        <f t="shared" si="8"/>
        <v>15539585.73</v>
      </c>
      <c r="AP30" s="34">
        <v>15146879</v>
      </c>
      <c r="AQ30" s="26">
        <f>SUM(AP27:AP38)</f>
        <v>211193271</v>
      </c>
      <c r="AR30" s="26">
        <f>AQ30-SUM(AO27:AO29)</f>
        <v>167805902.45499998</v>
      </c>
      <c r="AS30" s="39">
        <v>9</v>
      </c>
      <c r="AT30" s="28">
        <f t="shared" si="9"/>
        <v>18645100.272777777</v>
      </c>
      <c r="AU30" s="29">
        <f t="shared" si="10"/>
        <v>3105514.5427777767</v>
      </c>
      <c r="AV30" s="26">
        <f t="shared" si="11"/>
        <v>152266316.72499999</v>
      </c>
      <c r="AW30" s="30">
        <f t="shared" si="12"/>
        <v>0.2790190899358721</v>
      </c>
      <c r="AX30" s="31" t="str">
        <f t="shared" si="13"/>
        <v>✓ Within Budget</v>
      </c>
    </row>
    <row r="31" spans="1:50" ht="15.1" customHeight="1" x14ac:dyDescent="0.35">
      <c r="A31" s="19" t="s">
        <v>155</v>
      </c>
      <c r="B31" s="20">
        <v>2024</v>
      </c>
      <c r="C31" s="21">
        <v>55</v>
      </c>
      <c r="D31" s="21">
        <v>1</v>
      </c>
      <c r="E31" s="21">
        <v>1</v>
      </c>
      <c r="F31" s="21">
        <v>1</v>
      </c>
      <c r="G31" s="22">
        <f t="shared" si="0"/>
        <v>55</v>
      </c>
      <c r="H31" s="21">
        <v>1</v>
      </c>
      <c r="I31" s="21">
        <v>131496</v>
      </c>
      <c r="J31" s="21">
        <v>4</v>
      </c>
      <c r="K31" s="21">
        <v>9</v>
      </c>
      <c r="L31" s="21">
        <v>20</v>
      </c>
      <c r="M31" s="21">
        <v>15</v>
      </c>
      <c r="N31" s="21">
        <v>7</v>
      </c>
      <c r="O31" s="23">
        <f t="shared" si="1"/>
        <v>0.21818181818181817</v>
      </c>
      <c r="P31" s="24">
        <v>9.8900000000000002E-2</v>
      </c>
      <c r="Q31" s="25">
        <v>85.65</v>
      </c>
      <c r="R31" s="20">
        <v>1972447</v>
      </c>
      <c r="S31" s="21">
        <v>25</v>
      </c>
      <c r="T31" s="22">
        <f t="shared" si="2"/>
        <v>29</v>
      </c>
      <c r="U31" s="21">
        <v>10470406</v>
      </c>
      <c r="V31" s="22">
        <f t="shared" si="3"/>
        <v>1884673.0799999998</v>
      </c>
      <c r="W31" s="22">
        <f t="shared" si="4"/>
        <v>837632.48</v>
      </c>
      <c r="X31" s="22">
        <f t="shared" si="5"/>
        <v>1413504.81</v>
      </c>
      <c r="Y31" s="21">
        <v>43500</v>
      </c>
      <c r="Z31" s="21">
        <v>66000</v>
      </c>
      <c r="AA31" s="21">
        <v>162559</v>
      </c>
      <c r="AB31" s="21">
        <v>29033</v>
      </c>
      <c r="AC31" s="21">
        <v>137500</v>
      </c>
      <c r="AD31" s="21">
        <v>176000</v>
      </c>
      <c r="AE31" s="21">
        <v>45000</v>
      </c>
      <c r="AF31" s="21">
        <v>232000</v>
      </c>
      <c r="AG31" s="21">
        <v>34800</v>
      </c>
      <c r="AH31" s="21">
        <v>82500</v>
      </c>
      <c r="AI31" s="21">
        <v>44000</v>
      </c>
      <c r="AJ31" s="21">
        <v>33000</v>
      </c>
      <c r="AK31" s="21">
        <v>55000</v>
      </c>
      <c r="AL31" s="21">
        <v>19736</v>
      </c>
      <c r="AM31" s="22">
        <f t="shared" si="6"/>
        <v>14878275.370000001</v>
      </c>
      <c r="AN31" s="22">
        <f t="shared" si="7"/>
        <v>888569</v>
      </c>
      <c r="AO31" s="22">
        <f t="shared" si="8"/>
        <v>15766844.370000001</v>
      </c>
      <c r="AP31" s="21">
        <v>16730463</v>
      </c>
      <c r="AQ31" s="26">
        <f>SUM(AP27:AP38)</f>
        <v>211193271</v>
      </c>
      <c r="AR31" s="26">
        <f>AQ31-SUM(AO27:AO30)</f>
        <v>152266316.72499999</v>
      </c>
      <c r="AS31" s="27">
        <v>8</v>
      </c>
      <c r="AT31" s="28">
        <f t="shared" si="9"/>
        <v>19033289.590624999</v>
      </c>
      <c r="AU31" s="29">
        <f t="shared" si="10"/>
        <v>3266445.2206249982</v>
      </c>
      <c r="AV31" s="26">
        <f t="shared" si="11"/>
        <v>136499472.35499999</v>
      </c>
      <c r="AW31" s="30">
        <f t="shared" si="12"/>
        <v>0.35367508771148304</v>
      </c>
      <c r="AX31" s="31" t="str">
        <f t="shared" si="13"/>
        <v>✓ Within Budget</v>
      </c>
    </row>
    <row r="32" spans="1:50" ht="15.1" customHeight="1" x14ac:dyDescent="0.35">
      <c r="A32" s="32" t="s">
        <v>156</v>
      </c>
      <c r="B32" s="33">
        <v>2024</v>
      </c>
      <c r="C32" s="34">
        <v>55</v>
      </c>
      <c r="D32" s="34">
        <v>2</v>
      </c>
      <c r="E32" s="34">
        <v>1</v>
      </c>
      <c r="F32" s="34">
        <v>1</v>
      </c>
      <c r="G32" s="35">
        <f t="shared" si="0"/>
        <v>56</v>
      </c>
      <c r="H32" s="34">
        <v>1</v>
      </c>
      <c r="I32" s="34">
        <v>133206</v>
      </c>
      <c r="J32" s="34">
        <v>3</v>
      </c>
      <c r="K32" s="34">
        <v>8</v>
      </c>
      <c r="L32" s="34">
        <v>22</v>
      </c>
      <c r="M32" s="34">
        <v>16</v>
      </c>
      <c r="N32" s="34">
        <v>7</v>
      </c>
      <c r="O32" s="36">
        <f t="shared" si="1"/>
        <v>0.21818181818181817</v>
      </c>
      <c r="P32" s="37">
        <v>9.6100000000000005E-2</v>
      </c>
      <c r="Q32" s="38">
        <v>85.73</v>
      </c>
      <c r="R32" s="33">
        <v>1998088</v>
      </c>
      <c r="S32" s="34">
        <v>25</v>
      </c>
      <c r="T32" s="35">
        <f t="shared" si="2"/>
        <v>30</v>
      </c>
      <c r="U32" s="41">
        <v>16969178</v>
      </c>
      <c r="V32" s="35">
        <f t="shared" si="3"/>
        <v>3054452.04</v>
      </c>
      <c r="W32" s="35">
        <f t="shared" si="4"/>
        <v>1357534.24</v>
      </c>
      <c r="X32" s="35">
        <f t="shared" si="5"/>
        <v>2290839.0300000003</v>
      </c>
      <c r="Y32" s="34">
        <v>51750</v>
      </c>
      <c r="Z32" s="34">
        <v>77280</v>
      </c>
      <c r="AA32" s="41">
        <v>227792</v>
      </c>
      <c r="AB32" s="41">
        <v>88211</v>
      </c>
      <c r="AC32" s="34">
        <v>140000</v>
      </c>
      <c r="AD32" s="34">
        <v>179200</v>
      </c>
      <c r="AE32" s="34">
        <v>90000</v>
      </c>
      <c r="AF32" s="34">
        <v>240000</v>
      </c>
      <c r="AG32" s="34">
        <v>36000</v>
      </c>
      <c r="AH32" s="34">
        <v>84000</v>
      </c>
      <c r="AI32" s="34">
        <v>44800</v>
      </c>
      <c r="AJ32" s="34">
        <v>33600</v>
      </c>
      <c r="AK32" s="41">
        <v>86940</v>
      </c>
      <c r="AL32" s="34">
        <v>30920</v>
      </c>
      <c r="AM32" s="35">
        <f t="shared" si="6"/>
        <v>24028825.309999999</v>
      </c>
      <c r="AN32" s="35">
        <f t="shared" si="7"/>
        <v>1053671</v>
      </c>
      <c r="AO32" s="35">
        <f t="shared" si="8"/>
        <v>25082496.309999999</v>
      </c>
      <c r="AP32" s="34">
        <v>18984889</v>
      </c>
      <c r="AQ32" s="26">
        <f>SUM(AP27:AP38)</f>
        <v>211193271</v>
      </c>
      <c r="AR32" s="26">
        <f>AQ32-SUM(AO27:AO31)</f>
        <v>136499472.35499999</v>
      </c>
      <c r="AS32" s="39">
        <v>7</v>
      </c>
      <c r="AT32" s="28">
        <f t="shared" si="9"/>
        <v>19499924.622142855</v>
      </c>
      <c r="AU32" s="29">
        <f t="shared" si="10"/>
        <v>-5582571.6878571436</v>
      </c>
      <c r="AV32" s="26">
        <f t="shared" si="11"/>
        <v>111416976.04499999</v>
      </c>
      <c r="AW32" s="30">
        <f t="shared" si="12"/>
        <v>0.47244069132770811</v>
      </c>
      <c r="AX32" s="31" t="str">
        <f t="shared" si="13"/>
        <v>⚠ Over Budget</v>
      </c>
    </row>
    <row r="33" spans="1:50" ht="15.1" customHeight="1" x14ac:dyDescent="0.35">
      <c r="A33" s="19" t="s">
        <v>157</v>
      </c>
      <c r="B33" s="20">
        <v>2024</v>
      </c>
      <c r="C33" s="21">
        <v>56</v>
      </c>
      <c r="D33" s="21">
        <v>3</v>
      </c>
      <c r="E33" s="21">
        <v>1</v>
      </c>
      <c r="F33" s="21">
        <v>1</v>
      </c>
      <c r="G33" s="22">
        <f t="shared" si="0"/>
        <v>58</v>
      </c>
      <c r="H33" s="21">
        <v>1</v>
      </c>
      <c r="I33" s="21">
        <v>133413</v>
      </c>
      <c r="J33" s="21">
        <v>2</v>
      </c>
      <c r="K33" s="21">
        <v>9</v>
      </c>
      <c r="L33" s="21">
        <v>23</v>
      </c>
      <c r="M33" s="21">
        <v>17</v>
      </c>
      <c r="N33" s="21">
        <v>7</v>
      </c>
      <c r="O33" s="23">
        <f t="shared" si="1"/>
        <v>0.21428571428571427</v>
      </c>
      <c r="P33" s="24">
        <v>0.1037</v>
      </c>
      <c r="Q33" s="25">
        <v>85.46</v>
      </c>
      <c r="R33" s="20">
        <v>2001198</v>
      </c>
      <c r="S33" s="21">
        <v>26</v>
      </c>
      <c r="T33" s="22">
        <f t="shared" si="2"/>
        <v>31</v>
      </c>
      <c r="U33" s="21">
        <v>11406829</v>
      </c>
      <c r="V33" s="22">
        <f t="shared" si="3"/>
        <v>2053229.22</v>
      </c>
      <c r="W33" s="22">
        <f t="shared" si="4"/>
        <v>912546.32000000007</v>
      </c>
      <c r="X33" s="22">
        <f t="shared" si="5"/>
        <v>1539921.915</v>
      </c>
      <c r="Y33" s="21">
        <v>53475</v>
      </c>
      <c r="Z33" s="21">
        <v>80040</v>
      </c>
      <c r="AA33" s="21">
        <v>151044</v>
      </c>
      <c r="AB33" s="21">
        <v>107597</v>
      </c>
      <c r="AC33" s="21">
        <v>188500</v>
      </c>
      <c r="AD33" s="21">
        <v>185600</v>
      </c>
      <c r="AE33" s="21">
        <v>135000</v>
      </c>
      <c r="AF33" s="21">
        <v>248000</v>
      </c>
      <c r="AG33" s="21">
        <v>37200</v>
      </c>
      <c r="AH33" s="21">
        <v>87000</v>
      </c>
      <c r="AI33" s="21">
        <v>46400</v>
      </c>
      <c r="AJ33" s="21">
        <v>34800</v>
      </c>
      <c r="AK33" s="21">
        <v>66700</v>
      </c>
      <c r="AL33" s="21">
        <v>20315</v>
      </c>
      <c r="AM33" s="22">
        <f t="shared" si="6"/>
        <v>16197085.455000002</v>
      </c>
      <c r="AN33" s="22">
        <f t="shared" si="7"/>
        <v>1157112</v>
      </c>
      <c r="AO33" s="22">
        <f t="shared" si="8"/>
        <v>17354197.455000002</v>
      </c>
      <c r="AP33" s="21">
        <v>20396733</v>
      </c>
      <c r="AQ33" s="26">
        <f>SUM(AP27:AP38)</f>
        <v>211193271</v>
      </c>
      <c r="AR33" s="26">
        <f>AQ33-SUM(AO27:AO32)</f>
        <v>111416976.04499999</v>
      </c>
      <c r="AS33" s="27">
        <v>6</v>
      </c>
      <c r="AT33" s="28">
        <f t="shared" si="9"/>
        <v>18569496.007499997</v>
      </c>
      <c r="AU33" s="29">
        <f t="shared" si="10"/>
        <v>1215298.5524999946</v>
      </c>
      <c r="AV33" s="26">
        <f t="shared" si="11"/>
        <v>94062778.589999989</v>
      </c>
      <c r="AW33" s="30">
        <f t="shared" si="12"/>
        <v>0.55461280492217957</v>
      </c>
      <c r="AX33" s="31" t="str">
        <f t="shared" si="13"/>
        <v>✓ Within Budget</v>
      </c>
    </row>
    <row r="34" spans="1:50" ht="15.1" customHeight="1" x14ac:dyDescent="0.35">
      <c r="A34" s="32" t="s">
        <v>158</v>
      </c>
      <c r="B34" s="33">
        <v>2024</v>
      </c>
      <c r="C34" s="34">
        <v>58</v>
      </c>
      <c r="D34" s="34">
        <v>2</v>
      </c>
      <c r="E34" s="34">
        <v>1</v>
      </c>
      <c r="F34" s="34">
        <v>1</v>
      </c>
      <c r="G34" s="35">
        <f t="shared" si="0"/>
        <v>59</v>
      </c>
      <c r="H34" s="34">
        <v>1</v>
      </c>
      <c r="I34" s="34">
        <v>134958</v>
      </c>
      <c r="J34" s="34">
        <v>4</v>
      </c>
      <c r="K34" s="34">
        <v>9</v>
      </c>
      <c r="L34" s="34">
        <v>22</v>
      </c>
      <c r="M34" s="34">
        <v>17</v>
      </c>
      <c r="N34" s="34">
        <v>7</v>
      </c>
      <c r="O34" s="36">
        <f t="shared" si="1"/>
        <v>0.20689655172413793</v>
      </c>
      <c r="P34" s="37">
        <v>9.1700000000000004E-2</v>
      </c>
      <c r="Q34" s="38">
        <v>86</v>
      </c>
      <c r="R34" s="33">
        <v>2024375</v>
      </c>
      <c r="S34" s="34">
        <v>27</v>
      </c>
      <c r="T34" s="35">
        <f t="shared" si="2"/>
        <v>31</v>
      </c>
      <c r="U34" s="34">
        <v>11555807</v>
      </c>
      <c r="V34" s="35">
        <f t="shared" si="3"/>
        <v>2080045.26</v>
      </c>
      <c r="W34" s="35">
        <f t="shared" si="4"/>
        <v>924464.56</v>
      </c>
      <c r="X34" s="35">
        <f t="shared" si="5"/>
        <v>1560033.9450000001</v>
      </c>
      <c r="Y34" s="34">
        <v>52080</v>
      </c>
      <c r="Z34" s="34">
        <v>79296</v>
      </c>
      <c r="AA34" s="34">
        <v>186929</v>
      </c>
      <c r="AB34" s="34">
        <v>66154</v>
      </c>
      <c r="AC34" s="34">
        <v>147500</v>
      </c>
      <c r="AD34" s="34">
        <v>188800</v>
      </c>
      <c r="AE34" s="34">
        <v>90000</v>
      </c>
      <c r="AF34" s="34">
        <v>248000</v>
      </c>
      <c r="AG34" s="34">
        <v>37200</v>
      </c>
      <c r="AH34" s="34">
        <v>88500</v>
      </c>
      <c r="AI34" s="34">
        <v>47200</v>
      </c>
      <c r="AJ34" s="34">
        <v>35400</v>
      </c>
      <c r="AK34" s="34">
        <v>66080</v>
      </c>
      <c r="AL34" s="34">
        <v>27264</v>
      </c>
      <c r="AM34" s="35">
        <f t="shared" si="6"/>
        <v>16438655.765000001</v>
      </c>
      <c r="AN34" s="35">
        <f t="shared" si="7"/>
        <v>1042098</v>
      </c>
      <c r="AO34" s="35">
        <f t="shared" si="8"/>
        <v>17480753.765000001</v>
      </c>
      <c r="AP34" s="34">
        <v>20791115</v>
      </c>
      <c r="AQ34" s="26">
        <f>SUM(AP27:AP38)</f>
        <v>211193271</v>
      </c>
      <c r="AR34" s="26">
        <f>AQ34-SUM(AO27:AO33)</f>
        <v>94062778.589999989</v>
      </c>
      <c r="AS34" s="39">
        <v>5</v>
      </c>
      <c r="AT34" s="28">
        <f t="shared" si="9"/>
        <v>18812555.717999998</v>
      </c>
      <c r="AU34" s="29">
        <f t="shared" si="10"/>
        <v>1331801.9529999979</v>
      </c>
      <c r="AV34" s="26">
        <f t="shared" si="11"/>
        <v>76582024.824999988</v>
      </c>
      <c r="AW34" s="30">
        <f t="shared" si="12"/>
        <v>0.6373841625616945</v>
      </c>
      <c r="AX34" s="31" t="str">
        <f t="shared" si="13"/>
        <v>✓ Within Budget</v>
      </c>
    </row>
    <row r="35" spans="1:50" ht="15.1" customHeight="1" x14ac:dyDescent="0.35">
      <c r="A35" s="19" t="s">
        <v>159</v>
      </c>
      <c r="B35" s="20">
        <v>2024</v>
      </c>
      <c r="C35" s="21">
        <v>59</v>
      </c>
      <c r="D35" s="21">
        <v>0</v>
      </c>
      <c r="E35" s="21">
        <v>1</v>
      </c>
      <c r="F35" s="21">
        <v>1</v>
      </c>
      <c r="G35" s="22">
        <f t="shared" si="0"/>
        <v>58</v>
      </c>
      <c r="H35" s="21">
        <v>1</v>
      </c>
      <c r="I35" s="21">
        <v>135842</v>
      </c>
      <c r="J35" s="21">
        <v>3</v>
      </c>
      <c r="K35" s="21">
        <v>10</v>
      </c>
      <c r="L35" s="21">
        <v>20</v>
      </c>
      <c r="M35" s="21">
        <v>17</v>
      </c>
      <c r="N35" s="21">
        <v>8</v>
      </c>
      <c r="O35" s="23">
        <f t="shared" si="1"/>
        <v>0.20338983050847459</v>
      </c>
      <c r="P35" s="24">
        <v>9.6000000000000002E-2</v>
      </c>
      <c r="Q35" s="25">
        <v>85.96</v>
      </c>
      <c r="R35" s="20">
        <v>2037633</v>
      </c>
      <c r="S35" s="21">
        <v>26</v>
      </c>
      <c r="T35" s="22">
        <f t="shared" si="2"/>
        <v>31</v>
      </c>
      <c r="U35" s="21">
        <v>11656959</v>
      </c>
      <c r="V35" s="22">
        <f t="shared" si="3"/>
        <v>2098252.62</v>
      </c>
      <c r="W35" s="22">
        <f t="shared" si="4"/>
        <v>932556.72</v>
      </c>
      <c r="X35" s="22">
        <f t="shared" si="5"/>
        <v>1573689.4650000001</v>
      </c>
      <c r="Y35" s="21">
        <v>46500</v>
      </c>
      <c r="Z35" s="21">
        <v>69600</v>
      </c>
      <c r="AA35" s="21">
        <v>193008</v>
      </c>
      <c r="AB35" s="21">
        <v>-50</v>
      </c>
      <c r="AC35" s="21">
        <v>145000</v>
      </c>
      <c r="AD35" s="21">
        <v>185600</v>
      </c>
      <c r="AE35" s="21">
        <v>0</v>
      </c>
      <c r="AF35" s="21">
        <v>248000</v>
      </c>
      <c r="AG35" s="21">
        <v>37200</v>
      </c>
      <c r="AH35" s="21">
        <v>87000</v>
      </c>
      <c r="AI35" s="21">
        <v>46400</v>
      </c>
      <c r="AJ35" s="21">
        <v>34800</v>
      </c>
      <c r="AK35" s="21">
        <v>58000</v>
      </c>
      <c r="AL35" s="21">
        <v>16776</v>
      </c>
      <c r="AM35" s="22">
        <f t="shared" si="6"/>
        <v>16570565.805000002</v>
      </c>
      <c r="AN35" s="22">
        <f t="shared" si="7"/>
        <v>858726</v>
      </c>
      <c r="AO35" s="22">
        <f t="shared" si="8"/>
        <v>17429291.805</v>
      </c>
      <c r="AP35" s="21">
        <v>17316308</v>
      </c>
      <c r="AQ35" s="26">
        <f>SUM(AP27:AP38)</f>
        <v>211193271</v>
      </c>
      <c r="AR35" s="26">
        <f>AQ35-SUM(AO27:AO34)</f>
        <v>76582024.824999988</v>
      </c>
      <c r="AS35" s="27">
        <v>4</v>
      </c>
      <c r="AT35" s="28">
        <f t="shared" si="9"/>
        <v>19145506.206249997</v>
      </c>
      <c r="AU35" s="29">
        <f t="shared" si="10"/>
        <v>1716214.4012499973</v>
      </c>
      <c r="AV35" s="26">
        <f t="shared" si="11"/>
        <v>59152733.019999988</v>
      </c>
      <c r="AW35" s="30">
        <f t="shared" si="12"/>
        <v>0.71991184785428142</v>
      </c>
      <c r="AX35" s="31" t="str">
        <f t="shared" si="13"/>
        <v>✓ Within Budget</v>
      </c>
    </row>
    <row r="36" spans="1:50" ht="15.1" customHeight="1" x14ac:dyDescent="0.35">
      <c r="A36" s="32" t="s">
        <v>160</v>
      </c>
      <c r="B36" s="33">
        <v>2025</v>
      </c>
      <c r="C36" s="34">
        <v>58</v>
      </c>
      <c r="D36" s="34">
        <v>2</v>
      </c>
      <c r="E36" s="34">
        <v>1</v>
      </c>
      <c r="F36" s="34">
        <v>1</v>
      </c>
      <c r="G36" s="35">
        <f t="shared" si="0"/>
        <v>59</v>
      </c>
      <c r="H36" s="34">
        <v>1</v>
      </c>
      <c r="I36" s="34">
        <v>136146</v>
      </c>
      <c r="J36" s="34">
        <v>5</v>
      </c>
      <c r="K36" s="34">
        <v>10</v>
      </c>
      <c r="L36" s="34">
        <v>23</v>
      </c>
      <c r="M36" s="34">
        <v>15</v>
      </c>
      <c r="N36" s="34">
        <v>6</v>
      </c>
      <c r="O36" s="36">
        <f t="shared" si="1"/>
        <v>0.20689655172413793</v>
      </c>
      <c r="P36" s="37">
        <v>0.12509999999999999</v>
      </c>
      <c r="Q36" s="38">
        <v>87.02</v>
      </c>
      <c r="R36" s="33">
        <v>2042188</v>
      </c>
      <c r="S36" s="34">
        <v>27</v>
      </c>
      <c r="T36" s="35">
        <f t="shared" si="2"/>
        <v>31</v>
      </c>
      <c r="U36" s="34">
        <v>11257561</v>
      </c>
      <c r="V36" s="35">
        <f t="shared" si="3"/>
        <v>2026360.98</v>
      </c>
      <c r="W36" s="35">
        <f t="shared" si="4"/>
        <v>900604.88</v>
      </c>
      <c r="X36" s="35">
        <f t="shared" si="5"/>
        <v>1519770.7350000001</v>
      </c>
      <c r="Y36" s="34">
        <v>50220</v>
      </c>
      <c r="Z36" s="34">
        <v>76464</v>
      </c>
      <c r="AA36" s="34">
        <v>169011</v>
      </c>
      <c r="AB36" s="34">
        <v>69336</v>
      </c>
      <c r="AC36" s="34">
        <v>147500</v>
      </c>
      <c r="AD36" s="34">
        <v>188800</v>
      </c>
      <c r="AE36" s="34">
        <v>90000</v>
      </c>
      <c r="AF36" s="34">
        <v>248000</v>
      </c>
      <c r="AG36" s="34">
        <v>37200</v>
      </c>
      <c r="AH36" s="34">
        <v>88500</v>
      </c>
      <c r="AI36" s="34">
        <v>47200</v>
      </c>
      <c r="AJ36" s="34">
        <v>35400</v>
      </c>
      <c r="AK36" s="34">
        <v>63720</v>
      </c>
      <c r="AL36" s="34">
        <v>39311</v>
      </c>
      <c r="AM36" s="35">
        <f t="shared" si="6"/>
        <v>15999992.595000001</v>
      </c>
      <c r="AN36" s="35">
        <f t="shared" si="7"/>
        <v>1054967</v>
      </c>
      <c r="AO36" s="35">
        <f t="shared" si="8"/>
        <v>17054959.594999999</v>
      </c>
      <c r="AP36" s="34">
        <v>18074320</v>
      </c>
      <c r="AQ36" s="26">
        <f>SUM(AP27:AP38)</f>
        <v>211193271</v>
      </c>
      <c r="AR36" s="26">
        <f>AQ36-SUM(AO27:AO35)</f>
        <v>59152733.019999981</v>
      </c>
      <c r="AS36" s="39">
        <v>3</v>
      </c>
      <c r="AT36" s="28">
        <f t="shared" si="9"/>
        <v>19717577.673333328</v>
      </c>
      <c r="AU36" s="29">
        <f t="shared" si="10"/>
        <v>2662618.0783333294</v>
      </c>
      <c r="AV36" s="26">
        <f t="shared" si="11"/>
        <v>42097773.424999982</v>
      </c>
      <c r="AW36" s="30">
        <f t="shared" si="12"/>
        <v>0.800667070377446</v>
      </c>
      <c r="AX36" s="31" t="str">
        <f t="shared" si="13"/>
        <v>✓ Within Budget</v>
      </c>
    </row>
    <row r="37" spans="1:50" ht="15.1" customHeight="1" x14ac:dyDescent="0.35">
      <c r="A37" s="19" t="s">
        <v>161</v>
      </c>
      <c r="B37" s="20">
        <v>2025</v>
      </c>
      <c r="C37" s="21">
        <v>59</v>
      </c>
      <c r="D37" s="21">
        <v>1</v>
      </c>
      <c r="E37" s="21">
        <v>1</v>
      </c>
      <c r="F37" s="21">
        <v>1</v>
      </c>
      <c r="G37" s="22">
        <f t="shared" si="0"/>
        <v>59</v>
      </c>
      <c r="H37" s="21">
        <v>1</v>
      </c>
      <c r="I37" s="21">
        <v>136880</v>
      </c>
      <c r="J37" s="21">
        <v>5</v>
      </c>
      <c r="K37" s="21">
        <v>10</v>
      </c>
      <c r="L37" s="21">
        <v>22</v>
      </c>
      <c r="M37" s="21">
        <v>16</v>
      </c>
      <c r="N37" s="21">
        <v>6</v>
      </c>
      <c r="O37" s="23">
        <f t="shared" si="1"/>
        <v>0.20338983050847459</v>
      </c>
      <c r="P37" s="24">
        <v>9.6699999999999994E-2</v>
      </c>
      <c r="Q37" s="25">
        <v>86.79</v>
      </c>
      <c r="R37" s="20">
        <v>2053193</v>
      </c>
      <c r="S37" s="21">
        <v>27</v>
      </c>
      <c r="T37" s="22">
        <f t="shared" si="2"/>
        <v>31</v>
      </c>
      <c r="U37" s="21">
        <v>11386666</v>
      </c>
      <c r="V37" s="22">
        <f t="shared" si="3"/>
        <v>2049599.88</v>
      </c>
      <c r="W37" s="22">
        <f t="shared" si="4"/>
        <v>910933.28</v>
      </c>
      <c r="X37" s="22">
        <f t="shared" si="5"/>
        <v>1537199.9100000001</v>
      </c>
      <c r="Y37" s="21">
        <v>50220</v>
      </c>
      <c r="Z37" s="21">
        <v>76464</v>
      </c>
      <c r="AA37" s="21">
        <v>182012</v>
      </c>
      <c r="AB37" s="21">
        <v>30882</v>
      </c>
      <c r="AC37" s="21">
        <v>147500</v>
      </c>
      <c r="AD37" s="21">
        <v>188800</v>
      </c>
      <c r="AE37" s="21">
        <v>45000</v>
      </c>
      <c r="AF37" s="21">
        <v>248000</v>
      </c>
      <c r="AG37" s="21">
        <v>37200</v>
      </c>
      <c r="AH37" s="21">
        <v>88500</v>
      </c>
      <c r="AI37" s="21">
        <v>47200</v>
      </c>
      <c r="AJ37" s="21">
        <v>35400</v>
      </c>
      <c r="AK37" s="21">
        <v>63720</v>
      </c>
      <c r="AL37" s="21">
        <v>16114</v>
      </c>
      <c r="AM37" s="22">
        <f t="shared" si="6"/>
        <v>16193095.069999998</v>
      </c>
      <c r="AN37" s="22">
        <f t="shared" si="7"/>
        <v>948316</v>
      </c>
      <c r="AO37" s="22">
        <f t="shared" si="8"/>
        <v>17141411.07</v>
      </c>
      <c r="AP37" s="21">
        <v>18384543</v>
      </c>
      <c r="AQ37" s="26">
        <f>SUM(AP27:AP38)</f>
        <v>211193271</v>
      </c>
      <c r="AR37" s="26">
        <f>AQ37-SUM(AO27:AO36)</f>
        <v>42097773.424999982</v>
      </c>
      <c r="AS37" s="27">
        <v>2</v>
      </c>
      <c r="AT37" s="28">
        <f t="shared" si="9"/>
        <v>21048886.712499991</v>
      </c>
      <c r="AU37" s="29">
        <f t="shared" si="10"/>
        <v>3907475.6424999908</v>
      </c>
      <c r="AV37" s="26">
        <f t="shared" si="11"/>
        <v>24956362.354999982</v>
      </c>
      <c r="AW37" s="30">
        <f t="shared" si="12"/>
        <v>0.88183164057816976</v>
      </c>
      <c r="AX37" s="31" t="str">
        <f t="shared" si="13"/>
        <v>✓ Within Budget</v>
      </c>
    </row>
    <row r="38" spans="1:50" ht="15.1" customHeight="1" x14ac:dyDescent="0.35">
      <c r="A38" s="32" t="s">
        <v>162</v>
      </c>
      <c r="B38" s="33">
        <v>2025</v>
      </c>
      <c r="C38" s="34">
        <v>59</v>
      </c>
      <c r="D38" s="34">
        <v>2</v>
      </c>
      <c r="E38" s="34">
        <v>1</v>
      </c>
      <c r="F38" s="34">
        <v>1</v>
      </c>
      <c r="G38" s="35">
        <f t="shared" si="0"/>
        <v>60</v>
      </c>
      <c r="H38" s="34">
        <v>1</v>
      </c>
      <c r="I38" s="34">
        <v>138555</v>
      </c>
      <c r="J38" s="34">
        <v>4</v>
      </c>
      <c r="K38" s="34">
        <v>10</v>
      </c>
      <c r="L38" s="34">
        <v>24</v>
      </c>
      <c r="M38" s="34">
        <v>16</v>
      </c>
      <c r="N38" s="34">
        <v>6</v>
      </c>
      <c r="O38" s="36">
        <f t="shared" si="1"/>
        <v>0.20338983050847459</v>
      </c>
      <c r="P38" s="37">
        <v>0.1023</v>
      </c>
      <c r="Q38" s="38">
        <v>87.52</v>
      </c>
      <c r="R38" s="33">
        <v>2078319</v>
      </c>
      <c r="S38" s="34">
        <v>27</v>
      </c>
      <c r="T38" s="35">
        <f t="shared" si="2"/>
        <v>32</v>
      </c>
      <c r="U38" s="41">
        <v>19432282</v>
      </c>
      <c r="V38" s="35">
        <f t="shared" si="3"/>
        <v>3497810.76</v>
      </c>
      <c r="W38" s="35">
        <f t="shared" si="4"/>
        <v>1554582.56</v>
      </c>
      <c r="X38" s="35">
        <f t="shared" si="5"/>
        <v>2623358.0700000003</v>
      </c>
      <c r="Y38" s="34">
        <v>50880</v>
      </c>
      <c r="Z38" s="34">
        <v>76320</v>
      </c>
      <c r="AA38" s="41">
        <v>229655</v>
      </c>
      <c r="AB38" s="41">
        <v>81010</v>
      </c>
      <c r="AC38" s="34">
        <v>150000</v>
      </c>
      <c r="AD38" s="34">
        <v>192000</v>
      </c>
      <c r="AE38" s="34">
        <v>90000</v>
      </c>
      <c r="AF38" s="34">
        <v>256000</v>
      </c>
      <c r="AG38" s="34">
        <v>38400</v>
      </c>
      <c r="AH38" s="34">
        <v>90000</v>
      </c>
      <c r="AI38" s="34">
        <v>48000</v>
      </c>
      <c r="AJ38" s="34">
        <v>36000</v>
      </c>
      <c r="AK38" s="41">
        <v>85860</v>
      </c>
      <c r="AL38" s="34">
        <v>29118</v>
      </c>
      <c r="AM38" s="35">
        <f t="shared" si="6"/>
        <v>27464888.389999997</v>
      </c>
      <c r="AN38" s="35">
        <f t="shared" si="7"/>
        <v>1096388</v>
      </c>
      <c r="AO38" s="35">
        <f t="shared" si="8"/>
        <v>28561276.389999997</v>
      </c>
      <c r="AP38" s="34">
        <v>19793678</v>
      </c>
      <c r="AQ38" s="26">
        <f>SUM(AP27:AP38)</f>
        <v>211193271</v>
      </c>
      <c r="AR38" s="26">
        <f>AQ38-SUM(AO27:AO37)</f>
        <v>24956362.354999989</v>
      </c>
      <c r="AS38" s="39">
        <v>1</v>
      </c>
      <c r="AT38" s="28">
        <f t="shared" si="9"/>
        <v>24956362.354999989</v>
      </c>
      <c r="AU38" s="29">
        <f t="shared" si="10"/>
        <v>-3604914.0350000076</v>
      </c>
      <c r="AV38" s="26">
        <f t="shared" si="11"/>
        <v>-3604914.0350000076</v>
      </c>
      <c r="AW38" s="30">
        <f t="shared" si="12"/>
        <v>1.0170692655970086</v>
      </c>
      <c r="AX38" s="31" t="str">
        <f t="shared" si="13"/>
        <v>⚠ Over Budget</v>
      </c>
    </row>
  </sheetData>
  <mergeCells count="1">
    <mergeCell ref="A1:AV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Technology</vt:lpstr>
      <vt:lpstr>Operations</vt:lpstr>
      <vt:lpstr>Finance</vt:lpstr>
      <vt:lpstr>HR</vt:lpstr>
      <vt:lpstr>Sales &amp; Marketing</vt:lpstr>
      <vt:lpstr>Risk &amp;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Yash Agrawal</cp:lastModifiedBy>
  <cp:revision>0</cp:revision>
  <dcterms:created xsi:type="dcterms:W3CDTF">2026-02-25T06:48:31Z</dcterms:created>
  <dcterms:modified xsi:type="dcterms:W3CDTF">2026-02-25T07:31:59Z</dcterms:modified>
  <dc:language>en-US</dc:language>
</cp:coreProperties>
</file>